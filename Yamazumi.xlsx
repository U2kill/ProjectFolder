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updateLinks="never" defaultThemeVersion="124226"/>
  <bookViews>
    <workbookView xWindow="240" yWindow="105" windowWidth="14805" windowHeight="8010" tabRatio="639"/>
  </bookViews>
  <sheets>
    <sheet name="YAMAZUMI цеха" sheetId="25" r:id="rId1"/>
    <sheet name="Механический" sheetId="32" state="hidden" r:id="rId2"/>
    <sheet name="Фрезеровка ЧПУ" sheetId="31" state="hidden" r:id="rId3"/>
    <sheet name="ППМ 3" sheetId="28" state="hidden" r:id="rId4"/>
    <sheet name="YAMAZUMI участка" sheetId="30" state="hidden" r:id="rId5"/>
    <sheet name="ПРСБ 3" sheetId="33" state="hidden" r:id="rId6"/>
    <sheet name="ПРСБ 4" sheetId="34" state="hidden" r:id="rId7"/>
    <sheet name="СБ 3" sheetId="35" state="hidden" r:id="rId8"/>
    <sheet name="СБ 4" sheetId="36" state="hidden" r:id="rId9"/>
  </sheets>
  <definedNames>
    <definedName name="_xlnm.Print_Area" localSheetId="4">'YAMAZUMI участка'!$H$1:$AL$26</definedName>
    <definedName name="_xlnm.Print_Area" localSheetId="0">'YAMAZUMI цеха'!$H$1:$AU$35</definedName>
    <definedName name="_xlnm.Print_Area" localSheetId="1">Механический!$H$1:$AF$26</definedName>
    <definedName name="_xlnm.Print_Area" localSheetId="3">'ППМ 3'!$H$1:$AF$26</definedName>
    <definedName name="_xlnm.Print_Area" localSheetId="5">'ПРСБ 3'!$H$1:$AF$26</definedName>
    <definedName name="_xlnm.Print_Area" localSheetId="6">'ПРСБ 4'!$H$1:$AF$26</definedName>
    <definedName name="_xlnm.Print_Area" localSheetId="7">'СБ 3'!$H$1:$AF$26</definedName>
    <definedName name="_xlnm.Print_Area" localSheetId="8">'СБ 4'!$H$1:$AF$26</definedName>
    <definedName name="_xlnm.Print_Area" localSheetId="2">'Фрезеровка ЧПУ'!$H$1:$AF$26</definedName>
  </definedNames>
  <calcPr calcId="152511" refMode="R1C1"/>
</workbook>
</file>

<file path=xl/calcChain.xml><?xml version="1.0" encoding="utf-8"?>
<calcChain xmlns="http://schemas.openxmlformats.org/spreadsheetml/2006/main">
  <c r="AH3" i="25" l="1"/>
  <c r="AE3" i="30"/>
  <c r="BE73" i="36" l="1"/>
  <c r="AZ73" i="36"/>
  <c r="AU73" i="36"/>
  <c r="AP73" i="36"/>
  <c r="AK73" i="36"/>
  <c r="AF73" i="36"/>
  <c r="AA73" i="36"/>
  <c r="V73" i="36"/>
  <c r="Q73" i="36"/>
  <c r="L73" i="36"/>
  <c r="BE72" i="36"/>
  <c r="AZ72" i="36"/>
  <c r="AU72" i="36"/>
  <c r="AP72" i="36"/>
  <c r="AK72" i="36"/>
  <c r="AF72" i="36"/>
  <c r="AA72" i="36"/>
  <c r="V72" i="36"/>
  <c r="Q72" i="36"/>
  <c r="L72" i="36"/>
  <c r="BE71" i="36"/>
  <c r="AZ71" i="36"/>
  <c r="AU71" i="36"/>
  <c r="AP71" i="36"/>
  <c r="AK71" i="36"/>
  <c r="AF71" i="36"/>
  <c r="AA71" i="36"/>
  <c r="V71" i="36"/>
  <c r="Q71" i="36"/>
  <c r="L71" i="36"/>
  <c r="BE70" i="36"/>
  <c r="AZ70" i="36"/>
  <c r="AU70" i="36"/>
  <c r="AP70" i="36"/>
  <c r="AK70" i="36"/>
  <c r="AF70" i="36"/>
  <c r="AA70" i="36"/>
  <c r="V70" i="36"/>
  <c r="Q70" i="36"/>
  <c r="L70" i="36"/>
  <c r="BE69" i="36"/>
  <c r="AZ69" i="36"/>
  <c r="AU69" i="36"/>
  <c r="AP69" i="36"/>
  <c r="AK69" i="36"/>
  <c r="AF69" i="36"/>
  <c r="AA69" i="36"/>
  <c r="V69" i="36"/>
  <c r="Q69" i="36"/>
  <c r="L69" i="36"/>
  <c r="BE68" i="36"/>
  <c r="AZ68" i="36"/>
  <c r="AU68" i="36"/>
  <c r="AP68" i="36"/>
  <c r="AK68" i="36"/>
  <c r="AF68" i="36"/>
  <c r="AA68" i="36"/>
  <c r="V68" i="36"/>
  <c r="Q68" i="36"/>
  <c r="L68" i="36"/>
  <c r="BE67" i="36"/>
  <c r="AZ67" i="36"/>
  <c r="AU67" i="36"/>
  <c r="AP67" i="36"/>
  <c r="AK67" i="36"/>
  <c r="AF67" i="36"/>
  <c r="AA67" i="36"/>
  <c r="V67" i="36"/>
  <c r="Q67" i="36"/>
  <c r="L67" i="36"/>
  <c r="BE66" i="36"/>
  <c r="AZ66" i="36"/>
  <c r="AU66" i="36"/>
  <c r="AP66" i="36"/>
  <c r="AK66" i="36"/>
  <c r="AF66" i="36"/>
  <c r="AA66" i="36"/>
  <c r="V66" i="36"/>
  <c r="Q66" i="36"/>
  <c r="L66" i="36"/>
  <c r="BE65" i="36"/>
  <c r="AZ65" i="36"/>
  <c r="AU65" i="36"/>
  <c r="AP65" i="36"/>
  <c r="AK65" i="36"/>
  <c r="AF65" i="36"/>
  <c r="AA65" i="36"/>
  <c r="V65" i="36"/>
  <c r="Q65" i="36"/>
  <c r="L65" i="36"/>
  <c r="BE64" i="36"/>
  <c r="AZ64" i="36"/>
  <c r="AU64" i="36"/>
  <c r="AP64" i="36"/>
  <c r="AK64" i="36"/>
  <c r="AF64" i="36"/>
  <c r="AA64" i="36"/>
  <c r="V64" i="36"/>
  <c r="Q64" i="36"/>
  <c r="L64" i="36"/>
  <c r="BE63" i="36"/>
  <c r="AZ63" i="36"/>
  <c r="AU63" i="36"/>
  <c r="AP63" i="36"/>
  <c r="AK63" i="36"/>
  <c r="AF63" i="36"/>
  <c r="AA63" i="36"/>
  <c r="V63" i="36"/>
  <c r="Q63" i="36"/>
  <c r="L63" i="36"/>
  <c r="BE62" i="36"/>
  <c r="AZ62" i="36"/>
  <c r="AU62" i="36"/>
  <c r="AP62" i="36"/>
  <c r="AK62" i="36"/>
  <c r="AF62" i="36"/>
  <c r="AA62" i="36"/>
  <c r="V62" i="36"/>
  <c r="Q62" i="36"/>
  <c r="L62" i="36"/>
  <c r="BE61" i="36"/>
  <c r="AZ61" i="36"/>
  <c r="AU61" i="36"/>
  <c r="AP61" i="36"/>
  <c r="AK61" i="36"/>
  <c r="AF61" i="36"/>
  <c r="AA61" i="36"/>
  <c r="V61" i="36"/>
  <c r="Q61" i="36"/>
  <c r="L61" i="36"/>
  <c r="BE60" i="36"/>
  <c r="AZ60" i="36"/>
  <c r="AU60" i="36"/>
  <c r="AP60" i="36"/>
  <c r="AK60" i="36"/>
  <c r="AF60" i="36"/>
  <c r="AA60" i="36"/>
  <c r="V60" i="36"/>
  <c r="Q60" i="36"/>
  <c r="L60" i="36"/>
  <c r="BE59" i="36"/>
  <c r="AZ59" i="36"/>
  <c r="AU59" i="36"/>
  <c r="AP59" i="36"/>
  <c r="AK59" i="36"/>
  <c r="AF59" i="36"/>
  <c r="AA59" i="36"/>
  <c r="V59" i="36"/>
  <c r="Q59" i="36"/>
  <c r="L59" i="36"/>
  <c r="BE58" i="36"/>
  <c r="AZ58" i="36"/>
  <c r="AU58" i="36"/>
  <c r="AP58" i="36"/>
  <c r="AK58" i="36"/>
  <c r="AF58" i="36"/>
  <c r="AA58" i="36"/>
  <c r="V58" i="36"/>
  <c r="Q58" i="36"/>
  <c r="L58" i="36"/>
  <c r="BE57" i="36"/>
  <c r="AZ57" i="36"/>
  <c r="AU57" i="36"/>
  <c r="AP57" i="36"/>
  <c r="AK57" i="36"/>
  <c r="AF57" i="36"/>
  <c r="AA57" i="36"/>
  <c r="V57" i="36"/>
  <c r="Q57" i="36"/>
  <c r="L57" i="36"/>
  <c r="BE56" i="36"/>
  <c r="AZ56" i="36"/>
  <c r="AU56" i="36"/>
  <c r="AP56" i="36"/>
  <c r="AK56" i="36"/>
  <c r="AF56" i="36"/>
  <c r="AA56" i="36"/>
  <c r="V56" i="36"/>
  <c r="Q56" i="36"/>
  <c r="L56" i="36"/>
  <c r="BE55" i="36"/>
  <c r="AZ55" i="36"/>
  <c r="AU55" i="36"/>
  <c r="AP55" i="36"/>
  <c r="AK55" i="36"/>
  <c r="AF55" i="36"/>
  <c r="AA55" i="36"/>
  <c r="V55" i="36"/>
  <c r="Q55" i="36"/>
  <c r="L55" i="36"/>
  <c r="BE54" i="36"/>
  <c r="AZ54" i="36"/>
  <c r="AU54" i="36"/>
  <c r="AP54" i="36"/>
  <c r="AK54" i="36"/>
  <c r="AF54" i="36"/>
  <c r="AA54" i="36"/>
  <c r="V54" i="36"/>
  <c r="Q54" i="36"/>
  <c r="L54" i="36"/>
  <c r="BE53" i="36"/>
  <c r="AZ53" i="36"/>
  <c r="AU53" i="36"/>
  <c r="AP53" i="36"/>
  <c r="AK53" i="36"/>
  <c r="AF53" i="36"/>
  <c r="AA53" i="36"/>
  <c r="V53" i="36"/>
  <c r="Q53" i="36"/>
  <c r="L53" i="36"/>
  <c r="BE52" i="36"/>
  <c r="AZ52" i="36"/>
  <c r="AU52" i="36"/>
  <c r="AP52" i="36"/>
  <c r="AK52" i="36"/>
  <c r="AF52" i="36"/>
  <c r="AA52" i="36"/>
  <c r="V52" i="36"/>
  <c r="Q52" i="36"/>
  <c r="L52" i="36"/>
  <c r="BE51" i="36"/>
  <c r="AZ51" i="36"/>
  <c r="AU51" i="36"/>
  <c r="AP51" i="36"/>
  <c r="AK51" i="36"/>
  <c r="AF51" i="36"/>
  <c r="AA51" i="36"/>
  <c r="V51" i="36"/>
  <c r="Q51" i="36"/>
  <c r="L51" i="36"/>
  <c r="BE50" i="36"/>
  <c r="AZ50" i="36"/>
  <c r="AU50" i="36"/>
  <c r="AP50" i="36"/>
  <c r="AK50" i="36"/>
  <c r="AF50" i="36"/>
  <c r="AA50" i="36"/>
  <c r="V50" i="36"/>
  <c r="Q50" i="36"/>
  <c r="L50" i="36"/>
  <c r="BE49" i="36"/>
  <c r="AZ49" i="36"/>
  <c r="AU49" i="36"/>
  <c r="AP49" i="36"/>
  <c r="AK49" i="36"/>
  <c r="AF49" i="36"/>
  <c r="AA49" i="36"/>
  <c r="V49" i="36"/>
  <c r="Q49" i="36"/>
  <c r="L49" i="36"/>
  <c r="BE48" i="36"/>
  <c r="AZ48" i="36"/>
  <c r="AU48" i="36"/>
  <c r="AP48" i="36"/>
  <c r="AK48" i="36"/>
  <c r="AF48" i="36"/>
  <c r="AA48" i="36"/>
  <c r="V48" i="36"/>
  <c r="Q48" i="36"/>
  <c r="L48" i="36"/>
  <c r="BE47" i="36"/>
  <c r="AZ47" i="36"/>
  <c r="AU47" i="36"/>
  <c r="AP47" i="36"/>
  <c r="AK47" i="36"/>
  <c r="AF47" i="36"/>
  <c r="AA47" i="36"/>
  <c r="V47" i="36"/>
  <c r="Q47" i="36"/>
  <c r="L47" i="36"/>
  <c r="BE46" i="36"/>
  <c r="AZ46" i="36"/>
  <c r="AU46" i="36"/>
  <c r="AP46" i="36"/>
  <c r="AK46" i="36"/>
  <c r="AF46" i="36"/>
  <c r="AA46" i="36"/>
  <c r="V46" i="36"/>
  <c r="Q46" i="36"/>
  <c r="L46" i="36"/>
  <c r="BE45" i="36"/>
  <c r="AZ45" i="36"/>
  <c r="AU45" i="36"/>
  <c r="AP45" i="36"/>
  <c r="AK45" i="36"/>
  <c r="AF45" i="36"/>
  <c r="AA45" i="36"/>
  <c r="V45" i="36"/>
  <c r="Q45" i="36"/>
  <c r="L45" i="36"/>
  <c r="BE44" i="36"/>
  <c r="AZ44" i="36"/>
  <c r="AU44" i="36"/>
  <c r="AP44" i="36"/>
  <c r="AK44" i="36"/>
  <c r="AF44" i="36"/>
  <c r="AA44" i="36"/>
  <c r="V44" i="36"/>
  <c r="Q44" i="36"/>
  <c r="L44" i="36"/>
  <c r="BE43" i="36"/>
  <c r="AZ43" i="36"/>
  <c r="AU43" i="36"/>
  <c r="AP43" i="36"/>
  <c r="AK43" i="36"/>
  <c r="AF43" i="36"/>
  <c r="AA43" i="36"/>
  <c r="V43" i="36"/>
  <c r="Q43" i="36"/>
  <c r="L43" i="36"/>
  <c r="BE42" i="36"/>
  <c r="AZ42" i="36"/>
  <c r="AU42" i="36"/>
  <c r="AP42" i="36"/>
  <c r="AK42" i="36"/>
  <c r="AF42" i="36"/>
  <c r="AA42" i="36"/>
  <c r="V42" i="36"/>
  <c r="Q42" i="36"/>
  <c r="L42" i="36"/>
  <c r="BE41" i="36"/>
  <c r="AZ41" i="36"/>
  <c r="AU41" i="36"/>
  <c r="AP41" i="36"/>
  <c r="AK41" i="36"/>
  <c r="AF41" i="36"/>
  <c r="AA41" i="36"/>
  <c r="V41" i="36"/>
  <c r="Q41" i="36"/>
  <c r="L41" i="36"/>
  <c r="BE40" i="36"/>
  <c r="AZ40" i="36"/>
  <c r="AU40" i="36"/>
  <c r="AP40" i="36"/>
  <c r="AK40" i="36"/>
  <c r="AF40" i="36"/>
  <c r="AA40" i="36"/>
  <c r="V40" i="36"/>
  <c r="Q40" i="36"/>
  <c r="L40" i="36"/>
  <c r="BE39" i="36"/>
  <c r="AZ39" i="36"/>
  <c r="AU39" i="36"/>
  <c r="AP39" i="36"/>
  <c r="AK39" i="36"/>
  <c r="AF39" i="36"/>
  <c r="AA39" i="36"/>
  <c r="V39" i="36"/>
  <c r="Q39" i="36"/>
  <c r="L39" i="36"/>
  <c r="BE38" i="36"/>
  <c r="AZ38" i="36"/>
  <c r="AU38" i="36"/>
  <c r="AP38" i="36"/>
  <c r="AK38" i="36"/>
  <c r="AF38" i="36"/>
  <c r="AA38" i="36"/>
  <c r="V38" i="36"/>
  <c r="Q38" i="36"/>
  <c r="L38" i="36"/>
  <c r="BE37" i="36"/>
  <c r="AZ37" i="36"/>
  <c r="AU37" i="36"/>
  <c r="AP37" i="36"/>
  <c r="AK37" i="36"/>
  <c r="AF37" i="36"/>
  <c r="AA37" i="36"/>
  <c r="V37" i="36"/>
  <c r="Q37" i="36"/>
  <c r="L37" i="36"/>
  <c r="BE36" i="36"/>
  <c r="AZ36" i="36"/>
  <c r="AU36" i="36"/>
  <c r="AP36" i="36"/>
  <c r="AK36" i="36"/>
  <c r="AF36" i="36"/>
  <c r="AA36" i="36"/>
  <c r="V36" i="36"/>
  <c r="Q36" i="36"/>
  <c r="L36" i="36"/>
  <c r="BE35" i="36"/>
  <c r="AZ35" i="36"/>
  <c r="AU35" i="36"/>
  <c r="AP35" i="36"/>
  <c r="AK35" i="36"/>
  <c r="AF35" i="36"/>
  <c r="AA35" i="36"/>
  <c r="V35" i="36"/>
  <c r="Q35" i="36"/>
  <c r="L35" i="36"/>
  <c r="BE34" i="36"/>
  <c r="AZ34" i="36"/>
  <c r="AU34" i="36"/>
  <c r="AP34" i="36"/>
  <c r="AK34" i="36"/>
  <c r="AF34" i="36"/>
  <c r="AA34" i="36"/>
  <c r="V34" i="36"/>
  <c r="Q34" i="36"/>
  <c r="L34" i="36"/>
  <c r="BE33" i="36"/>
  <c r="AZ33" i="36"/>
  <c r="AU33" i="36"/>
  <c r="AP33" i="36"/>
  <c r="AK33" i="36"/>
  <c r="AF33" i="36"/>
  <c r="AA33" i="36"/>
  <c r="V33" i="36"/>
  <c r="Q33" i="36"/>
  <c r="L33" i="36"/>
  <c r="BE32" i="36"/>
  <c r="AZ32" i="36"/>
  <c r="AU32" i="36"/>
  <c r="AP32" i="36"/>
  <c r="AK32" i="36"/>
  <c r="AF32" i="36"/>
  <c r="AA32" i="36"/>
  <c r="V32" i="36"/>
  <c r="Q32" i="36"/>
  <c r="L32" i="36"/>
  <c r="BE31" i="36"/>
  <c r="AZ31" i="36"/>
  <c r="AU31" i="36"/>
  <c r="AP31" i="36"/>
  <c r="AK31" i="36"/>
  <c r="AF31" i="36"/>
  <c r="AA31" i="36"/>
  <c r="V31" i="36"/>
  <c r="Q31" i="36"/>
  <c r="L31" i="36"/>
  <c r="BE30" i="36"/>
  <c r="AZ30" i="36"/>
  <c r="AU30" i="36"/>
  <c r="AP30" i="36"/>
  <c r="AK30" i="36"/>
  <c r="AF30" i="36"/>
  <c r="AA30" i="36"/>
  <c r="V30" i="36"/>
  <c r="Q30" i="36"/>
  <c r="L30" i="36"/>
  <c r="BE29" i="36"/>
  <c r="AZ29" i="36"/>
  <c r="AU29" i="36"/>
  <c r="AP29" i="36"/>
  <c r="AK29" i="36"/>
  <c r="AF29" i="36"/>
  <c r="AA29" i="36"/>
  <c r="V29" i="36"/>
  <c r="Q29" i="36"/>
  <c r="L29" i="36"/>
  <c r="BE28" i="36"/>
  <c r="AZ28" i="36"/>
  <c r="AU28" i="36"/>
  <c r="AP28" i="36"/>
  <c r="AK28" i="36"/>
  <c r="AF28" i="36"/>
  <c r="AA28" i="36"/>
  <c r="V28" i="36"/>
  <c r="Q28" i="36"/>
  <c r="L28" i="36"/>
  <c r="BE27" i="36"/>
  <c r="AZ27" i="36"/>
  <c r="AU27" i="36"/>
  <c r="AP27" i="36"/>
  <c r="AK27" i="36"/>
  <c r="AF27" i="36"/>
  <c r="AA27" i="36"/>
  <c r="V27" i="36"/>
  <c r="Q27" i="36"/>
  <c r="L27" i="36"/>
  <c r="BE26" i="36"/>
  <c r="AZ26" i="36"/>
  <c r="AU26" i="36"/>
  <c r="AP26" i="36"/>
  <c r="AK26" i="36"/>
  <c r="AF26" i="36"/>
  <c r="AA26" i="36"/>
  <c r="V26" i="36"/>
  <c r="Q26" i="36"/>
  <c r="L26" i="36"/>
  <c r="BE25" i="36"/>
  <c r="AZ25" i="36"/>
  <c r="AU25" i="36"/>
  <c r="AP25" i="36"/>
  <c r="AK25" i="36"/>
  <c r="AF25" i="36"/>
  <c r="AA25" i="36"/>
  <c r="V25" i="36"/>
  <c r="Q25" i="36"/>
  <c r="L25" i="36"/>
  <c r="BE24" i="36"/>
  <c r="AZ24" i="36"/>
  <c r="AU24" i="36"/>
  <c r="AP24" i="36"/>
  <c r="AK24" i="36"/>
  <c r="AF24" i="36"/>
  <c r="AA24" i="36"/>
  <c r="V24" i="36"/>
  <c r="Q24" i="36"/>
  <c r="L24" i="36"/>
  <c r="BE23" i="36"/>
  <c r="AZ23" i="36"/>
  <c r="AU23" i="36"/>
  <c r="AP23" i="36"/>
  <c r="AK23" i="36"/>
  <c r="AF23" i="36"/>
  <c r="AA23" i="36"/>
  <c r="V23" i="36"/>
  <c r="Q23" i="36"/>
  <c r="L23" i="36"/>
  <c r="BE22" i="36"/>
  <c r="AZ22" i="36"/>
  <c r="AU22" i="36"/>
  <c r="AP22" i="36"/>
  <c r="AK22" i="36"/>
  <c r="AF22" i="36"/>
  <c r="AA22" i="36"/>
  <c r="V22" i="36"/>
  <c r="Q22" i="36"/>
  <c r="L22" i="36"/>
  <c r="BE21" i="36"/>
  <c r="AZ21" i="36"/>
  <c r="AU21" i="36"/>
  <c r="AP21" i="36"/>
  <c r="AK21" i="36"/>
  <c r="AF21" i="36"/>
  <c r="AA21" i="36"/>
  <c r="V21" i="36"/>
  <c r="Q21" i="36"/>
  <c r="L21" i="36"/>
  <c r="BE20" i="36"/>
  <c r="AZ20" i="36"/>
  <c r="AU20" i="36"/>
  <c r="AP20" i="36"/>
  <c r="AK20" i="36"/>
  <c r="AF20" i="36"/>
  <c r="AA20" i="36"/>
  <c r="V20" i="36"/>
  <c r="Q20" i="36"/>
  <c r="L20" i="36"/>
  <c r="BE19" i="36"/>
  <c r="AZ19" i="36"/>
  <c r="AU19" i="36"/>
  <c r="AP19" i="36"/>
  <c r="AK19" i="36"/>
  <c r="AF19" i="36"/>
  <c r="AA19" i="36"/>
  <c r="V19" i="36"/>
  <c r="Q19" i="36"/>
  <c r="L19" i="36"/>
  <c r="BE18" i="36"/>
  <c r="AZ18" i="36"/>
  <c r="AU18" i="36"/>
  <c r="AP18" i="36"/>
  <c r="AK18" i="36"/>
  <c r="AF18" i="36"/>
  <c r="AA18" i="36"/>
  <c r="V18" i="36"/>
  <c r="Q18" i="36"/>
  <c r="L18" i="36"/>
  <c r="BE17" i="36"/>
  <c r="BD17" i="36"/>
  <c r="D14" i="36" s="1"/>
  <c r="BC17" i="36"/>
  <c r="AZ17" i="36"/>
  <c r="AY17" i="36"/>
  <c r="AX17" i="36"/>
  <c r="AU17" i="36"/>
  <c r="AT17" i="36"/>
  <c r="D12" i="36" s="1"/>
  <c r="AS17" i="36"/>
  <c r="AP17" i="36"/>
  <c r="AO17" i="36"/>
  <c r="AN17" i="36"/>
  <c r="AK17" i="36"/>
  <c r="AJ17" i="36"/>
  <c r="D10" i="36" s="1"/>
  <c r="AI17" i="36"/>
  <c r="AF17" i="36"/>
  <c r="AE17" i="36"/>
  <c r="AD17" i="36"/>
  <c r="AA17" i="36"/>
  <c r="Z17" i="36"/>
  <c r="D8" i="36" s="1"/>
  <c r="Y17" i="36"/>
  <c r="V17" i="36"/>
  <c r="U17" i="36"/>
  <c r="T17" i="36"/>
  <c r="Q17" i="36"/>
  <c r="P17" i="36"/>
  <c r="D6" i="36" s="1"/>
  <c r="O17" i="36"/>
  <c r="L17" i="36"/>
  <c r="K17" i="36"/>
  <c r="J17" i="36"/>
  <c r="E14" i="36"/>
  <c r="C14" i="36"/>
  <c r="E13" i="36"/>
  <c r="D13" i="36"/>
  <c r="C13" i="36"/>
  <c r="E12" i="36"/>
  <c r="C12" i="36"/>
  <c r="E11" i="36"/>
  <c r="D11" i="36"/>
  <c r="C11" i="36"/>
  <c r="E10" i="36"/>
  <c r="C10" i="36"/>
  <c r="E9" i="36"/>
  <c r="D9" i="36"/>
  <c r="C9" i="36"/>
  <c r="E8" i="36"/>
  <c r="C8" i="36"/>
  <c r="E7" i="36"/>
  <c r="D7" i="36"/>
  <c r="C7" i="36"/>
  <c r="E6" i="36"/>
  <c r="C6" i="36"/>
  <c r="E5" i="36"/>
  <c r="AC2" i="36" s="1"/>
  <c r="D5" i="36"/>
  <c r="C5" i="36"/>
  <c r="AC3" i="36"/>
  <c r="R3" i="36"/>
  <c r="M3" i="36"/>
  <c r="H3" i="36"/>
  <c r="H1" i="36"/>
  <c r="BE73" i="35"/>
  <c r="AZ73" i="35"/>
  <c r="AU73" i="35"/>
  <c r="AP73" i="35"/>
  <c r="AK73" i="35"/>
  <c r="AF73" i="35"/>
  <c r="AA73" i="35"/>
  <c r="V73" i="35"/>
  <c r="Q73" i="35"/>
  <c r="L73" i="35"/>
  <c r="BE72" i="35"/>
  <c r="AZ72" i="35"/>
  <c r="AU72" i="35"/>
  <c r="AP72" i="35"/>
  <c r="AK72" i="35"/>
  <c r="AF72" i="35"/>
  <c r="AA72" i="35"/>
  <c r="V72" i="35"/>
  <c r="Q72" i="35"/>
  <c r="L72" i="35"/>
  <c r="BE71" i="35"/>
  <c r="AZ71" i="35"/>
  <c r="AU71" i="35"/>
  <c r="AP71" i="35"/>
  <c r="AK71" i="35"/>
  <c r="AF71" i="35"/>
  <c r="AA71" i="35"/>
  <c r="V71" i="35"/>
  <c r="Q71" i="35"/>
  <c r="L71" i="35"/>
  <c r="BE70" i="35"/>
  <c r="AZ70" i="35"/>
  <c r="AU70" i="35"/>
  <c r="AP70" i="35"/>
  <c r="AK70" i="35"/>
  <c r="AF70" i="35"/>
  <c r="AA70" i="35"/>
  <c r="V70" i="35"/>
  <c r="Q70" i="35"/>
  <c r="L70" i="35"/>
  <c r="BE69" i="35"/>
  <c r="AZ69" i="35"/>
  <c r="AU69" i="35"/>
  <c r="AP69" i="35"/>
  <c r="AK69" i="35"/>
  <c r="AF69" i="35"/>
  <c r="AA69" i="35"/>
  <c r="V69" i="35"/>
  <c r="Q69" i="35"/>
  <c r="L69" i="35"/>
  <c r="BE68" i="35"/>
  <c r="AZ68" i="35"/>
  <c r="AU68" i="35"/>
  <c r="AP68" i="35"/>
  <c r="AK68" i="35"/>
  <c r="AF68" i="35"/>
  <c r="AA68" i="35"/>
  <c r="V68" i="35"/>
  <c r="Q68" i="35"/>
  <c r="L68" i="35"/>
  <c r="BE67" i="35"/>
  <c r="AZ67" i="35"/>
  <c r="AU67" i="35"/>
  <c r="AP67" i="35"/>
  <c r="AK67" i="35"/>
  <c r="AF67" i="35"/>
  <c r="AA67" i="35"/>
  <c r="V67" i="35"/>
  <c r="Q67" i="35"/>
  <c r="L67" i="35"/>
  <c r="BE66" i="35"/>
  <c r="AZ66" i="35"/>
  <c r="AU66" i="35"/>
  <c r="AP66" i="35"/>
  <c r="AK66" i="35"/>
  <c r="AF66" i="35"/>
  <c r="AA66" i="35"/>
  <c r="V66" i="35"/>
  <c r="Q66" i="35"/>
  <c r="L66" i="35"/>
  <c r="BE65" i="35"/>
  <c r="AZ65" i="35"/>
  <c r="AU65" i="35"/>
  <c r="AP65" i="35"/>
  <c r="AK65" i="35"/>
  <c r="AF65" i="35"/>
  <c r="AA65" i="35"/>
  <c r="V65" i="35"/>
  <c r="Q65" i="35"/>
  <c r="L65" i="35"/>
  <c r="BE64" i="35"/>
  <c r="AZ64" i="35"/>
  <c r="AU64" i="35"/>
  <c r="AP64" i="35"/>
  <c r="AK64" i="35"/>
  <c r="AF64" i="35"/>
  <c r="AA64" i="35"/>
  <c r="V64" i="35"/>
  <c r="Q64" i="35"/>
  <c r="L64" i="35"/>
  <c r="BE63" i="35"/>
  <c r="AZ63" i="35"/>
  <c r="AU63" i="35"/>
  <c r="AP63" i="35"/>
  <c r="AK63" i="35"/>
  <c r="AF63" i="35"/>
  <c r="AA63" i="35"/>
  <c r="V63" i="35"/>
  <c r="Q63" i="35"/>
  <c r="L63" i="35"/>
  <c r="BE62" i="35"/>
  <c r="AZ62" i="35"/>
  <c r="AU62" i="35"/>
  <c r="AP62" i="35"/>
  <c r="AK62" i="35"/>
  <c r="AF62" i="35"/>
  <c r="AA62" i="35"/>
  <c r="V62" i="35"/>
  <c r="Q62" i="35"/>
  <c r="L62" i="35"/>
  <c r="BE61" i="35"/>
  <c r="AZ61" i="35"/>
  <c r="AU61" i="35"/>
  <c r="AP61" i="35"/>
  <c r="AK61" i="35"/>
  <c r="AF61" i="35"/>
  <c r="AA61" i="35"/>
  <c r="V61" i="35"/>
  <c r="Q61" i="35"/>
  <c r="L61" i="35"/>
  <c r="BE60" i="35"/>
  <c r="AZ60" i="35"/>
  <c r="AU60" i="35"/>
  <c r="AP60" i="35"/>
  <c r="AK60" i="35"/>
  <c r="AF60" i="35"/>
  <c r="AA60" i="35"/>
  <c r="V60" i="35"/>
  <c r="Q60" i="35"/>
  <c r="L60" i="35"/>
  <c r="BE59" i="35"/>
  <c r="AZ59" i="35"/>
  <c r="AU59" i="35"/>
  <c r="AP59" i="35"/>
  <c r="AK59" i="35"/>
  <c r="AF59" i="35"/>
  <c r="AA59" i="35"/>
  <c r="V59" i="35"/>
  <c r="Q59" i="35"/>
  <c r="L59" i="35"/>
  <c r="BE58" i="35"/>
  <c r="AZ58" i="35"/>
  <c r="AU58" i="35"/>
  <c r="AP58" i="35"/>
  <c r="AK58" i="35"/>
  <c r="AF58" i="35"/>
  <c r="AA58" i="35"/>
  <c r="V58" i="35"/>
  <c r="Q58" i="35"/>
  <c r="L58" i="35"/>
  <c r="BE57" i="35"/>
  <c r="AZ57" i="35"/>
  <c r="AU57" i="35"/>
  <c r="AP57" i="35"/>
  <c r="AK57" i="35"/>
  <c r="AF57" i="35"/>
  <c r="AA57" i="35"/>
  <c r="V57" i="35"/>
  <c r="Q57" i="35"/>
  <c r="L57" i="35"/>
  <c r="BE56" i="35"/>
  <c r="AZ56" i="35"/>
  <c r="AU56" i="35"/>
  <c r="AP56" i="35"/>
  <c r="AK56" i="35"/>
  <c r="AF56" i="35"/>
  <c r="AA56" i="35"/>
  <c r="V56" i="35"/>
  <c r="Q56" i="35"/>
  <c r="L56" i="35"/>
  <c r="BE55" i="35"/>
  <c r="AZ55" i="35"/>
  <c r="AU55" i="35"/>
  <c r="AP55" i="35"/>
  <c r="AK55" i="35"/>
  <c r="AF55" i="35"/>
  <c r="AA55" i="35"/>
  <c r="V55" i="35"/>
  <c r="Q55" i="35"/>
  <c r="L55" i="35"/>
  <c r="BE54" i="35"/>
  <c r="AZ54" i="35"/>
  <c r="AU54" i="35"/>
  <c r="AP54" i="35"/>
  <c r="AK54" i="35"/>
  <c r="AF54" i="35"/>
  <c r="AA54" i="35"/>
  <c r="V54" i="35"/>
  <c r="Q54" i="35"/>
  <c r="L54" i="35"/>
  <c r="BE53" i="35"/>
  <c r="AZ53" i="35"/>
  <c r="AU53" i="35"/>
  <c r="AP53" i="35"/>
  <c r="AK53" i="35"/>
  <c r="AF53" i="35"/>
  <c r="AA53" i="35"/>
  <c r="V53" i="35"/>
  <c r="Q53" i="35"/>
  <c r="L53" i="35"/>
  <c r="BE52" i="35"/>
  <c r="AZ52" i="35"/>
  <c r="AU52" i="35"/>
  <c r="AP52" i="35"/>
  <c r="AK52" i="35"/>
  <c r="AF52" i="35"/>
  <c r="AA52" i="35"/>
  <c r="V52" i="35"/>
  <c r="Q52" i="35"/>
  <c r="L52" i="35"/>
  <c r="BE51" i="35"/>
  <c r="AZ51" i="35"/>
  <c r="AU51" i="35"/>
  <c r="AP51" i="35"/>
  <c r="AK51" i="35"/>
  <c r="AF51" i="35"/>
  <c r="AA51" i="35"/>
  <c r="V51" i="35"/>
  <c r="Q51" i="35"/>
  <c r="L51" i="35"/>
  <c r="BE50" i="35"/>
  <c r="AZ50" i="35"/>
  <c r="AU50" i="35"/>
  <c r="AP50" i="35"/>
  <c r="AK50" i="35"/>
  <c r="AF50" i="35"/>
  <c r="AA50" i="35"/>
  <c r="V50" i="35"/>
  <c r="Q50" i="35"/>
  <c r="L50" i="35"/>
  <c r="BE49" i="35"/>
  <c r="AZ49" i="35"/>
  <c r="AU49" i="35"/>
  <c r="AP49" i="35"/>
  <c r="AK49" i="35"/>
  <c r="AF49" i="35"/>
  <c r="AA49" i="35"/>
  <c r="V49" i="35"/>
  <c r="Q49" i="35"/>
  <c r="L49" i="35"/>
  <c r="BE48" i="35"/>
  <c r="AZ48" i="35"/>
  <c r="AU48" i="35"/>
  <c r="AP48" i="35"/>
  <c r="AK48" i="35"/>
  <c r="AF48" i="35"/>
  <c r="AA48" i="35"/>
  <c r="V48" i="35"/>
  <c r="Q48" i="35"/>
  <c r="L48" i="35"/>
  <c r="BE47" i="35"/>
  <c r="AZ47" i="35"/>
  <c r="AU47" i="35"/>
  <c r="AP47" i="35"/>
  <c r="AK47" i="35"/>
  <c r="AF47" i="35"/>
  <c r="AA47" i="35"/>
  <c r="V47" i="35"/>
  <c r="Q47" i="35"/>
  <c r="L47" i="35"/>
  <c r="BE46" i="35"/>
  <c r="AZ46" i="35"/>
  <c r="AU46" i="35"/>
  <c r="AP46" i="35"/>
  <c r="AK46" i="35"/>
  <c r="AF46" i="35"/>
  <c r="AA46" i="35"/>
  <c r="V46" i="35"/>
  <c r="Q46" i="35"/>
  <c r="L46" i="35"/>
  <c r="BE45" i="35"/>
  <c r="AZ45" i="35"/>
  <c r="AU45" i="35"/>
  <c r="AP45" i="35"/>
  <c r="AK45" i="35"/>
  <c r="AF45" i="35"/>
  <c r="AA45" i="35"/>
  <c r="V45" i="35"/>
  <c r="Q45" i="35"/>
  <c r="L45" i="35"/>
  <c r="BE44" i="35"/>
  <c r="AZ44" i="35"/>
  <c r="AU44" i="35"/>
  <c r="AP44" i="35"/>
  <c r="AK44" i="35"/>
  <c r="AF44" i="35"/>
  <c r="AA44" i="35"/>
  <c r="V44" i="35"/>
  <c r="Q44" i="35"/>
  <c r="L44" i="35"/>
  <c r="BE43" i="35"/>
  <c r="AZ43" i="35"/>
  <c r="AU43" i="35"/>
  <c r="AP43" i="35"/>
  <c r="AK43" i="35"/>
  <c r="AF43" i="35"/>
  <c r="AA43" i="35"/>
  <c r="V43" i="35"/>
  <c r="Q43" i="35"/>
  <c r="L43" i="35"/>
  <c r="BE42" i="35"/>
  <c r="AZ42" i="35"/>
  <c r="AU42" i="35"/>
  <c r="AP42" i="35"/>
  <c r="AK42" i="35"/>
  <c r="AF42" i="35"/>
  <c r="AA42" i="35"/>
  <c r="V42" i="35"/>
  <c r="Q42" i="35"/>
  <c r="L42" i="35"/>
  <c r="BE41" i="35"/>
  <c r="AZ41" i="35"/>
  <c r="AU41" i="35"/>
  <c r="AP41" i="35"/>
  <c r="AK41" i="35"/>
  <c r="AF41" i="35"/>
  <c r="AA41" i="35"/>
  <c r="V41" i="35"/>
  <c r="Q41" i="35"/>
  <c r="L41" i="35"/>
  <c r="BE40" i="35"/>
  <c r="AZ40" i="35"/>
  <c r="AU40" i="35"/>
  <c r="AP40" i="35"/>
  <c r="AK40" i="35"/>
  <c r="AF40" i="35"/>
  <c r="AA40" i="35"/>
  <c r="V40" i="35"/>
  <c r="Q40" i="35"/>
  <c r="L40" i="35"/>
  <c r="BE39" i="35"/>
  <c r="AZ39" i="35"/>
  <c r="AU39" i="35"/>
  <c r="AP39" i="35"/>
  <c r="AK39" i="35"/>
  <c r="AF39" i="35"/>
  <c r="AA39" i="35"/>
  <c r="V39" i="35"/>
  <c r="Q39" i="35"/>
  <c r="L39" i="35"/>
  <c r="BE38" i="35"/>
  <c r="AZ38" i="35"/>
  <c r="AU38" i="35"/>
  <c r="AP38" i="35"/>
  <c r="AK38" i="35"/>
  <c r="AF38" i="35"/>
  <c r="AA38" i="35"/>
  <c r="V38" i="35"/>
  <c r="Q38" i="35"/>
  <c r="L38" i="35"/>
  <c r="BE37" i="35"/>
  <c r="AZ37" i="35"/>
  <c r="AU37" i="35"/>
  <c r="AP37" i="35"/>
  <c r="AK37" i="35"/>
  <c r="AF37" i="35"/>
  <c r="AA37" i="35"/>
  <c r="V37" i="35"/>
  <c r="Q37" i="35"/>
  <c r="L37" i="35"/>
  <c r="BE36" i="35"/>
  <c r="AZ36" i="35"/>
  <c r="AU36" i="35"/>
  <c r="AP36" i="35"/>
  <c r="AK36" i="35"/>
  <c r="AF36" i="35"/>
  <c r="AA36" i="35"/>
  <c r="V36" i="35"/>
  <c r="Q36" i="35"/>
  <c r="L36" i="35"/>
  <c r="BE35" i="35"/>
  <c r="AZ35" i="35"/>
  <c r="AU35" i="35"/>
  <c r="AP35" i="35"/>
  <c r="AK35" i="35"/>
  <c r="AF35" i="35"/>
  <c r="AA35" i="35"/>
  <c r="V35" i="35"/>
  <c r="Q35" i="35"/>
  <c r="L35" i="35"/>
  <c r="BE34" i="35"/>
  <c r="AZ34" i="35"/>
  <c r="AU34" i="35"/>
  <c r="AP34" i="35"/>
  <c r="AK34" i="35"/>
  <c r="AF34" i="35"/>
  <c r="AA34" i="35"/>
  <c r="V34" i="35"/>
  <c r="Q34" i="35"/>
  <c r="L34" i="35"/>
  <c r="BE33" i="35"/>
  <c r="AZ33" i="35"/>
  <c r="AU33" i="35"/>
  <c r="AP33" i="35"/>
  <c r="AK33" i="35"/>
  <c r="AF33" i="35"/>
  <c r="AA33" i="35"/>
  <c r="V33" i="35"/>
  <c r="Q33" i="35"/>
  <c r="L33" i="35"/>
  <c r="BE32" i="35"/>
  <c r="AZ32" i="35"/>
  <c r="AU32" i="35"/>
  <c r="AP32" i="35"/>
  <c r="AK32" i="35"/>
  <c r="AF32" i="35"/>
  <c r="AA32" i="35"/>
  <c r="V32" i="35"/>
  <c r="Q32" i="35"/>
  <c r="L32" i="35"/>
  <c r="BE31" i="35"/>
  <c r="AZ31" i="35"/>
  <c r="AU31" i="35"/>
  <c r="AP31" i="35"/>
  <c r="AK31" i="35"/>
  <c r="AF31" i="35"/>
  <c r="AA31" i="35"/>
  <c r="V31" i="35"/>
  <c r="Q31" i="35"/>
  <c r="L31" i="35"/>
  <c r="BE30" i="35"/>
  <c r="AZ30" i="35"/>
  <c r="AU30" i="35"/>
  <c r="AP30" i="35"/>
  <c r="AK30" i="35"/>
  <c r="AF30" i="35"/>
  <c r="AA30" i="35"/>
  <c r="V30" i="35"/>
  <c r="Q30" i="35"/>
  <c r="L30" i="35"/>
  <c r="BE29" i="35"/>
  <c r="AZ29" i="35"/>
  <c r="AU29" i="35"/>
  <c r="AP29" i="35"/>
  <c r="AK29" i="35"/>
  <c r="AF29" i="35"/>
  <c r="AA29" i="35"/>
  <c r="V29" i="35"/>
  <c r="Q29" i="35"/>
  <c r="L29" i="35"/>
  <c r="BE28" i="35"/>
  <c r="AZ28" i="35"/>
  <c r="AU28" i="35"/>
  <c r="AP28" i="35"/>
  <c r="AK28" i="35"/>
  <c r="AF28" i="35"/>
  <c r="AA28" i="35"/>
  <c r="V28" i="35"/>
  <c r="Q28" i="35"/>
  <c r="L28" i="35"/>
  <c r="BE27" i="35"/>
  <c r="AZ27" i="35"/>
  <c r="AU27" i="35"/>
  <c r="AP27" i="35"/>
  <c r="AK27" i="35"/>
  <c r="AF27" i="35"/>
  <c r="AA27" i="35"/>
  <c r="V27" i="35"/>
  <c r="Q27" i="35"/>
  <c r="L27" i="35"/>
  <c r="BE26" i="35"/>
  <c r="AZ26" i="35"/>
  <c r="AU26" i="35"/>
  <c r="AP26" i="35"/>
  <c r="AK26" i="35"/>
  <c r="AF26" i="35"/>
  <c r="AA26" i="35"/>
  <c r="V26" i="35"/>
  <c r="Q26" i="35"/>
  <c r="L26" i="35"/>
  <c r="BE25" i="35"/>
  <c r="AZ25" i="35"/>
  <c r="AU25" i="35"/>
  <c r="AP25" i="35"/>
  <c r="AK25" i="35"/>
  <c r="AF25" i="35"/>
  <c r="AA25" i="35"/>
  <c r="V25" i="35"/>
  <c r="Q25" i="35"/>
  <c r="L25" i="35"/>
  <c r="BE24" i="35"/>
  <c r="AZ24" i="35"/>
  <c r="AU24" i="35"/>
  <c r="AP24" i="35"/>
  <c r="AK24" i="35"/>
  <c r="AF24" i="35"/>
  <c r="AA24" i="35"/>
  <c r="V24" i="35"/>
  <c r="Q24" i="35"/>
  <c r="L24" i="35"/>
  <c r="BE23" i="35"/>
  <c r="AZ23" i="35"/>
  <c r="AU23" i="35"/>
  <c r="AP23" i="35"/>
  <c r="AK23" i="35"/>
  <c r="AF23" i="35"/>
  <c r="AA23" i="35"/>
  <c r="V23" i="35"/>
  <c r="Q23" i="35"/>
  <c r="L23" i="35"/>
  <c r="BE22" i="35"/>
  <c r="AZ22" i="35"/>
  <c r="AU22" i="35"/>
  <c r="AP22" i="35"/>
  <c r="AK22" i="35"/>
  <c r="AF22" i="35"/>
  <c r="AA22" i="35"/>
  <c r="V22" i="35"/>
  <c r="Q22" i="35"/>
  <c r="L22" i="35"/>
  <c r="BE21" i="35"/>
  <c r="AZ21" i="35"/>
  <c r="AU21" i="35"/>
  <c r="AP21" i="35"/>
  <c r="AK21" i="35"/>
  <c r="AF21" i="35"/>
  <c r="AA21" i="35"/>
  <c r="V21" i="35"/>
  <c r="Q21" i="35"/>
  <c r="L21" i="35"/>
  <c r="BE20" i="35"/>
  <c r="AZ20" i="35"/>
  <c r="AU20" i="35"/>
  <c r="AP20" i="35"/>
  <c r="AK20" i="35"/>
  <c r="AF20" i="35"/>
  <c r="AA20" i="35"/>
  <c r="V20" i="35"/>
  <c r="Q20" i="35"/>
  <c r="L20" i="35"/>
  <c r="BE19" i="35"/>
  <c r="AZ19" i="35"/>
  <c r="AU19" i="35"/>
  <c r="AP19" i="35"/>
  <c r="AK19" i="35"/>
  <c r="AF19" i="35"/>
  <c r="AA19" i="35"/>
  <c r="V19" i="35"/>
  <c r="Q19" i="35"/>
  <c r="L19" i="35"/>
  <c r="BE18" i="35"/>
  <c r="AZ18" i="35"/>
  <c r="AU18" i="35"/>
  <c r="AP18" i="35"/>
  <c r="AK18" i="35"/>
  <c r="AF18" i="35"/>
  <c r="AA18" i="35"/>
  <c r="V18" i="35"/>
  <c r="Q18" i="35"/>
  <c r="L18" i="35"/>
  <c r="BE17" i="35"/>
  <c r="BD17" i="35"/>
  <c r="D14" i="35" s="1"/>
  <c r="BC17" i="35"/>
  <c r="AZ17" i="35"/>
  <c r="AY17" i="35"/>
  <c r="AX17" i="35"/>
  <c r="AU17" i="35"/>
  <c r="AT17" i="35"/>
  <c r="D12" i="35" s="1"/>
  <c r="AS17" i="35"/>
  <c r="AP17" i="35"/>
  <c r="AO17" i="35"/>
  <c r="AN17" i="35"/>
  <c r="AK17" i="35"/>
  <c r="AJ17" i="35"/>
  <c r="D10" i="35" s="1"/>
  <c r="AI17" i="35"/>
  <c r="AF17" i="35"/>
  <c r="AE17" i="35"/>
  <c r="AD17" i="35"/>
  <c r="AA17" i="35"/>
  <c r="Z17" i="35"/>
  <c r="D8" i="35" s="1"/>
  <c r="Y17" i="35"/>
  <c r="V17" i="35"/>
  <c r="U17" i="35"/>
  <c r="T17" i="35"/>
  <c r="Q17" i="35"/>
  <c r="P17" i="35"/>
  <c r="D6" i="35" s="1"/>
  <c r="O17" i="35"/>
  <c r="L17" i="35"/>
  <c r="K17" i="35"/>
  <c r="J17" i="35"/>
  <c r="E14" i="35"/>
  <c r="C14" i="35"/>
  <c r="E13" i="35"/>
  <c r="D13" i="35"/>
  <c r="C13" i="35"/>
  <c r="E12" i="35"/>
  <c r="C12" i="35"/>
  <c r="E11" i="35"/>
  <c r="D11" i="35"/>
  <c r="C11" i="35"/>
  <c r="E10" i="35"/>
  <c r="C10" i="35"/>
  <c r="E9" i="35"/>
  <c r="D9" i="35"/>
  <c r="C9" i="35"/>
  <c r="E8" i="35"/>
  <c r="C8" i="35"/>
  <c r="E7" i="35"/>
  <c r="D7" i="35"/>
  <c r="C7" i="35"/>
  <c r="E6" i="35"/>
  <c r="C6" i="35"/>
  <c r="E5" i="35"/>
  <c r="AC2" i="35" s="1"/>
  <c r="D5" i="35"/>
  <c r="C5" i="35"/>
  <c r="AC3" i="35"/>
  <c r="R3" i="35"/>
  <c r="M3" i="35"/>
  <c r="H3" i="35"/>
  <c r="H1" i="35"/>
  <c r="BE73" i="34"/>
  <c r="AZ73" i="34"/>
  <c r="AU73" i="34"/>
  <c r="AP73" i="34"/>
  <c r="AK73" i="34"/>
  <c r="AF73" i="34"/>
  <c r="AA73" i="34"/>
  <c r="V73" i="34"/>
  <c r="Q73" i="34"/>
  <c r="L73" i="34"/>
  <c r="BE72" i="34"/>
  <c r="AZ72" i="34"/>
  <c r="AU72" i="34"/>
  <c r="AP72" i="34"/>
  <c r="AK72" i="34"/>
  <c r="AF72" i="34"/>
  <c r="AA72" i="34"/>
  <c r="V72" i="34"/>
  <c r="Q72" i="34"/>
  <c r="L72" i="34"/>
  <c r="BE71" i="34"/>
  <c r="AZ71" i="34"/>
  <c r="AU71" i="34"/>
  <c r="AP71" i="34"/>
  <c r="AK71" i="34"/>
  <c r="AF71" i="34"/>
  <c r="AA71" i="34"/>
  <c r="V71" i="34"/>
  <c r="Q71" i="34"/>
  <c r="L71" i="34"/>
  <c r="BE70" i="34"/>
  <c r="AZ70" i="34"/>
  <c r="AU70" i="34"/>
  <c r="AP70" i="34"/>
  <c r="AK70" i="34"/>
  <c r="AF70" i="34"/>
  <c r="AA70" i="34"/>
  <c r="V70" i="34"/>
  <c r="Q70" i="34"/>
  <c r="L70" i="34"/>
  <c r="BE69" i="34"/>
  <c r="AZ69" i="34"/>
  <c r="AU69" i="34"/>
  <c r="AP69" i="34"/>
  <c r="AK69" i="34"/>
  <c r="AF69" i="34"/>
  <c r="AA69" i="34"/>
  <c r="V69" i="34"/>
  <c r="Q69" i="34"/>
  <c r="L69" i="34"/>
  <c r="BE68" i="34"/>
  <c r="AZ68" i="34"/>
  <c r="AU68" i="34"/>
  <c r="AP68" i="34"/>
  <c r="AK68" i="34"/>
  <c r="AF68" i="34"/>
  <c r="AA68" i="34"/>
  <c r="V68" i="34"/>
  <c r="Q68" i="34"/>
  <c r="L68" i="34"/>
  <c r="BE67" i="34"/>
  <c r="AZ67" i="34"/>
  <c r="AU67" i="34"/>
  <c r="AP67" i="34"/>
  <c r="AK67" i="34"/>
  <c r="AF67" i="34"/>
  <c r="AA67" i="34"/>
  <c r="V67" i="34"/>
  <c r="Q67" i="34"/>
  <c r="L67" i="34"/>
  <c r="BE66" i="34"/>
  <c r="AZ66" i="34"/>
  <c r="AU66" i="34"/>
  <c r="AP66" i="34"/>
  <c r="AK66" i="34"/>
  <c r="AF66" i="34"/>
  <c r="AA66" i="34"/>
  <c r="V66" i="34"/>
  <c r="Q66" i="34"/>
  <c r="L66" i="34"/>
  <c r="BE65" i="34"/>
  <c r="AZ65" i="34"/>
  <c r="AU65" i="34"/>
  <c r="AP65" i="34"/>
  <c r="AK65" i="34"/>
  <c r="AF65" i="34"/>
  <c r="AA65" i="34"/>
  <c r="V65" i="34"/>
  <c r="Q65" i="34"/>
  <c r="L65" i="34"/>
  <c r="BE64" i="34"/>
  <c r="AZ64" i="34"/>
  <c r="AU64" i="34"/>
  <c r="AP64" i="34"/>
  <c r="AK64" i="34"/>
  <c r="AF64" i="34"/>
  <c r="AA64" i="34"/>
  <c r="V64" i="34"/>
  <c r="Q64" i="34"/>
  <c r="L64" i="34"/>
  <c r="BE63" i="34"/>
  <c r="AZ63" i="34"/>
  <c r="AU63" i="34"/>
  <c r="AP63" i="34"/>
  <c r="AK63" i="34"/>
  <c r="AF63" i="34"/>
  <c r="AA63" i="34"/>
  <c r="V63" i="34"/>
  <c r="Q63" i="34"/>
  <c r="L63" i="34"/>
  <c r="BE62" i="34"/>
  <c r="AZ62" i="34"/>
  <c r="AU62" i="34"/>
  <c r="AP62" i="34"/>
  <c r="AK62" i="34"/>
  <c r="AF62" i="34"/>
  <c r="AA62" i="34"/>
  <c r="V62" i="34"/>
  <c r="Q62" i="34"/>
  <c r="L62" i="34"/>
  <c r="BE61" i="34"/>
  <c r="AZ61" i="34"/>
  <c r="AU61" i="34"/>
  <c r="AP61" i="34"/>
  <c r="AK61" i="34"/>
  <c r="AF61" i="34"/>
  <c r="AA61" i="34"/>
  <c r="V61" i="34"/>
  <c r="Q61" i="34"/>
  <c r="L61" i="34"/>
  <c r="BE60" i="34"/>
  <c r="AZ60" i="34"/>
  <c r="AU60" i="34"/>
  <c r="AP60" i="34"/>
  <c r="AK60" i="34"/>
  <c r="AF60" i="34"/>
  <c r="AA60" i="34"/>
  <c r="V60" i="34"/>
  <c r="Q60" i="34"/>
  <c r="L60" i="34"/>
  <c r="BE59" i="34"/>
  <c r="AZ59" i="34"/>
  <c r="AU59" i="34"/>
  <c r="AP59" i="34"/>
  <c r="AK59" i="34"/>
  <c r="AF59" i="34"/>
  <c r="AA59" i="34"/>
  <c r="V59" i="34"/>
  <c r="Q59" i="34"/>
  <c r="L59" i="34"/>
  <c r="BE58" i="34"/>
  <c r="AZ58" i="34"/>
  <c r="AU58" i="34"/>
  <c r="AP58" i="34"/>
  <c r="AK58" i="34"/>
  <c r="AF58" i="34"/>
  <c r="AA58" i="34"/>
  <c r="V58" i="34"/>
  <c r="Q58" i="34"/>
  <c r="L58" i="34"/>
  <c r="BE57" i="34"/>
  <c r="AZ57" i="34"/>
  <c r="AU57" i="34"/>
  <c r="AP57" i="34"/>
  <c r="AK57" i="34"/>
  <c r="AF57" i="34"/>
  <c r="AA57" i="34"/>
  <c r="V57" i="34"/>
  <c r="Q57" i="34"/>
  <c r="L57" i="34"/>
  <c r="BE56" i="34"/>
  <c r="AZ56" i="34"/>
  <c r="AU56" i="34"/>
  <c r="AP56" i="34"/>
  <c r="AK56" i="34"/>
  <c r="AF56" i="34"/>
  <c r="AA56" i="34"/>
  <c r="V56" i="34"/>
  <c r="Q56" i="34"/>
  <c r="L56" i="34"/>
  <c r="BE55" i="34"/>
  <c r="AZ55" i="34"/>
  <c r="AU55" i="34"/>
  <c r="AP55" i="34"/>
  <c r="AK55" i="34"/>
  <c r="AF55" i="34"/>
  <c r="AA55" i="34"/>
  <c r="V55" i="34"/>
  <c r="Q55" i="34"/>
  <c r="L55" i="34"/>
  <c r="BE54" i="34"/>
  <c r="AZ54" i="34"/>
  <c r="AU54" i="34"/>
  <c r="AP54" i="34"/>
  <c r="AK54" i="34"/>
  <c r="AF54" i="34"/>
  <c r="AA54" i="34"/>
  <c r="V54" i="34"/>
  <c r="Q54" i="34"/>
  <c r="L54" i="34"/>
  <c r="BE53" i="34"/>
  <c r="AZ53" i="34"/>
  <c r="AU53" i="34"/>
  <c r="AP53" i="34"/>
  <c r="AK53" i="34"/>
  <c r="AF53" i="34"/>
  <c r="AA53" i="34"/>
  <c r="V53" i="34"/>
  <c r="Q53" i="34"/>
  <c r="L53" i="34"/>
  <c r="BE52" i="34"/>
  <c r="AZ52" i="34"/>
  <c r="AU52" i="34"/>
  <c r="AP52" i="34"/>
  <c r="AK52" i="34"/>
  <c r="AF52" i="34"/>
  <c r="AA52" i="34"/>
  <c r="V52" i="34"/>
  <c r="Q52" i="34"/>
  <c r="L52" i="34"/>
  <c r="BE51" i="34"/>
  <c r="AZ51" i="34"/>
  <c r="AU51" i="34"/>
  <c r="AP51" i="34"/>
  <c r="AK51" i="34"/>
  <c r="AF51" i="34"/>
  <c r="AA51" i="34"/>
  <c r="V51" i="34"/>
  <c r="Q51" i="34"/>
  <c r="L51" i="34"/>
  <c r="BE50" i="34"/>
  <c r="AZ50" i="34"/>
  <c r="AU50" i="34"/>
  <c r="AP50" i="34"/>
  <c r="AK50" i="34"/>
  <c r="AF50" i="34"/>
  <c r="AA50" i="34"/>
  <c r="V50" i="34"/>
  <c r="Q50" i="34"/>
  <c r="L50" i="34"/>
  <c r="BE49" i="34"/>
  <c r="AZ49" i="34"/>
  <c r="AU49" i="34"/>
  <c r="AP49" i="34"/>
  <c r="AK49" i="34"/>
  <c r="AF49" i="34"/>
  <c r="AA49" i="34"/>
  <c r="V49" i="34"/>
  <c r="Q49" i="34"/>
  <c r="L49" i="34"/>
  <c r="BE48" i="34"/>
  <c r="AZ48" i="34"/>
  <c r="AU48" i="34"/>
  <c r="AP48" i="34"/>
  <c r="AK48" i="34"/>
  <c r="AF48" i="34"/>
  <c r="AA48" i="34"/>
  <c r="V48" i="34"/>
  <c r="Q48" i="34"/>
  <c r="L48" i="34"/>
  <c r="BE47" i="34"/>
  <c r="AZ47" i="34"/>
  <c r="AU47" i="34"/>
  <c r="AP47" i="34"/>
  <c r="AK47" i="34"/>
  <c r="AF47" i="34"/>
  <c r="AA47" i="34"/>
  <c r="V47" i="34"/>
  <c r="Q47" i="34"/>
  <c r="L47" i="34"/>
  <c r="BE46" i="34"/>
  <c r="AZ46" i="34"/>
  <c r="AU46" i="34"/>
  <c r="AP46" i="34"/>
  <c r="AK46" i="34"/>
  <c r="AF46" i="34"/>
  <c r="AA46" i="34"/>
  <c r="V46" i="34"/>
  <c r="Q46" i="34"/>
  <c r="L46" i="34"/>
  <c r="BE45" i="34"/>
  <c r="AZ45" i="34"/>
  <c r="AU45" i="34"/>
  <c r="AP45" i="34"/>
  <c r="AK45" i="34"/>
  <c r="AF45" i="34"/>
  <c r="AA45" i="34"/>
  <c r="V45" i="34"/>
  <c r="Q45" i="34"/>
  <c r="L45" i="34"/>
  <c r="BE44" i="34"/>
  <c r="AZ44" i="34"/>
  <c r="AU44" i="34"/>
  <c r="AP44" i="34"/>
  <c r="AK44" i="34"/>
  <c r="AF44" i="34"/>
  <c r="AA44" i="34"/>
  <c r="V44" i="34"/>
  <c r="Q44" i="34"/>
  <c r="L44" i="34"/>
  <c r="BE43" i="34"/>
  <c r="AZ43" i="34"/>
  <c r="AU43" i="34"/>
  <c r="AP43" i="34"/>
  <c r="AK43" i="34"/>
  <c r="AF43" i="34"/>
  <c r="AA43" i="34"/>
  <c r="V43" i="34"/>
  <c r="Q43" i="34"/>
  <c r="L43" i="34"/>
  <c r="BE42" i="34"/>
  <c r="AZ42" i="34"/>
  <c r="AU42" i="34"/>
  <c r="AP42" i="34"/>
  <c r="AK42" i="34"/>
  <c r="AF42" i="34"/>
  <c r="AA42" i="34"/>
  <c r="V42" i="34"/>
  <c r="Q42" i="34"/>
  <c r="L42" i="34"/>
  <c r="BE41" i="34"/>
  <c r="AZ41" i="34"/>
  <c r="AU41" i="34"/>
  <c r="AP41" i="34"/>
  <c r="AK41" i="34"/>
  <c r="AF41" i="34"/>
  <c r="AA41" i="34"/>
  <c r="V41" i="34"/>
  <c r="Q41" i="34"/>
  <c r="L41" i="34"/>
  <c r="BE40" i="34"/>
  <c r="AZ40" i="34"/>
  <c r="AU40" i="34"/>
  <c r="AP40" i="34"/>
  <c r="AK40" i="34"/>
  <c r="AF40" i="34"/>
  <c r="AA40" i="34"/>
  <c r="V40" i="34"/>
  <c r="Q40" i="34"/>
  <c r="L40" i="34"/>
  <c r="BE39" i="34"/>
  <c r="AZ39" i="34"/>
  <c r="AU39" i="34"/>
  <c r="AP39" i="34"/>
  <c r="AK39" i="34"/>
  <c r="AF39" i="34"/>
  <c r="AA39" i="34"/>
  <c r="V39" i="34"/>
  <c r="Q39" i="34"/>
  <c r="L39" i="34"/>
  <c r="BE38" i="34"/>
  <c r="AZ38" i="34"/>
  <c r="AU38" i="34"/>
  <c r="AP38" i="34"/>
  <c r="AK38" i="34"/>
  <c r="AF38" i="34"/>
  <c r="AA38" i="34"/>
  <c r="V38" i="34"/>
  <c r="Q38" i="34"/>
  <c r="L38" i="34"/>
  <c r="BE37" i="34"/>
  <c r="AZ37" i="34"/>
  <c r="AU37" i="34"/>
  <c r="AP37" i="34"/>
  <c r="AK37" i="34"/>
  <c r="AF37" i="34"/>
  <c r="AA37" i="34"/>
  <c r="V37" i="34"/>
  <c r="Q37" i="34"/>
  <c r="L37" i="34"/>
  <c r="BE36" i="34"/>
  <c r="AZ36" i="34"/>
  <c r="AU36" i="34"/>
  <c r="AP36" i="34"/>
  <c r="AK36" i="34"/>
  <c r="AF36" i="34"/>
  <c r="AA36" i="34"/>
  <c r="V36" i="34"/>
  <c r="Q36" i="34"/>
  <c r="L36" i="34"/>
  <c r="BE35" i="34"/>
  <c r="AZ35" i="34"/>
  <c r="AU35" i="34"/>
  <c r="AP35" i="34"/>
  <c r="AK35" i="34"/>
  <c r="AF35" i="34"/>
  <c r="AA35" i="34"/>
  <c r="V35" i="34"/>
  <c r="Q35" i="34"/>
  <c r="L35" i="34"/>
  <c r="BE34" i="34"/>
  <c r="AZ34" i="34"/>
  <c r="AU34" i="34"/>
  <c r="AP34" i="34"/>
  <c r="AK34" i="34"/>
  <c r="AF34" i="34"/>
  <c r="AA34" i="34"/>
  <c r="V34" i="34"/>
  <c r="Q34" i="34"/>
  <c r="L34" i="34"/>
  <c r="BE33" i="34"/>
  <c r="AZ33" i="34"/>
  <c r="AU33" i="34"/>
  <c r="AP33" i="34"/>
  <c r="AK33" i="34"/>
  <c r="AF33" i="34"/>
  <c r="AA33" i="34"/>
  <c r="V33" i="34"/>
  <c r="Q33" i="34"/>
  <c r="L33" i="34"/>
  <c r="BE32" i="34"/>
  <c r="AZ32" i="34"/>
  <c r="AU32" i="34"/>
  <c r="AP32" i="34"/>
  <c r="AK32" i="34"/>
  <c r="AF32" i="34"/>
  <c r="AA32" i="34"/>
  <c r="V32" i="34"/>
  <c r="Q32" i="34"/>
  <c r="L32" i="34"/>
  <c r="BE31" i="34"/>
  <c r="AZ31" i="34"/>
  <c r="AU31" i="34"/>
  <c r="AP31" i="34"/>
  <c r="AK31" i="34"/>
  <c r="AF31" i="34"/>
  <c r="AA31" i="34"/>
  <c r="V31" i="34"/>
  <c r="Q31" i="34"/>
  <c r="L31" i="34"/>
  <c r="BE30" i="34"/>
  <c r="AZ30" i="34"/>
  <c r="AU30" i="34"/>
  <c r="AP30" i="34"/>
  <c r="AK30" i="34"/>
  <c r="AF30" i="34"/>
  <c r="AA30" i="34"/>
  <c r="V30" i="34"/>
  <c r="Q30" i="34"/>
  <c r="L30" i="34"/>
  <c r="BE29" i="34"/>
  <c r="AZ29" i="34"/>
  <c r="AU29" i="34"/>
  <c r="AP29" i="34"/>
  <c r="AK29" i="34"/>
  <c r="AF29" i="34"/>
  <c r="AA29" i="34"/>
  <c r="V29" i="34"/>
  <c r="Q29" i="34"/>
  <c r="L29" i="34"/>
  <c r="BE28" i="34"/>
  <c r="AZ28" i="34"/>
  <c r="AU28" i="34"/>
  <c r="AP28" i="34"/>
  <c r="AK28" i="34"/>
  <c r="AF28" i="34"/>
  <c r="AA28" i="34"/>
  <c r="V28" i="34"/>
  <c r="Q28" i="34"/>
  <c r="L28" i="34"/>
  <c r="BE27" i="34"/>
  <c r="AZ27" i="34"/>
  <c r="AU27" i="34"/>
  <c r="AP27" i="34"/>
  <c r="AK27" i="34"/>
  <c r="AF27" i="34"/>
  <c r="AA27" i="34"/>
  <c r="V27" i="34"/>
  <c r="Q27" i="34"/>
  <c r="L27" i="34"/>
  <c r="BE26" i="34"/>
  <c r="AZ26" i="34"/>
  <c r="AU26" i="34"/>
  <c r="AP26" i="34"/>
  <c r="AK26" i="34"/>
  <c r="AF26" i="34"/>
  <c r="AA26" i="34"/>
  <c r="V26" i="34"/>
  <c r="Q26" i="34"/>
  <c r="L26" i="34"/>
  <c r="BE25" i="34"/>
  <c r="AZ25" i="34"/>
  <c r="AU25" i="34"/>
  <c r="AP25" i="34"/>
  <c r="AK25" i="34"/>
  <c r="AF25" i="34"/>
  <c r="AA25" i="34"/>
  <c r="V25" i="34"/>
  <c r="Q25" i="34"/>
  <c r="L25" i="34"/>
  <c r="BE24" i="34"/>
  <c r="AZ24" i="34"/>
  <c r="AU24" i="34"/>
  <c r="AP24" i="34"/>
  <c r="AK24" i="34"/>
  <c r="AF24" i="34"/>
  <c r="AA24" i="34"/>
  <c r="V24" i="34"/>
  <c r="Q24" i="34"/>
  <c r="L24" i="34"/>
  <c r="BE23" i="34"/>
  <c r="AZ23" i="34"/>
  <c r="AU23" i="34"/>
  <c r="AP23" i="34"/>
  <c r="AK23" i="34"/>
  <c r="AF23" i="34"/>
  <c r="AA23" i="34"/>
  <c r="V23" i="34"/>
  <c r="Q23" i="34"/>
  <c r="L23" i="34"/>
  <c r="BE22" i="34"/>
  <c r="AZ22" i="34"/>
  <c r="AU22" i="34"/>
  <c r="AP22" i="34"/>
  <c r="AK22" i="34"/>
  <c r="AF22" i="34"/>
  <c r="AA22" i="34"/>
  <c r="V22" i="34"/>
  <c r="Q22" i="34"/>
  <c r="L22" i="34"/>
  <c r="BE21" i="34"/>
  <c r="AZ21" i="34"/>
  <c r="AU21" i="34"/>
  <c r="AP21" i="34"/>
  <c r="AK21" i="34"/>
  <c r="AF21" i="34"/>
  <c r="AA21" i="34"/>
  <c r="V21" i="34"/>
  <c r="Q21" i="34"/>
  <c r="L21" i="34"/>
  <c r="BE20" i="34"/>
  <c r="AZ20" i="34"/>
  <c r="AU20" i="34"/>
  <c r="AP20" i="34"/>
  <c r="AK20" i="34"/>
  <c r="AF20" i="34"/>
  <c r="AA20" i="34"/>
  <c r="V20" i="34"/>
  <c r="Q20" i="34"/>
  <c r="L20" i="34"/>
  <c r="BE19" i="34"/>
  <c r="AZ19" i="34"/>
  <c r="AU19" i="34"/>
  <c r="AP19" i="34"/>
  <c r="AK19" i="34"/>
  <c r="AF19" i="34"/>
  <c r="AA19" i="34"/>
  <c r="V19" i="34"/>
  <c r="Q19" i="34"/>
  <c r="L19" i="34"/>
  <c r="BE18" i="34"/>
  <c r="AZ18" i="34"/>
  <c r="AU18" i="34"/>
  <c r="AP18" i="34"/>
  <c r="AK18" i="34"/>
  <c r="AF18" i="34"/>
  <c r="AA18" i="34"/>
  <c r="V18" i="34"/>
  <c r="Q18" i="34"/>
  <c r="L18" i="34"/>
  <c r="BE17" i="34"/>
  <c r="BD17" i="34"/>
  <c r="D14" i="34" s="1"/>
  <c r="BC17" i="34"/>
  <c r="AZ17" i="34"/>
  <c r="AY17" i="34"/>
  <c r="AX17" i="34"/>
  <c r="AU17" i="34"/>
  <c r="AT17" i="34"/>
  <c r="D12" i="34" s="1"/>
  <c r="AS17" i="34"/>
  <c r="AP17" i="34"/>
  <c r="AO17" i="34"/>
  <c r="AN17" i="34"/>
  <c r="AK17" i="34"/>
  <c r="AJ17" i="34"/>
  <c r="D10" i="34" s="1"/>
  <c r="AI17" i="34"/>
  <c r="AF17" i="34"/>
  <c r="AE17" i="34"/>
  <c r="AD17" i="34"/>
  <c r="AA17" i="34"/>
  <c r="Z17" i="34"/>
  <c r="D8" i="34" s="1"/>
  <c r="Y17" i="34"/>
  <c r="V17" i="34"/>
  <c r="U17" i="34"/>
  <c r="T17" i="34"/>
  <c r="Q17" i="34"/>
  <c r="P17" i="34"/>
  <c r="D6" i="34" s="1"/>
  <c r="O17" i="34"/>
  <c r="L17" i="34"/>
  <c r="K17" i="34"/>
  <c r="J17" i="34"/>
  <c r="E14" i="34"/>
  <c r="C14" i="34"/>
  <c r="E13" i="34"/>
  <c r="D13" i="34"/>
  <c r="C13" i="34"/>
  <c r="E12" i="34"/>
  <c r="C12" i="34"/>
  <c r="E11" i="34"/>
  <c r="D11" i="34"/>
  <c r="C11" i="34"/>
  <c r="E10" i="34"/>
  <c r="C10" i="34"/>
  <c r="E9" i="34"/>
  <c r="D9" i="34"/>
  <c r="C9" i="34"/>
  <c r="E8" i="34"/>
  <c r="C8" i="34"/>
  <c r="E7" i="34"/>
  <c r="D7" i="34"/>
  <c r="C7" i="34"/>
  <c r="E6" i="34"/>
  <c r="C6" i="34"/>
  <c r="E5" i="34"/>
  <c r="AC2" i="34" s="1"/>
  <c r="D5" i="34"/>
  <c r="C5" i="34"/>
  <c r="AC3" i="34"/>
  <c r="R3" i="34"/>
  <c r="M3" i="34"/>
  <c r="H3" i="34"/>
  <c r="H1" i="34"/>
  <c r="BE73" i="33"/>
  <c r="AZ73" i="33"/>
  <c r="AU73" i="33"/>
  <c r="AP73" i="33"/>
  <c r="AK73" i="33"/>
  <c r="AF73" i="33"/>
  <c r="AA73" i="33"/>
  <c r="V73" i="33"/>
  <c r="Q73" i="33"/>
  <c r="L73" i="33"/>
  <c r="BE72" i="33"/>
  <c r="AZ72" i="33"/>
  <c r="AU72" i="33"/>
  <c r="AP72" i="33"/>
  <c r="AK72" i="33"/>
  <c r="AF72" i="33"/>
  <c r="AA72" i="33"/>
  <c r="V72" i="33"/>
  <c r="Q72" i="33"/>
  <c r="L72" i="33"/>
  <c r="BE71" i="33"/>
  <c r="AZ71" i="33"/>
  <c r="AU71" i="33"/>
  <c r="AP71" i="33"/>
  <c r="AK71" i="33"/>
  <c r="AF71" i="33"/>
  <c r="AA71" i="33"/>
  <c r="V71" i="33"/>
  <c r="Q71" i="33"/>
  <c r="L71" i="33"/>
  <c r="BE70" i="33"/>
  <c r="AZ70" i="33"/>
  <c r="AU70" i="33"/>
  <c r="AP70" i="33"/>
  <c r="AK70" i="33"/>
  <c r="AF70" i="33"/>
  <c r="AA70" i="33"/>
  <c r="V70" i="33"/>
  <c r="Q70" i="33"/>
  <c r="L70" i="33"/>
  <c r="BE69" i="33"/>
  <c r="AZ69" i="33"/>
  <c r="AU69" i="33"/>
  <c r="AP69" i="33"/>
  <c r="AK69" i="33"/>
  <c r="AF69" i="33"/>
  <c r="AA69" i="33"/>
  <c r="V69" i="33"/>
  <c r="Q69" i="33"/>
  <c r="L69" i="33"/>
  <c r="BE68" i="33"/>
  <c r="AZ68" i="33"/>
  <c r="AU68" i="33"/>
  <c r="AP68" i="33"/>
  <c r="AK68" i="33"/>
  <c r="AF68" i="33"/>
  <c r="AA68" i="33"/>
  <c r="V68" i="33"/>
  <c r="Q68" i="33"/>
  <c r="L68" i="33"/>
  <c r="BE67" i="33"/>
  <c r="AZ67" i="33"/>
  <c r="AU67" i="33"/>
  <c r="AP67" i="33"/>
  <c r="AK67" i="33"/>
  <c r="AF67" i="33"/>
  <c r="AA67" i="33"/>
  <c r="V67" i="33"/>
  <c r="Q67" i="33"/>
  <c r="L67" i="33"/>
  <c r="BE66" i="33"/>
  <c r="AZ66" i="33"/>
  <c r="AU66" i="33"/>
  <c r="AP66" i="33"/>
  <c r="AK66" i="33"/>
  <c r="AF66" i="33"/>
  <c r="AA66" i="33"/>
  <c r="V66" i="33"/>
  <c r="Q66" i="33"/>
  <c r="L66" i="33"/>
  <c r="BE65" i="33"/>
  <c r="AZ65" i="33"/>
  <c r="AU65" i="33"/>
  <c r="AP65" i="33"/>
  <c r="AK65" i="33"/>
  <c r="AF65" i="33"/>
  <c r="AA65" i="33"/>
  <c r="V65" i="33"/>
  <c r="Q65" i="33"/>
  <c r="L65" i="33"/>
  <c r="BE64" i="33"/>
  <c r="AZ64" i="33"/>
  <c r="AU64" i="33"/>
  <c r="AP64" i="33"/>
  <c r="AK64" i="33"/>
  <c r="AF64" i="33"/>
  <c r="AA64" i="33"/>
  <c r="V64" i="33"/>
  <c r="Q64" i="33"/>
  <c r="L64" i="33"/>
  <c r="BE63" i="33"/>
  <c r="AZ63" i="33"/>
  <c r="AU63" i="33"/>
  <c r="AP63" i="33"/>
  <c r="AK63" i="33"/>
  <c r="AF63" i="33"/>
  <c r="AA63" i="33"/>
  <c r="V63" i="33"/>
  <c r="Q63" i="33"/>
  <c r="L63" i="33"/>
  <c r="BE62" i="33"/>
  <c r="AZ62" i="33"/>
  <c r="AU62" i="33"/>
  <c r="AP62" i="33"/>
  <c r="AK62" i="33"/>
  <c r="AF62" i="33"/>
  <c r="AA62" i="33"/>
  <c r="V62" i="33"/>
  <c r="Q62" i="33"/>
  <c r="L62" i="33"/>
  <c r="BE61" i="33"/>
  <c r="AZ61" i="33"/>
  <c r="AU61" i="33"/>
  <c r="AP61" i="33"/>
  <c r="AK61" i="33"/>
  <c r="AF61" i="33"/>
  <c r="AA61" i="33"/>
  <c r="V61" i="33"/>
  <c r="Q61" i="33"/>
  <c r="L61" i="33"/>
  <c r="BE60" i="33"/>
  <c r="AZ60" i="33"/>
  <c r="AU60" i="33"/>
  <c r="AP60" i="33"/>
  <c r="AK60" i="33"/>
  <c r="AF60" i="33"/>
  <c r="AA60" i="33"/>
  <c r="V60" i="33"/>
  <c r="Q60" i="33"/>
  <c r="L60" i="33"/>
  <c r="BE59" i="33"/>
  <c r="AZ59" i="33"/>
  <c r="AU59" i="33"/>
  <c r="AP59" i="33"/>
  <c r="AK59" i="33"/>
  <c r="AF59" i="33"/>
  <c r="AA59" i="33"/>
  <c r="V59" i="33"/>
  <c r="Q59" i="33"/>
  <c r="L59" i="33"/>
  <c r="BE58" i="33"/>
  <c r="AZ58" i="33"/>
  <c r="AU58" i="33"/>
  <c r="AP58" i="33"/>
  <c r="AK58" i="33"/>
  <c r="AF58" i="33"/>
  <c r="AA58" i="33"/>
  <c r="V58" i="33"/>
  <c r="Q58" i="33"/>
  <c r="L58" i="33"/>
  <c r="BE57" i="33"/>
  <c r="AZ57" i="33"/>
  <c r="AU57" i="33"/>
  <c r="AP57" i="33"/>
  <c r="AK57" i="33"/>
  <c r="AF57" i="33"/>
  <c r="AA57" i="33"/>
  <c r="V57" i="33"/>
  <c r="Q57" i="33"/>
  <c r="L57" i="33"/>
  <c r="BE56" i="33"/>
  <c r="AZ56" i="33"/>
  <c r="AU56" i="33"/>
  <c r="AP56" i="33"/>
  <c r="AK56" i="33"/>
  <c r="AF56" i="33"/>
  <c r="AA56" i="33"/>
  <c r="V56" i="33"/>
  <c r="Q56" i="33"/>
  <c r="L56" i="33"/>
  <c r="BE55" i="33"/>
  <c r="AZ55" i="33"/>
  <c r="AU55" i="33"/>
  <c r="AP55" i="33"/>
  <c r="AK55" i="33"/>
  <c r="AF55" i="33"/>
  <c r="AA55" i="33"/>
  <c r="V55" i="33"/>
  <c r="Q55" i="33"/>
  <c r="L55" i="33"/>
  <c r="BE54" i="33"/>
  <c r="AZ54" i="33"/>
  <c r="AU54" i="33"/>
  <c r="AP54" i="33"/>
  <c r="AK54" i="33"/>
  <c r="AF54" i="33"/>
  <c r="AA54" i="33"/>
  <c r="V54" i="33"/>
  <c r="Q54" i="33"/>
  <c r="L54" i="33"/>
  <c r="BE53" i="33"/>
  <c r="AZ53" i="33"/>
  <c r="AU53" i="33"/>
  <c r="AP53" i="33"/>
  <c r="AK53" i="33"/>
  <c r="AF53" i="33"/>
  <c r="AA53" i="33"/>
  <c r="V53" i="33"/>
  <c r="Q53" i="33"/>
  <c r="L53" i="33"/>
  <c r="BE52" i="33"/>
  <c r="AZ52" i="33"/>
  <c r="AU52" i="33"/>
  <c r="AP52" i="33"/>
  <c r="AK52" i="33"/>
  <c r="AF52" i="33"/>
  <c r="AA52" i="33"/>
  <c r="V52" i="33"/>
  <c r="Q52" i="33"/>
  <c r="L52" i="33"/>
  <c r="BE51" i="33"/>
  <c r="AZ51" i="33"/>
  <c r="AU51" i="33"/>
  <c r="AP51" i="33"/>
  <c r="AK51" i="33"/>
  <c r="AF51" i="33"/>
  <c r="AA51" i="33"/>
  <c r="V51" i="33"/>
  <c r="Q51" i="33"/>
  <c r="L51" i="33"/>
  <c r="BE50" i="33"/>
  <c r="AZ50" i="33"/>
  <c r="AU50" i="33"/>
  <c r="AP50" i="33"/>
  <c r="AK50" i="33"/>
  <c r="AF50" i="33"/>
  <c r="AA50" i="33"/>
  <c r="V50" i="33"/>
  <c r="Q50" i="33"/>
  <c r="L50" i="33"/>
  <c r="BE49" i="33"/>
  <c r="AZ49" i="33"/>
  <c r="AU49" i="33"/>
  <c r="AP49" i="33"/>
  <c r="AK49" i="33"/>
  <c r="AF49" i="33"/>
  <c r="AA49" i="33"/>
  <c r="V49" i="33"/>
  <c r="Q49" i="33"/>
  <c r="L49" i="33"/>
  <c r="BE48" i="33"/>
  <c r="AZ48" i="33"/>
  <c r="AU48" i="33"/>
  <c r="AP48" i="33"/>
  <c r="AK48" i="33"/>
  <c r="AF48" i="33"/>
  <c r="AA48" i="33"/>
  <c r="V48" i="33"/>
  <c r="Q48" i="33"/>
  <c r="L48" i="33"/>
  <c r="BE47" i="33"/>
  <c r="AZ47" i="33"/>
  <c r="AU47" i="33"/>
  <c r="AP47" i="33"/>
  <c r="AK47" i="33"/>
  <c r="AF47" i="33"/>
  <c r="AA47" i="33"/>
  <c r="V47" i="33"/>
  <c r="Q47" i="33"/>
  <c r="L47" i="33"/>
  <c r="BE46" i="33"/>
  <c r="AZ46" i="33"/>
  <c r="AU46" i="33"/>
  <c r="AP46" i="33"/>
  <c r="AK46" i="33"/>
  <c r="AF46" i="33"/>
  <c r="AA46" i="33"/>
  <c r="V46" i="33"/>
  <c r="Q46" i="33"/>
  <c r="L46" i="33"/>
  <c r="BE45" i="33"/>
  <c r="AZ45" i="33"/>
  <c r="AU45" i="33"/>
  <c r="AP45" i="33"/>
  <c r="AK45" i="33"/>
  <c r="AF45" i="33"/>
  <c r="AA45" i="33"/>
  <c r="V45" i="33"/>
  <c r="Q45" i="33"/>
  <c r="L45" i="33"/>
  <c r="BE44" i="33"/>
  <c r="AZ44" i="33"/>
  <c r="AU44" i="33"/>
  <c r="AP44" i="33"/>
  <c r="AK44" i="33"/>
  <c r="AF44" i="33"/>
  <c r="AA44" i="33"/>
  <c r="V44" i="33"/>
  <c r="Q44" i="33"/>
  <c r="L44" i="33"/>
  <c r="BE43" i="33"/>
  <c r="AZ43" i="33"/>
  <c r="AU43" i="33"/>
  <c r="AP43" i="33"/>
  <c r="AK43" i="33"/>
  <c r="AF43" i="33"/>
  <c r="AA43" i="33"/>
  <c r="V43" i="33"/>
  <c r="Q43" i="33"/>
  <c r="L43" i="33"/>
  <c r="BE42" i="33"/>
  <c r="AZ42" i="33"/>
  <c r="AU42" i="33"/>
  <c r="AP42" i="33"/>
  <c r="AK42" i="33"/>
  <c r="AF42" i="33"/>
  <c r="AA42" i="33"/>
  <c r="V42" i="33"/>
  <c r="Q42" i="33"/>
  <c r="L42" i="33"/>
  <c r="BE41" i="33"/>
  <c r="AZ41" i="33"/>
  <c r="AU41" i="33"/>
  <c r="AP41" i="33"/>
  <c r="AK41" i="33"/>
  <c r="AF41" i="33"/>
  <c r="AA41" i="33"/>
  <c r="V41" i="33"/>
  <c r="Q41" i="33"/>
  <c r="L41" i="33"/>
  <c r="BE40" i="33"/>
  <c r="AZ40" i="33"/>
  <c r="AU40" i="33"/>
  <c r="AP40" i="33"/>
  <c r="AK40" i="33"/>
  <c r="AF40" i="33"/>
  <c r="AA40" i="33"/>
  <c r="V40" i="33"/>
  <c r="Q40" i="33"/>
  <c r="L40" i="33"/>
  <c r="BE39" i="33"/>
  <c r="AZ39" i="33"/>
  <c r="AU39" i="33"/>
  <c r="AP39" i="33"/>
  <c r="AK39" i="33"/>
  <c r="AF39" i="33"/>
  <c r="AA39" i="33"/>
  <c r="V39" i="33"/>
  <c r="Q39" i="33"/>
  <c r="L39" i="33"/>
  <c r="BE38" i="33"/>
  <c r="AZ38" i="33"/>
  <c r="AU38" i="33"/>
  <c r="AP38" i="33"/>
  <c r="AK38" i="33"/>
  <c r="AF38" i="33"/>
  <c r="AA38" i="33"/>
  <c r="V38" i="33"/>
  <c r="Q38" i="33"/>
  <c r="L38" i="33"/>
  <c r="BE37" i="33"/>
  <c r="AZ37" i="33"/>
  <c r="AU37" i="33"/>
  <c r="AP37" i="33"/>
  <c r="AK37" i="33"/>
  <c r="AF37" i="33"/>
  <c r="AA37" i="33"/>
  <c r="V37" i="33"/>
  <c r="Q37" i="33"/>
  <c r="L37" i="33"/>
  <c r="BE36" i="33"/>
  <c r="AZ36" i="33"/>
  <c r="AU36" i="33"/>
  <c r="AP36" i="33"/>
  <c r="AK36" i="33"/>
  <c r="AF36" i="33"/>
  <c r="AA36" i="33"/>
  <c r="V36" i="33"/>
  <c r="Q36" i="33"/>
  <c r="L36" i="33"/>
  <c r="BE35" i="33"/>
  <c r="AZ35" i="33"/>
  <c r="AU35" i="33"/>
  <c r="AP35" i="33"/>
  <c r="AK35" i="33"/>
  <c r="AF35" i="33"/>
  <c r="AA35" i="33"/>
  <c r="V35" i="33"/>
  <c r="Q35" i="33"/>
  <c r="L35" i="33"/>
  <c r="BE34" i="33"/>
  <c r="AZ34" i="33"/>
  <c r="AU34" i="33"/>
  <c r="AP34" i="33"/>
  <c r="AK34" i="33"/>
  <c r="AF34" i="33"/>
  <c r="AA34" i="33"/>
  <c r="V34" i="33"/>
  <c r="Q34" i="33"/>
  <c r="L34" i="33"/>
  <c r="BE33" i="33"/>
  <c r="AZ33" i="33"/>
  <c r="AU33" i="33"/>
  <c r="AP33" i="33"/>
  <c r="AK33" i="33"/>
  <c r="AF33" i="33"/>
  <c r="AA33" i="33"/>
  <c r="V33" i="33"/>
  <c r="Q33" i="33"/>
  <c r="L33" i="33"/>
  <c r="BE32" i="33"/>
  <c r="AZ32" i="33"/>
  <c r="AU32" i="33"/>
  <c r="AP32" i="33"/>
  <c r="AK32" i="33"/>
  <c r="AF32" i="33"/>
  <c r="AA32" i="33"/>
  <c r="V32" i="33"/>
  <c r="Q32" i="33"/>
  <c r="L32" i="33"/>
  <c r="BE31" i="33"/>
  <c r="AZ31" i="33"/>
  <c r="AU31" i="33"/>
  <c r="AP31" i="33"/>
  <c r="AK31" i="33"/>
  <c r="AF31" i="33"/>
  <c r="AA31" i="33"/>
  <c r="V31" i="33"/>
  <c r="Q31" i="33"/>
  <c r="L31" i="33"/>
  <c r="BE30" i="33"/>
  <c r="AZ30" i="33"/>
  <c r="AU30" i="33"/>
  <c r="AP30" i="33"/>
  <c r="AK30" i="33"/>
  <c r="AF30" i="33"/>
  <c r="AA30" i="33"/>
  <c r="V30" i="33"/>
  <c r="Q30" i="33"/>
  <c r="L30" i="33"/>
  <c r="BE29" i="33"/>
  <c r="AZ29" i="33"/>
  <c r="AU29" i="33"/>
  <c r="AP29" i="33"/>
  <c r="AK29" i="33"/>
  <c r="AF29" i="33"/>
  <c r="AA29" i="33"/>
  <c r="V29" i="33"/>
  <c r="Q29" i="33"/>
  <c r="L29" i="33"/>
  <c r="BE28" i="33"/>
  <c r="AZ28" i="33"/>
  <c r="AU28" i="33"/>
  <c r="AP28" i="33"/>
  <c r="AK28" i="33"/>
  <c r="AF28" i="33"/>
  <c r="AA28" i="33"/>
  <c r="V28" i="33"/>
  <c r="Q28" i="33"/>
  <c r="L28" i="33"/>
  <c r="BE27" i="33"/>
  <c r="AZ27" i="33"/>
  <c r="AU27" i="33"/>
  <c r="AP27" i="33"/>
  <c r="AK27" i="33"/>
  <c r="AF27" i="33"/>
  <c r="AA27" i="33"/>
  <c r="V27" i="33"/>
  <c r="Q27" i="33"/>
  <c r="L27" i="33"/>
  <c r="BE26" i="33"/>
  <c r="AZ26" i="33"/>
  <c r="AU26" i="33"/>
  <c r="AP26" i="33"/>
  <c r="AK26" i="33"/>
  <c r="AF26" i="33"/>
  <c r="AA26" i="33"/>
  <c r="V26" i="33"/>
  <c r="Q26" i="33"/>
  <c r="L26" i="33"/>
  <c r="BE25" i="33"/>
  <c r="AZ25" i="33"/>
  <c r="AU25" i="33"/>
  <c r="AP25" i="33"/>
  <c r="AK25" i="33"/>
  <c r="AF25" i="33"/>
  <c r="AA25" i="33"/>
  <c r="V25" i="33"/>
  <c r="Q25" i="33"/>
  <c r="L25" i="33"/>
  <c r="BE24" i="33"/>
  <c r="AZ24" i="33"/>
  <c r="AU24" i="33"/>
  <c r="AP24" i="33"/>
  <c r="AK24" i="33"/>
  <c r="AF24" i="33"/>
  <c r="AA24" i="33"/>
  <c r="V24" i="33"/>
  <c r="Q24" i="33"/>
  <c r="L24" i="33"/>
  <c r="BE23" i="33"/>
  <c r="AZ23" i="33"/>
  <c r="AU23" i="33"/>
  <c r="AP23" i="33"/>
  <c r="AK23" i="33"/>
  <c r="AF23" i="33"/>
  <c r="AA23" i="33"/>
  <c r="V23" i="33"/>
  <c r="Q23" i="33"/>
  <c r="L23" i="33"/>
  <c r="BE22" i="33"/>
  <c r="AZ22" i="33"/>
  <c r="AU22" i="33"/>
  <c r="AP22" i="33"/>
  <c r="AK22" i="33"/>
  <c r="AF22" i="33"/>
  <c r="AA22" i="33"/>
  <c r="V22" i="33"/>
  <c r="Q22" i="33"/>
  <c r="L22" i="33"/>
  <c r="BE21" i="33"/>
  <c r="AZ21" i="33"/>
  <c r="AU21" i="33"/>
  <c r="AP21" i="33"/>
  <c r="AK21" i="33"/>
  <c r="AF21" i="33"/>
  <c r="AA21" i="33"/>
  <c r="V21" i="33"/>
  <c r="Q21" i="33"/>
  <c r="L21" i="33"/>
  <c r="BE20" i="33"/>
  <c r="AZ20" i="33"/>
  <c r="AU20" i="33"/>
  <c r="AP20" i="33"/>
  <c r="AK20" i="33"/>
  <c r="AF20" i="33"/>
  <c r="AA20" i="33"/>
  <c r="V20" i="33"/>
  <c r="Q20" i="33"/>
  <c r="L20" i="33"/>
  <c r="BE19" i="33"/>
  <c r="AZ19" i="33"/>
  <c r="AU19" i="33"/>
  <c r="AP19" i="33"/>
  <c r="AK19" i="33"/>
  <c r="AF19" i="33"/>
  <c r="AA19" i="33"/>
  <c r="V19" i="33"/>
  <c r="Q19" i="33"/>
  <c r="L19" i="33"/>
  <c r="BE18" i="33"/>
  <c r="AZ18" i="33"/>
  <c r="AU18" i="33"/>
  <c r="AP18" i="33"/>
  <c r="AK18" i="33"/>
  <c r="AF18" i="33"/>
  <c r="AA18" i="33"/>
  <c r="V18" i="33"/>
  <c r="Q18" i="33"/>
  <c r="L18" i="33"/>
  <c r="BE17" i="33"/>
  <c r="BD17" i="33"/>
  <c r="D14" i="33" s="1"/>
  <c r="BC17" i="33"/>
  <c r="AZ17" i="33"/>
  <c r="AY17" i="33"/>
  <c r="AX17" i="33"/>
  <c r="AU17" i="33"/>
  <c r="AT17" i="33"/>
  <c r="D12" i="33" s="1"/>
  <c r="AS17" i="33"/>
  <c r="AP17" i="33"/>
  <c r="AO17" i="33"/>
  <c r="AN17" i="33"/>
  <c r="AK17" i="33"/>
  <c r="AJ17" i="33"/>
  <c r="D10" i="33" s="1"/>
  <c r="AI17" i="33"/>
  <c r="AF17" i="33"/>
  <c r="AE17" i="33"/>
  <c r="AD17" i="33"/>
  <c r="AA17" i="33"/>
  <c r="Z17" i="33"/>
  <c r="D8" i="33" s="1"/>
  <c r="Y17" i="33"/>
  <c r="V17" i="33"/>
  <c r="U17" i="33"/>
  <c r="T17" i="33"/>
  <c r="Q17" i="33"/>
  <c r="P17" i="33"/>
  <c r="D6" i="33" s="1"/>
  <c r="O17" i="33"/>
  <c r="L17" i="33"/>
  <c r="K17" i="33"/>
  <c r="J17" i="33"/>
  <c r="E14" i="33"/>
  <c r="C14" i="33"/>
  <c r="E13" i="33"/>
  <c r="D13" i="33"/>
  <c r="C13" i="33"/>
  <c r="E12" i="33"/>
  <c r="C12" i="33"/>
  <c r="E11" i="33"/>
  <c r="D11" i="33"/>
  <c r="C11" i="33"/>
  <c r="E10" i="33"/>
  <c r="C10" i="33"/>
  <c r="E9" i="33"/>
  <c r="D9" i="33"/>
  <c r="C9" i="33"/>
  <c r="E8" i="33"/>
  <c r="C8" i="33"/>
  <c r="E7" i="33"/>
  <c r="D7" i="33"/>
  <c r="C7" i="33"/>
  <c r="E6" i="33"/>
  <c r="C6" i="33"/>
  <c r="E5" i="33"/>
  <c r="AC2" i="33" s="1"/>
  <c r="D5" i="33"/>
  <c r="C5" i="33"/>
  <c r="AC3" i="33"/>
  <c r="R3" i="33"/>
  <c r="M3" i="33"/>
  <c r="H3" i="33"/>
  <c r="H1" i="33"/>
  <c r="BE73" i="32"/>
  <c r="AZ73" i="32"/>
  <c r="AU73" i="32"/>
  <c r="AP73" i="32"/>
  <c r="AK73" i="32"/>
  <c r="AF73" i="32"/>
  <c r="AA73" i="32"/>
  <c r="V73" i="32"/>
  <c r="Q73" i="32"/>
  <c r="L73" i="32"/>
  <c r="BE72" i="32"/>
  <c r="AZ72" i="32"/>
  <c r="AU72" i="32"/>
  <c r="AP72" i="32"/>
  <c r="AK72" i="32"/>
  <c r="AF72" i="32"/>
  <c r="AA72" i="32"/>
  <c r="V72" i="32"/>
  <c r="Q72" i="32"/>
  <c r="L72" i="32"/>
  <c r="BE71" i="32"/>
  <c r="AZ71" i="32"/>
  <c r="AU71" i="32"/>
  <c r="AP71" i="32"/>
  <c r="AK71" i="32"/>
  <c r="AF71" i="32"/>
  <c r="AA71" i="32"/>
  <c r="V71" i="32"/>
  <c r="Q71" i="32"/>
  <c r="L71" i="32"/>
  <c r="BE70" i="32"/>
  <c r="AZ70" i="32"/>
  <c r="AU70" i="32"/>
  <c r="AP70" i="32"/>
  <c r="AK70" i="32"/>
  <c r="AF70" i="32"/>
  <c r="AA70" i="32"/>
  <c r="V70" i="32"/>
  <c r="Q70" i="32"/>
  <c r="L70" i="32"/>
  <c r="BE69" i="32"/>
  <c r="AZ69" i="32"/>
  <c r="AU69" i="32"/>
  <c r="AP69" i="32"/>
  <c r="AK69" i="32"/>
  <c r="AF69" i="32"/>
  <c r="AA69" i="32"/>
  <c r="V69" i="32"/>
  <c r="Q69" i="32"/>
  <c r="L69" i="32"/>
  <c r="BE68" i="32"/>
  <c r="AZ68" i="32"/>
  <c r="AU68" i="32"/>
  <c r="AP68" i="32"/>
  <c r="AK68" i="32"/>
  <c r="AF68" i="32"/>
  <c r="AA68" i="32"/>
  <c r="V68" i="32"/>
  <c r="Q68" i="32"/>
  <c r="L68" i="32"/>
  <c r="BE67" i="32"/>
  <c r="AZ67" i="32"/>
  <c r="AU67" i="32"/>
  <c r="AP67" i="32"/>
  <c r="AK67" i="32"/>
  <c r="AF67" i="32"/>
  <c r="AA67" i="32"/>
  <c r="V67" i="32"/>
  <c r="Q67" i="32"/>
  <c r="L67" i="32"/>
  <c r="BE66" i="32"/>
  <c r="AZ66" i="32"/>
  <c r="AU66" i="32"/>
  <c r="AP66" i="32"/>
  <c r="AK66" i="32"/>
  <c r="AF66" i="32"/>
  <c r="AA66" i="32"/>
  <c r="V66" i="32"/>
  <c r="Q66" i="32"/>
  <c r="L66" i="32"/>
  <c r="BE65" i="32"/>
  <c r="AZ65" i="32"/>
  <c r="AU65" i="32"/>
  <c r="AP65" i="32"/>
  <c r="AK65" i="32"/>
  <c r="AF65" i="32"/>
  <c r="AA65" i="32"/>
  <c r="V65" i="32"/>
  <c r="Q65" i="32"/>
  <c r="L65" i="32"/>
  <c r="BE64" i="32"/>
  <c r="AZ64" i="32"/>
  <c r="AU64" i="32"/>
  <c r="AP64" i="32"/>
  <c r="AK64" i="32"/>
  <c r="AF64" i="32"/>
  <c r="AA64" i="32"/>
  <c r="V64" i="32"/>
  <c r="Q64" i="32"/>
  <c r="L64" i="32"/>
  <c r="BE63" i="32"/>
  <c r="AZ63" i="32"/>
  <c r="AU63" i="32"/>
  <c r="AP63" i="32"/>
  <c r="AK63" i="32"/>
  <c r="AF63" i="32"/>
  <c r="AA63" i="32"/>
  <c r="V63" i="32"/>
  <c r="Q63" i="32"/>
  <c r="L63" i="32"/>
  <c r="BE62" i="32"/>
  <c r="AZ62" i="32"/>
  <c r="AU62" i="32"/>
  <c r="AP62" i="32"/>
  <c r="AK62" i="32"/>
  <c r="AF62" i="32"/>
  <c r="AA62" i="32"/>
  <c r="V62" i="32"/>
  <c r="Q62" i="32"/>
  <c r="L62" i="32"/>
  <c r="BE61" i="32"/>
  <c r="AZ61" i="32"/>
  <c r="AU61" i="32"/>
  <c r="AP61" i="32"/>
  <c r="AK61" i="32"/>
  <c r="AF61" i="32"/>
  <c r="AA61" i="32"/>
  <c r="V61" i="32"/>
  <c r="Q61" i="32"/>
  <c r="L61" i="32"/>
  <c r="BE60" i="32"/>
  <c r="AZ60" i="32"/>
  <c r="AU60" i="32"/>
  <c r="AP60" i="32"/>
  <c r="AK60" i="32"/>
  <c r="AF60" i="32"/>
  <c r="AA60" i="32"/>
  <c r="V60" i="32"/>
  <c r="Q60" i="32"/>
  <c r="L60" i="32"/>
  <c r="BE59" i="32"/>
  <c r="AZ59" i="32"/>
  <c r="AU59" i="32"/>
  <c r="AP59" i="32"/>
  <c r="AK59" i="32"/>
  <c r="AF59" i="32"/>
  <c r="AA59" i="32"/>
  <c r="V59" i="32"/>
  <c r="Q59" i="32"/>
  <c r="L59" i="32"/>
  <c r="BE58" i="32"/>
  <c r="AZ58" i="32"/>
  <c r="AU58" i="32"/>
  <c r="AP58" i="32"/>
  <c r="AK58" i="32"/>
  <c r="AF58" i="32"/>
  <c r="AA58" i="32"/>
  <c r="V58" i="32"/>
  <c r="Q58" i="32"/>
  <c r="L58" i="32"/>
  <c r="BE57" i="32"/>
  <c r="AZ57" i="32"/>
  <c r="AU57" i="32"/>
  <c r="AP57" i="32"/>
  <c r="AK57" i="32"/>
  <c r="AF57" i="32"/>
  <c r="AA57" i="32"/>
  <c r="V57" i="32"/>
  <c r="Q57" i="32"/>
  <c r="L57" i="32"/>
  <c r="BE56" i="32"/>
  <c r="AZ56" i="32"/>
  <c r="AU56" i="32"/>
  <c r="AP56" i="32"/>
  <c r="AK56" i="32"/>
  <c r="AF56" i="32"/>
  <c r="AA56" i="32"/>
  <c r="V56" i="32"/>
  <c r="Q56" i="32"/>
  <c r="L56" i="32"/>
  <c r="BE55" i="32"/>
  <c r="AZ55" i="32"/>
  <c r="AU55" i="32"/>
  <c r="AP55" i="32"/>
  <c r="AK55" i="32"/>
  <c r="AF55" i="32"/>
  <c r="AA55" i="32"/>
  <c r="V55" i="32"/>
  <c r="Q55" i="32"/>
  <c r="L55" i="32"/>
  <c r="BE54" i="32"/>
  <c r="AZ54" i="32"/>
  <c r="AU54" i="32"/>
  <c r="AP54" i="32"/>
  <c r="AK54" i="32"/>
  <c r="AF54" i="32"/>
  <c r="AA54" i="32"/>
  <c r="V54" i="32"/>
  <c r="Q54" i="32"/>
  <c r="L54" i="32"/>
  <c r="BE53" i="32"/>
  <c r="AZ53" i="32"/>
  <c r="AU53" i="32"/>
  <c r="AP53" i="32"/>
  <c r="AK53" i="32"/>
  <c r="AF53" i="32"/>
  <c r="AA53" i="32"/>
  <c r="V53" i="32"/>
  <c r="Q53" i="32"/>
  <c r="L53" i="32"/>
  <c r="BE52" i="32"/>
  <c r="AZ52" i="32"/>
  <c r="AU52" i="32"/>
  <c r="AP52" i="32"/>
  <c r="AK52" i="32"/>
  <c r="AF52" i="32"/>
  <c r="AA52" i="32"/>
  <c r="V52" i="32"/>
  <c r="Q52" i="32"/>
  <c r="L52" i="32"/>
  <c r="BE51" i="32"/>
  <c r="AZ51" i="32"/>
  <c r="AU51" i="32"/>
  <c r="AP51" i="32"/>
  <c r="AK51" i="32"/>
  <c r="AF51" i="32"/>
  <c r="AA51" i="32"/>
  <c r="V51" i="32"/>
  <c r="Q51" i="32"/>
  <c r="L51" i="32"/>
  <c r="BE50" i="32"/>
  <c r="AZ50" i="32"/>
  <c r="AU50" i="32"/>
  <c r="AP50" i="32"/>
  <c r="AK50" i="32"/>
  <c r="AF50" i="32"/>
  <c r="AA50" i="32"/>
  <c r="V50" i="32"/>
  <c r="Q50" i="32"/>
  <c r="L50" i="32"/>
  <c r="BE49" i="32"/>
  <c r="AZ49" i="32"/>
  <c r="AU49" i="32"/>
  <c r="AP49" i="32"/>
  <c r="AK49" i="32"/>
  <c r="AF49" i="32"/>
  <c r="AA49" i="32"/>
  <c r="V49" i="32"/>
  <c r="Q49" i="32"/>
  <c r="L49" i="32"/>
  <c r="BE48" i="32"/>
  <c r="AZ48" i="32"/>
  <c r="AU48" i="32"/>
  <c r="AP48" i="32"/>
  <c r="AK48" i="32"/>
  <c r="AF48" i="32"/>
  <c r="AA48" i="32"/>
  <c r="V48" i="32"/>
  <c r="Q48" i="32"/>
  <c r="L48" i="32"/>
  <c r="BE47" i="32"/>
  <c r="AZ47" i="32"/>
  <c r="AU47" i="32"/>
  <c r="AP47" i="32"/>
  <c r="AK47" i="32"/>
  <c r="AF47" i="32"/>
  <c r="AA47" i="32"/>
  <c r="V47" i="32"/>
  <c r="Q47" i="32"/>
  <c r="L47" i="32"/>
  <c r="BE46" i="32"/>
  <c r="AZ46" i="32"/>
  <c r="AU46" i="32"/>
  <c r="AP46" i="32"/>
  <c r="AK46" i="32"/>
  <c r="AF46" i="32"/>
  <c r="AA46" i="32"/>
  <c r="V46" i="32"/>
  <c r="Q46" i="32"/>
  <c r="L46" i="32"/>
  <c r="BE45" i="32"/>
  <c r="AZ45" i="32"/>
  <c r="AU45" i="32"/>
  <c r="AP45" i="32"/>
  <c r="AK45" i="32"/>
  <c r="AF45" i="32"/>
  <c r="AA45" i="32"/>
  <c r="V45" i="32"/>
  <c r="Q45" i="32"/>
  <c r="L45" i="32"/>
  <c r="BE44" i="32"/>
  <c r="AZ44" i="32"/>
  <c r="AU44" i="32"/>
  <c r="AP44" i="32"/>
  <c r="AK44" i="32"/>
  <c r="AF44" i="32"/>
  <c r="AA44" i="32"/>
  <c r="V44" i="32"/>
  <c r="Q44" i="32"/>
  <c r="L44" i="32"/>
  <c r="BE43" i="32"/>
  <c r="AZ43" i="32"/>
  <c r="AU43" i="32"/>
  <c r="AP43" i="32"/>
  <c r="AK43" i="32"/>
  <c r="AF43" i="32"/>
  <c r="AA43" i="32"/>
  <c r="V43" i="32"/>
  <c r="Q43" i="32"/>
  <c r="L43" i="32"/>
  <c r="BE42" i="32"/>
  <c r="AZ42" i="32"/>
  <c r="AU42" i="32"/>
  <c r="AP42" i="32"/>
  <c r="AK42" i="32"/>
  <c r="AF42" i="32"/>
  <c r="AA42" i="32"/>
  <c r="V42" i="32"/>
  <c r="Q42" i="32"/>
  <c r="L42" i="32"/>
  <c r="BE41" i="32"/>
  <c r="AZ41" i="32"/>
  <c r="AU41" i="32"/>
  <c r="AP41" i="32"/>
  <c r="AK41" i="32"/>
  <c r="AF41" i="32"/>
  <c r="AA41" i="32"/>
  <c r="V41" i="32"/>
  <c r="Q41" i="32"/>
  <c r="L41" i="32"/>
  <c r="BE40" i="32"/>
  <c r="AZ40" i="32"/>
  <c r="AU40" i="32"/>
  <c r="AP40" i="32"/>
  <c r="AK40" i="32"/>
  <c r="AF40" i="32"/>
  <c r="AA40" i="32"/>
  <c r="V40" i="32"/>
  <c r="Q40" i="32"/>
  <c r="L40" i="32"/>
  <c r="BE39" i="32"/>
  <c r="AZ39" i="32"/>
  <c r="AU39" i="32"/>
  <c r="AP39" i="32"/>
  <c r="AK39" i="32"/>
  <c r="AF39" i="32"/>
  <c r="AA39" i="32"/>
  <c r="V39" i="32"/>
  <c r="Q39" i="32"/>
  <c r="L39" i="32"/>
  <c r="BE38" i="32"/>
  <c r="AZ38" i="32"/>
  <c r="AU38" i="32"/>
  <c r="AP38" i="32"/>
  <c r="AK38" i="32"/>
  <c r="AF38" i="32"/>
  <c r="AA38" i="32"/>
  <c r="V38" i="32"/>
  <c r="Q38" i="32"/>
  <c r="L38" i="32"/>
  <c r="BE37" i="32"/>
  <c r="AZ37" i="32"/>
  <c r="AU37" i="32"/>
  <c r="AP37" i="32"/>
  <c r="AK37" i="32"/>
  <c r="AF37" i="32"/>
  <c r="AA37" i="32"/>
  <c r="V37" i="32"/>
  <c r="Q37" i="32"/>
  <c r="L37" i="32"/>
  <c r="BE36" i="32"/>
  <c r="AZ36" i="32"/>
  <c r="AU36" i="32"/>
  <c r="AP36" i="32"/>
  <c r="AK36" i="32"/>
  <c r="AF36" i="32"/>
  <c r="AA36" i="32"/>
  <c r="V36" i="32"/>
  <c r="Q36" i="32"/>
  <c r="L36" i="32"/>
  <c r="BE35" i="32"/>
  <c r="AZ35" i="32"/>
  <c r="AU35" i="32"/>
  <c r="AP35" i="32"/>
  <c r="AK35" i="32"/>
  <c r="AF35" i="32"/>
  <c r="AA35" i="32"/>
  <c r="V35" i="32"/>
  <c r="Q35" i="32"/>
  <c r="L35" i="32"/>
  <c r="BE34" i="32"/>
  <c r="AZ34" i="32"/>
  <c r="AU34" i="32"/>
  <c r="AP34" i="32"/>
  <c r="AK34" i="32"/>
  <c r="AF34" i="32"/>
  <c r="AA34" i="32"/>
  <c r="V34" i="32"/>
  <c r="Q34" i="32"/>
  <c r="L34" i="32"/>
  <c r="BE33" i="32"/>
  <c r="AZ33" i="32"/>
  <c r="AU33" i="32"/>
  <c r="AP33" i="32"/>
  <c r="AK33" i="32"/>
  <c r="AF33" i="32"/>
  <c r="AA33" i="32"/>
  <c r="V33" i="32"/>
  <c r="Q33" i="32"/>
  <c r="L33" i="32"/>
  <c r="BE32" i="32"/>
  <c r="AZ32" i="32"/>
  <c r="AU32" i="32"/>
  <c r="AP32" i="32"/>
  <c r="AK32" i="32"/>
  <c r="AF32" i="32"/>
  <c r="AA32" i="32"/>
  <c r="V32" i="32"/>
  <c r="Q32" i="32"/>
  <c r="L32" i="32"/>
  <c r="BE31" i="32"/>
  <c r="AZ31" i="32"/>
  <c r="AU31" i="32"/>
  <c r="AP31" i="32"/>
  <c r="AK31" i="32"/>
  <c r="AF31" i="32"/>
  <c r="AA31" i="32"/>
  <c r="V31" i="32"/>
  <c r="Q31" i="32"/>
  <c r="L31" i="32"/>
  <c r="BE30" i="32"/>
  <c r="AZ30" i="32"/>
  <c r="AU30" i="32"/>
  <c r="AP30" i="32"/>
  <c r="AK30" i="32"/>
  <c r="AF30" i="32"/>
  <c r="AA30" i="32"/>
  <c r="V30" i="32"/>
  <c r="Q30" i="32"/>
  <c r="L30" i="32"/>
  <c r="BE29" i="32"/>
  <c r="AZ29" i="32"/>
  <c r="AU29" i="32"/>
  <c r="AP29" i="32"/>
  <c r="AK29" i="32"/>
  <c r="AF29" i="32"/>
  <c r="AA29" i="32"/>
  <c r="V29" i="32"/>
  <c r="Q29" i="32"/>
  <c r="L29" i="32"/>
  <c r="BE28" i="32"/>
  <c r="AZ28" i="32"/>
  <c r="AU28" i="32"/>
  <c r="AP28" i="32"/>
  <c r="AK28" i="32"/>
  <c r="AF28" i="32"/>
  <c r="AA28" i="32"/>
  <c r="V28" i="32"/>
  <c r="Q28" i="32"/>
  <c r="L28" i="32"/>
  <c r="BE27" i="32"/>
  <c r="AZ27" i="32"/>
  <c r="AU27" i="32"/>
  <c r="AP27" i="32"/>
  <c r="AK27" i="32"/>
  <c r="AF27" i="32"/>
  <c r="AA27" i="32"/>
  <c r="V27" i="32"/>
  <c r="Q27" i="32"/>
  <c r="L27" i="32"/>
  <c r="BE26" i="32"/>
  <c r="AZ26" i="32"/>
  <c r="AU26" i="32"/>
  <c r="AP26" i="32"/>
  <c r="AK26" i="32"/>
  <c r="AF26" i="32"/>
  <c r="AA26" i="32"/>
  <c r="V26" i="32"/>
  <c r="Q26" i="32"/>
  <c r="L26" i="32"/>
  <c r="BE25" i="32"/>
  <c r="AZ25" i="32"/>
  <c r="AU25" i="32"/>
  <c r="AP25" i="32"/>
  <c r="AK25" i="32"/>
  <c r="AF25" i="32"/>
  <c r="AA25" i="32"/>
  <c r="V25" i="32"/>
  <c r="Q25" i="32"/>
  <c r="L25" i="32"/>
  <c r="BE24" i="32"/>
  <c r="AZ24" i="32"/>
  <c r="AU24" i="32"/>
  <c r="AP24" i="32"/>
  <c r="AK24" i="32"/>
  <c r="AF24" i="32"/>
  <c r="AA24" i="32"/>
  <c r="V24" i="32"/>
  <c r="Q24" i="32"/>
  <c r="L24" i="32"/>
  <c r="BE23" i="32"/>
  <c r="AZ23" i="32"/>
  <c r="AU23" i="32"/>
  <c r="AP23" i="32"/>
  <c r="AK23" i="32"/>
  <c r="AF23" i="32"/>
  <c r="AA23" i="32"/>
  <c r="V23" i="32"/>
  <c r="Q23" i="32"/>
  <c r="L23" i="32"/>
  <c r="BE22" i="32"/>
  <c r="AZ22" i="32"/>
  <c r="AU22" i="32"/>
  <c r="AP22" i="32"/>
  <c r="AK22" i="32"/>
  <c r="AF22" i="32"/>
  <c r="AA22" i="32"/>
  <c r="V22" i="32"/>
  <c r="Q22" i="32"/>
  <c r="L22" i="32"/>
  <c r="BE21" i="32"/>
  <c r="AZ21" i="32"/>
  <c r="AU21" i="32"/>
  <c r="AP21" i="32"/>
  <c r="AK21" i="32"/>
  <c r="AF21" i="32"/>
  <c r="AA21" i="32"/>
  <c r="V21" i="32"/>
  <c r="Q21" i="32"/>
  <c r="L21" i="32"/>
  <c r="BE20" i="32"/>
  <c r="AZ20" i="32"/>
  <c r="AU20" i="32"/>
  <c r="AP20" i="32"/>
  <c r="AK20" i="32"/>
  <c r="AF20" i="32"/>
  <c r="AA20" i="32"/>
  <c r="V20" i="32"/>
  <c r="Q20" i="32"/>
  <c r="L20" i="32"/>
  <c r="BE19" i="32"/>
  <c r="AZ19" i="32"/>
  <c r="AU19" i="32"/>
  <c r="AP19" i="32"/>
  <c r="AK19" i="32"/>
  <c r="AF19" i="32"/>
  <c r="AA19" i="32"/>
  <c r="V19" i="32"/>
  <c r="Q19" i="32"/>
  <c r="L19" i="32"/>
  <c r="BE18" i="32"/>
  <c r="AZ18" i="32"/>
  <c r="AU18" i="32"/>
  <c r="AP18" i="32"/>
  <c r="AK18" i="32"/>
  <c r="AF18" i="32"/>
  <c r="AA18" i="32"/>
  <c r="V18" i="32"/>
  <c r="Q18" i="32"/>
  <c r="L18" i="32"/>
  <c r="BE17" i="32"/>
  <c r="BD17" i="32"/>
  <c r="D14" i="32" s="1"/>
  <c r="BC17" i="32"/>
  <c r="AZ17" i="32"/>
  <c r="AY17" i="32"/>
  <c r="AX17" i="32"/>
  <c r="AU17" i="32"/>
  <c r="AT17" i="32"/>
  <c r="D12" i="32" s="1"/>
  <c r="AS17" i="32"/>
  <c r="AP17" i="32"/>
  <c r="AO17" i="32"/>
  <c r="AN17" i="32"/>
  <c r="AK17" i="32"/>
  <c r="AJ17" i="32"/>
  <c r="D10" i="32" s="1"/>
  <c r="AI17" i="32"/>
  <c r="AF17" i="32"/>
  <c r="AE17" i="32"/>
  <c r="AD17" i="32"/>
  <c r="AA17" i="32"/>
  <c r="Z17" i="32"/>
  <c r="D8" i="32" s="1"/>
  <c r="Y17" i="32"/>
  <c r="V17" i="32"/>
  <c r="U17" i="32"/>
  <c r="T17" i="32"/>
  <c r="Q17" i="32"/>
  <c r="P17" i="32"/>
  <c r="D6" i="32" s="1"/>
  <c r="O17" i="32"/>
  <c r="L17" i="32"/>
  <c r="K17" i="32"/>
  <c r="J17" i="32"/>
  <c r="E14" i="32"/>
  <c r="C14" i="32"/>
  <c r="E13" i="32"/>
  <c r="D13" i="32"/>
  <c r="C13" i="32"/>
  <c r="E12" i="32"/>
  <c r="C12" i="32"/>
  <c r="E11" i="32"/>
  <c r="D11" i="32"/>
  <c r="C11" i="32"/>
  <c r="E10" i="32"/>
  <c r="C10" i="32"/>
  <c r="E9" i="32"/>
  <c r="D9" i="32"/>
  <c r="C9" i="32"/>
  <c r="E8" i="32"/>
  <c r="C8" i="32"/>
  <c r="E7" i="32"/>
  <c r="D7" i="32"/>
  <c r="C7" i="32"/>
  <c r="E6" i="32"/>
  <c r="C6" i="32"/>
  <c r="E5" i="32"/>
  <c r="AC2" i="32" s="1"/>
  <c r="D5" i="32"/>
  <c r="C5" i="32"/>
  <c r="AC3" i="32"/>
  <c r="R3" i="32"/>
  <c r="M3" i="32"/>
  <c r="H3" i="32"/>
  <c r="H1" i="32"/>
  <c r="BE73" i="31"/>
  <c r="AZ73" i="31"/>
  <c r="AU73" i="31"/>
  <c r="AP73" i="31"/>
  <c r="AK73" i="31"/>
  <c r="AF73" i="31"/>
  <c r="AA73" i="31"/>
  <c r="V73" i="31"/>
  <c r="Q73" i="31"/>
  <c r="L73" i="31"/>
  <c r="BE72" i="31"/>
  <c r="AZ72" i="31"/>
  <c r="AU72" i="31"/>
  <c r="AP72" i="31"/>
  <c r="AK72" i="31"/>
  <c r="AF72" i="31"/>
  <c r="AA72" i="31"/>
  <c r="V72" i="31"/>
  <c r="Q72" i="31"/>
  <c r="L72" i="31"/>
  <c r="BE71" i="31"/>
  <c r="AZ71" i="31"/>
  <c r="AU71" i="31"/>
  <c r="AP71" i="31"/>
  <c r="AK71" i="31"/>
  <c r="AF71" i="31"/>
  <c r="AA71" i="31"/>
  <c r="V71" i="31"/>
  <c r="Q71" i="31"/>
  <c r="L71" i="31"/>
  <c r="BE70" i="31"/>
  <c r="AZ70" i="31"/>
  <c r="AU70" i="31"/>
  <c r="AP70" i="31"/>
  <c r="AK70" i="31"/>
  <c r="AF70" i="31"/>
  <c r="AA70" i="31"/>
  <c r="V70" i="31"/>
  <c r="Q70" i="31"/>
  <c r="L70" i="31"/>
  <c r="BE69" i="31"/>
  <c r="AZ69" i="31"/>
  <c r="AU69" i="31"/>
  <c r="AP69" i="31"/>
  <c r="AK69" i="31"/>
  <c r="AF69" i="31"/>
  <c r="AA69" i="31"/>
  <c r="V69" i="31"/>
  <c r="Q69" i="31"/>
  <c r="L69" i="31"/>
  <c r="BE68" i="31"/>
  <c r="AZ68" i="31"/>
  <c r="AU68" i="31"/>
  <c r="AP68" i="31"/>
  <c r="AK68" i="31"/>
  <c r="AF68" i="31"/>
  <c r="AA68" i="31"/>
  <c r="V68" i="31"/>
  <c r="Q68" i="31"/>
  <c r="L68" i="31"/>
  <c r="BE67" i="31"/>
  <c r="AZ67" i="31"/>
  <c r="AU67" i="31"/>
  <c r="AP67" i="31"/>
  <c r="AK67" i="31"/>
  <c r="AF67" i="31"/>
  <c r="AA67" i="31"/>
  <c r="V67" i="31"/>
  <c r="Q67" i="31"/>
  <c r="L67" i="31"/>
  <c r="BE66" i="31"/>
  <c r="AZ66" i="31"/>
  <c r="AU66" i="31"/>
  <c r="AP66" i="31"/>
  <c r="AK66" i="31"/>
  <c r="AF66" i="31"/>
  <c r="AA66" i="31"/>
  <c r="V66" i="31"/>
  <c r="Q66" i="31"/>
  <c r="L66" i="31"/>
  <c r="BE65" i="31"/>
  <c r="AZ65" i="31"/>
  <c r="AU65" i="31"/>
  <c r="AP65" i="31"/>
  <c r="AK65" i="31"/>
  <c r="AF65" i="31"/>
  <c r="AA65" i="31"/>
  <c r="V65" i="31"/>
  <c r="Q65" i="31"/>
  <c r="L65" i="31"/>
  <c r="BE64" i="31"/>
  <c r="AZ64" i="31"/>
  <c r="AU64" i="31"/>
  <c r="AP64" i="31"/>
  <c r="AK64" i="31"/>
  <c r="AF64" i="31"/>
  <c r="AA64" i="31"/>
  <c r="V64" i="31"/>
  <c r="Q64" i="31"/>
  <c r="L64" i="31"/>
  <c r="BE63" i="31"/>
  <c r="AZ63" i="31"/>
  <c r="AU63" i="31"/>
  <c r="AP63" i="31"/>
  <c r="AK63" i="31"/>
  <c r="AF63" i="31"/>
  <c r="AA63" i="31"/>
  <c r="V63" i="31"/>
  <c r="Q63" i="31"/>
  <c r="L63" i="31"/>
  <c r="BE62" i="31"/>
  <c r="AZ62" i="31"/>
  <c r="AU62" i="31"/>
  <c r="AP62" i="31"/>
  <c r="AK62" i="31"/>
  <c r="AF62" i="31"/>
  <c r="AA62" i="31"/>
  <c r="V62" i="31"/>
  <c r="Q62" i="31"/>
  <c r="L62" i="31"/>
  <c r="BE61" i="31"/>
  <c r="AZ61" i="31"/>
  <c r="AU61" i="31"/>
  <c r="AP61" i="31"/>
  <c r="AK61" i="31"/>
  <c r="AF61" i="31"/>
  <c r="AA61" i="31"/>
  <c r="V61" i="31"/>
  <c r="Q61" i="31"/>
  <c r="L61" i="31"/>
  <c r="BE60" i="31"/>
  <c r="AZ60" i="31"/>
  <c r="AU60" i="31"/>
  <c r="AP60" i="31"/>
  <c r="AK60" i="31"/>
  <c r="AF60" i="31"/>
  <c r="AA60" i="31"/>
  <c r="V60" i="31"/>
  <c r="Q60" i="31"/>
  <c r="L60" i="31"/>
  <c r="BE59" i="31"/>
  <c r="AZ59" i="31"/>
  <c r="AU59" i="31"/>
  <c r="AP59" i="31"/>
  <c r="AK59" i="31"/>
  <c r="AF59" i="31"/>
  <c r="AA59" i="31"/>
  <c r="V59" i="31"/>
  <c r="Q59" i="31"/>
  <c r="L59" i="31"/>
  <c r="BE58" i="31"/>
  <c r="AZ58" i="31"/>
  <c r="AU58" i="31"/>
  <c r="AP58" i="31"/>
  <c r="AK58" i="31"/>
  <c r="AF58" i="31"/>
  <c r="AA58" i="31"/>
  <c r="V58" i="31"/>
  <c r="Q58" i="31"/>
  <c r="L58" i="31"/>
  <c r="BE57" i="31"/>
  <c r="AZ57" i="31"/>
  <c r="AU57" i="31"/>
  <c r="AP57" i="31"/>
  <c r="AK57" i="31"/>
  <c r="AF57" i="31"/>
  <c r="AA57" i="31"/>
  <c r="V57" i="31"/>
  <c r="Q57" i="31"/>
  <c r="L57" i="31"/>
  <c r="BE56" i="31"/>
  <c r="AZ56" i="31"/>
  <c r="AU56" i="31"/>
  <c r="AP56" i="31"/>
  <c r="AK56" i="31"/>
  <c r="AF56" i="31"/>
  <c r="AA56" i="31"/>
  <c r="V56" i="31"/>
  <c r="Q56" i="31"/>
  <c r="L56" i="31"/>
  <c r="BE55" i="31"/>
  <c r="AZ55" i="31"/>
  <c r="AU55" i="31"/>
  <c r="AP55" i="31"/>
  <c r="AK55" i="31"/>
  <c r="AF55" i="31"/>
  <c r="AA55" i="31"/>
  <c r="V55" i="31"/>
  <c r="Q55" i="31"/>
  <c r="L55" i="31"/>
  <c r="BE54" i="31"/>
  <c r="AZ54" i="31"/>
  <c r="AU54" i="31"/>
  <c r="AP54" i="31"/>
  <c r="AK54" i="31"/>
  <c r="AF54" i="31"/>
  <c r="AA54" i="31"/>
  <c r="V54" i="31"/>
  <c r="Q54" i="31"/>
  <c r="L54" i="31"/>
  <c r="BE53" i="31"/>
  <c r="AZ53" i="31"/>
  <c r="AU53" i="31"/>
  <c r="AP53" i="31"/>
  <c r="AK53" i="31"/>
  <c r="AF53" i="31"/>
  <c r="AA53" i="31"/>
  <c r="V53" i="31"/>
  <c r="Q53" i="31"/>
  <c r="L53" i="31"/>
  <c r="BE52" i="31"/>
  <c r="AZ52" i="31"/>
  <c r="AU52" i="31"/>
  <c r="AP52" i="31"/>
  <c r="AK52" i="31"/>
  <c r="AF52" i="31"/>
  <c r="AA52" i="31"/>
  <c r="V52" i="31"/>
  <c r="Q52" i="31"/>
  <c r="L52" i="31"/>
  <c r="BE51" i="31"/>
  <c r="AZ51" i="31"/>
  <c r="AU51" i="31"/>
  <c r="AP51" i="31"/>
  <c r="AK51" i="31"/>
  <c r="AF51" i="31"/>
  <c r="AA51" i="31"/>
  <c r="V51" i="31"/>
  <c r="Q51" i="31"/>
  <c r="L51" i="31"/>
  <c r="BE50" i="31"/>
  <c r="AZ50" i="31"/>
  <c r="AU50" i="31"/>
  <c r="AP50" i="31"/>
  <c r="AK50" i="31"/>
  <c r="AF50" i="31"/>
  <c r="AA50" i="31"/>
  <c r="V50" i="31"/>
  <c r="Q50" i="31"/>
  <c r="L50" i="31"/>
  <c r="BE49" i="31"/>
  <c r="AZ49" i="31"/>
  <c r="AU49" i="31"/>
  <c r="AP49" i="31"/>
  <c r="AK49" i="31"/>
  <c r="AF49" i="31"/>
  <c r="AA49" i="31"/>
  <c r="V49" i="31"/>
  <c r="Q49" i="31"/>
  <c r="L49" i="31"/>
  <c r="BE48" i="31"/>
  <c r="AZ48" i="31"/>
  <c r="AU48" i="31"/>
  <c r="AP48" i="31"/>
  <c r="AK48" i="31"/>
  <c r="AF48" i="31"/>
  <c r="AA48" i="31"/>
  <c r="V48" i="31"/>
  <c r="Q48" i="31"/>
  <c r="L48" i="31"/>
  <c r="BE47" i="31"/>
  <c r="AZ47" i="31"/>
  <c r="AU47" i="31"/>
  <c r="AP47" i="31"/>
  <c r="AK47" i="31"/>
  <c r="AF47" i="31"/>
  <c r="AA47" i="31"/>
  <c r="V47" i="31"/>
  <c r="Q47" i="31"/>
  <c r="L47" i="31"/>
  <c r="BE46" i="31"/>
  <c r="AZ46" i="31"/>
  <c r="AU46" i="31"/>
  <c r="AP46" i="31"/>
  <c r="AK46" i="31"/>
  <c r="AF46" i="31"/>
  <c r="AA46" i="31"/>
  <c r="V46" i="31"/>
  <c r="Q46" i="31"/>
  <c r="L46" i="31"/>
  <c r="BE45" i="31"/>
  <c r="AZ45" i="31"/>
  <c r="AU45" i="31"/>
  <c r="AP45" i="31"/>
  <c r="AK45" i="31"/>
  <c r="AF45" i="31"/>
  <c r="AA45" i="31"/>
  <c r="V45" i="31"/>
  <c r="Q45" i="31"/>
  <c r="L45" i="31"/>
  <c r="BE44" i="31"/>
  <c r="AZ44" i="31"/>
  <c r="AU44" i="31"/>
  <c r="AP44" i="31"/>
  <c r="AK44" i="31"/>
  <c r="AF44" i="31"/>
  <c r="AA44" i="31"/>
  <c r="V44" i="31"/>
  <c r="Q44" i="31"/>
  <c r="L44" i="31"/>
  <c r="BE43" i="31"/>
  <c r="AZ43" i="31"/>
  <c r="AU43" i="31"/>
  <c r="AP43" i="31"/>
  <c r="AK43" i="31"/>
  <c r="AF43" i="31"/>
  <c r="AA43" i="31"/>
  <c r="V43" i="31"/>
  <c r="Q43" i="31"/>
  <c r="L43" i="31"/>
  <c r="BE42" i="31"/>
  <c r="AZ42" i="31"/>
  <c r="AU42" i="31"/>
  <c r="AP42" i="31"/>
  <c r="AK42" i="31"/>
  <c r="AF42" i="31"/>
  <c r="AA42" i="31"/>
  <c r="V42" i="31"/>
  <c r="Q42" i="31"/>
  <c r="L42" i="31"/>
  <c r="BE41" i="31"/>
  <c r="AZ41" i="31"/>
  <c r="AU41" i="31"/>
  <c r="AP41" i="31"/>
  <c r="AK41" i="31"/>
  <c r="AF41" i="31"/>
  <c r="AA41" i="31"/>
  <c r="V41" i="31"/>
  <c r="Q41" i="31"/>
  <c r="L41" i="31"/>
  <c r="BE40" i="31"/>
  <c r="AZ40" i="31"/>
  <c r="AU40" i="31"/>
  <c r="AP40" i="31"/>
  <c r="AK40" i="31"/>
  <c r="AF40" i="31"/>
  <c r="AA40" i="31"/>
  <c r="V40" i="31"/>
  <c r="Q40" i="31"/>
  <c r="L40" i="31"/>
  <c r="BE39" i="31"/>
  <c r="AZ39" i="31"/>
  <c r="AU39" i="31"/>
  <c r="AP39" i="31"/>
  <c r="AK39" i="31"/>
  <c r="AF39" i="31"/>
  <c r="AA39" i="31"/>
  <c r="V39" i="31"/>
  <c r="Q39" i="31"/>
  <c r="L39" i="31"/>
  <c r="BE38" i="31"/>
  <c r="AZ38" i="31"/>
  <c r="AU38" i="31"/>
  <c r="AP38" i="31"/>
  <c r="AK38" i="31"/>
  <c r="AF38" i="31"/>
  <c r="AA38" i="31"/>
  <c r="V38" i="31"/>
  <c r="Q38" i="31"/>
  <c r="L38" i="31"/>
  <c r="BE37" i="31"/>
  <c r="AZ37" i="31"/>
  <c r="AU37" i="31"/>
  <c r="AP37" i="31"/>
  <c r="AK37" i="31"/>
  <c r="AF37" i="31"/>
  <c r="AA37" i="31"/>
  <c r="V37" i="31"/>
  <c r="Q37" i="31"/>
  <c r="L37" i="31"/>
  <c r="BE36" i="31"/>
  <c r="AZ36" i="31"/>
  <c r="AU36" i="31"/>
  <c r="AP36" i="31"/>
  <c r="AK36" i="31"/>
  <c r="AF36" i="31"/>
  <c r="AA36" i="31"/>
  <c r="V36" i="31"/>
  <c r="Q36" i="31"/>
  <c r="L36" i="31"/>
  <c r="BE35" i="31"/>
  <c r="AZ35" i="31"/>
  <c r="AU35" i="31"/>
  <c r="AP35" i="31"/>
  <c r="AK35" i="31"/>
  <c r="AF35" i="31"/>
  <c r="AA35" i="31"/>
  <c r="V35" i="31"/>
  <c r="Q35" i="31"/>
  <c r="L35" i="31"/>
  <c r="BE34" i="31"/>
  <c r="AZ34" i="31"/>
  <c r="AU34" i="31"/>
  <c r="AP34" i="31"/>
  <c r="AK34" i="31"/>
  <c r="AF34" i="31"/>
  <c r="AA34" i="31"/>
  <c r="V34" i="31"/>
  <c r="Q34" i="31"/>
  <c r="L34" i="31"/>
  <c r="BE33" i="31"/>
  <c r="AZ33" i="31"/>
  <c r="AU33" i="31"/>
  <c r="AP33" i="31"/>
  <c r="AK33" i="31"/>
  <c r="AF33" i="31"/>
  <c r="AA33" i="31"/>
  <c r="V33" i="31"/>
  <c r="Q33" i="31"/>
  <c r="L33" i="31"/>
  <c r="BE32" i="31"/>
  <c r="AZ32" i="31"/>
  <c r="AU32" i="31"/>
  <c r="AP32" i="31"/>
  <c r="AK32" i="31"/>
  <c r="AF32" i="31"/>
  <c r="AA32" i="31"/>
  <c r="V32" i="31"/>
  <c r="Q32" i="31"/>
  <c r="L32" i="31"/>
  <c r="BE31" i="31"/>
  <c r="AZ31" i="31"/>
  <c r="AU31" i="31"/>
  <c r="AP31" i="31"/>
  <c r="AK31" i="31"/>
  <c r="AF31" i="31"/>
  <c r="AA31" i="31"/>
  <c r="V31" i="31"/>
  <c r="Q31" i="31"/>
  <c r="L31" i="31"/>
  <c r="BE30" i="31"/>
  <c r="AZ30" i="31"/>
  <c r="AU30" i="31"/>
  <c r="AP30" i="31"/>
  <c r="AK30" i="31"/>
  <c r="AF30" i="31"/>
  <c r="AA30" i="31"/>
  <c r="V30" i="31"/>
  <c r="Q30" i="31"/>
  <c r="L30" i="31"/>
  <c r="BE29" i="31"/>
  <c r="AZ29" i="31"/>
  <c r="AU29" i="31"/>
  <c r="AP29" i="31"/>
  <c r="AK29" i="31"/>
  <c r="AF29" i="31"/>
  <c r="AA29" i="31"/>
  <c r="V29" i="31"/>
  <c r="Q29" i="31"/>
  <c r="L29" i="31"/>
  <c r="BE28" i="31"/>
  <c r="AZ28" i="31"/>
  <c r="AU28" i="31"/>
  <c r="AP28" i="31"/>
  <c r="AK28" i="31"/>
  <c r="AF28" i="31"/>
  <c r="AA28" i="31"/>
  <c r="V28" i="31"/>
  <c r="Q28" i="31"/>
  <c r="L28" i="31"/>
  <c r="BE27" i="31"/>
  <c r="AZ27" i="31"/>
  <c r="AU27" i="31"/>
  <c r="AP27" i="31"/>
  <c r="AK27" i="31"/>
  <c r="AF27" i="31"/>
  <c r="AA27" i="31"/>
  <c r="V27" i="31"/>
  <c r="Q27" i="31"/>
  <c r="L27" i="31"/>
  <c r="BE26" i="31"/>
  <c r="AZ26" i="31"/>
  <c r="AU26" i="31"/>
  <c r="AP26" i="31"/>
  <c r="AK26" i="31"/>
  <c r="AF26" i="31"/>
  <c r="AA26" i="31"/>
  <c r="V26" i="31"/>
  <c r="Q26" i="31"/>
  <c r="L26" i="31"/>
  <c r="BE25" i="31"/>
  <c r="AZ25" i="31"/>
  <c r="AU25" i="31"/>
  <c r="AP25" i="31"/>
  <c r="AK25" i="31"/>
  <c r="AF25" i="31"/>
  <c r="AA25" i="31"/>
  <c r="V25" i="31"/>
  <c r="Q25" i="31"/>
  <c r="L25" i="31"/>
  <c r="BE24" i="31"/>
  <c r="AZ24" i="31"/>
  <c r="AU24" i="31"/>
  <c r="AP24" i="31"/>
  <c r="AK24" i="31"/>
  <c r="AF24" i="31"/>
  <c r="AA24" i="31"/>
  <c r="V24" i="31"/>
  <c r="Q24" i="31"/>
  <c r="L24" i="31"/>
  <c r="BE23" i="31"/>
  <c r="AZ23" i="31"/>
  <c r="AU23" i="31"/>
  <c r="AP23" i="31"/>
  <c r="AK23" i="31"/>
  <c r="AF23" i="31"/>
  <c r="AA23" i="31"/>
  <c r="V23" i="31"/>
  <c r="Q23" i="31"/>
  <c r="L23" i="31"/>
  <c r="BE22" i="31"/>
  <c r="AZ22" i="31"/>
  <c r="AU22" i="31"/>
  <c r="AP22" i="31"/>
  <c r="AK22" i="31"/>
  <c r="AF22" i="31"/>
  <c r="AA22" i="31"/>
  <c r="V22" i="31"/>
  <c r="Q22" i="31"/>
  <c r="L22" i="31"/>
  <c r="BE21" i="31"/>
  <c r="AZ21" i="31"/>
  <c r="AU21" i="31"/>
  <c r="AP21" i="31"/>
  <c r="AK21" i="31"/>
  <c r="AF21" i="31"/>
  <c r="AA21" i="31"/>
  <c r="V21" i="31"/>
  <c r="Q21" i="31"/>
  <c r="L21" i="31"/>
  <c r="BE20" i="31"/>
  <c r="AZ20" i="31"/>
  <c r="AU20" i="31"/>
  <c r="AP20" i="31"/>
  <c r="AK20" i="31"/>
  <c r="AF20" i="31"/>
  <c r="AA20" i="31"/>
  <c r="V20" i="31"/>
  <c r="Q20" i="31"/>
  <c r="L20" i="31"/>
  <c r="BE19" i="31"/>
  <c r="AZ19" i="31"/>
  <c r="AU19" i="31"/>
  <c r="AP19" i="31"/>
  <c r="AK19" i="31"/>
  <c r="AF19" i="31"/>
  <c r="AA19" i="31"/>
  <c r="V19" i="31"/>
  <c r="Q19" i="31"/>
  <c r="L19" i="31"/>
  <c r="BE18" i="31"/>
  <c r="AZ18" i="31"/>
  <c r="AU18" i="31"/>
  <c r="AP18" i="31"/>
  <c r="AK18" i="31"/>
  <c r="AF18" i="31"/>
  <c r="AA18" i="31"/>
  <c r="V18" i="31"/>
  <c r="Q18" i="31"/>
  <c r="L18" i="31"/>
  <c r="BE17" i="31"/>
  <c r="BD17" i="31"/>
  <c r="D14" i="31" s="1"/>
  <c r="BC17" i="31"/>
  <c r="AZ17" i="31"/>
  <c r="AY17" i="31"/>
  <c r="AX17" i="31"/>
  <c r="AU17" i="31"/>
  <c r="AT17" i="31"/>
  <c r="D12" i="31" s="1"/>
  <c r="AS17" i="31"/>
  <c r="AP17" i="31"/>
  <c r="AO17" i="31"/>
  <c r="AN17" i="31"/>
  <c r="AK17" i="31"/>
  <c r="AJ17" i="31"/>
  <c r="D10" i="31" s="1"/>
  <c r="AI17" i="31"/>
  <c r="AF17" i="31"/>
  <c r="AE17" i="31"/>
  <c r="AD17" i="31"/>
  <c r="AA17" i="31"/>
  <c r="Z17" i="31"/>
  <c r="D8" i="31" s="1"/>
  <c r="Y17" i="31"/>
  <c r="V17" i="31"/>
  <c r="U17" i="31"/>
  <c r="T17" i="31"/>
  <c r="Q17" i="31"/>
  <c r="P17" i="31"/>
  <c r="D6" i="31" s="1"/>
  <c r="O17" i="31"/>
  <c r="L17" i="31"/>
  <c r="K17" i="31"/>
  <c r="J17" i="31"/>
  <c r="E14" i="31"/>
  <c r="C14" i="31"/>
  <c r="E13" i="31"/>
  <c r="D13" i="31"/>
  <c r="C13" i="31"/>
  <c r="E12" i="31"/>
  <c r="C12" i="31"/>
  <c r="E11" i="31"/>
  <c r="D11" i="31"/>
  <c r="C11" i="31"/>
  <c r="E10" i="31"/>
  <c r="C10" i="31"/>
  <c r="E9" i="31"/>
  <c r="D9" i="31"/>
  <c r="C9" i="31"/>
  <c r="E8" i="31"/>
  <c r="C8" i="31"/>
  <c r="E7" i="31"/>
  <c r="D7" i="31"/>
  <c r="C7" i="31"/>
  <c r="E6" i="31"/>
  <c r="C6" i="31"/>
  <c r="E5" i="31"/>
  <c r="AC2" i="31" s="1"/>
  <c r="D5" i="31"/>
  <c r="C5" i="31"/>
  <c r="AC3" i="31"/>
  <c r="R3" i="31"/>
  <c r="M3" i="31"/>
  <c r="H3" i="31"/>
  <c r="H1" i="31"/>
  <c r="BE73" i="30"/>
  <c r="AZ73" i="30"/>
  <c r="AU73" i="30"/>
  <c r="AP73" i="30"/>
  <c r="AK73" i="30"/>
  <c r="AF73" i="30"/>
  <c r="AA73" i="30"/>
  <c r="V73" i="30"/>
  <c r="Q73" i="30"/>
  <c r="L73" i="30"/>
  <c r="BE72" i="30"/>
  <c r="AZ72" i="30"/>
  <c r="AU72" i="30"/>
  <c r="AP72" i="30"/>
  <c r="AK72" i="30"/>
  <c r="AF72" i="30"/>
  <c r="AA72" i="30"/>
  <c r="V72" i="30"/>
  <c r="Q72" i="30"/>
  <c r="L72" i="30"/>
  <c r="BE71" i="30"/>
  <c r="AZ71" i="30"/>
  <c r="AU71" i="30"/>
  <c r="AP71" i="30"/>
  <c r="AK71" i="30"/>
  <c r="AF71" i="30"/>
  <c r="AA71" i="30"/>
  <c r="V71" i="30"/>
  <c r="Q71" i="30"/>
  <c r="L71" i="30"/>
  <c r="BE70" i="30"/>
  <c r="AZ70" i="30"/>
  <c r="AU70" i="30"/>
  <c r="AP70" i="30"/>
  <c r="AK70" i="30"/>
  <c r="AF70" i="30"/>
  <c r="AA70" i="30"/>
  <c r="V70" i="30"/>
  <c r="Q70" i="30"/>
  <c r="L70" i="30"/>
  <c r="BE69" i="30"/>
  <c r="AZ69" i="30"/>
  <c r="AU69" i="30"/>
  <c r="AP69" i="30"/>
  <c r="AK69" i="30"/>
  <c r="AF69" i="30"/>
  <c r="AA69" i="30"/>
  <c r="V69" i="30"/>
  <c r="Q69" i="30"/>
  <c r="L69" i="30"/>
  <c r="BE68" i="30"/>
  <c r="AZ68" i="30"/>
  <c r="AU68" i="30"/>
  <c r="AP68" i="30"/>
  <c r="AK68" i="30"/>
  <c r="AF68" i="30"/>
  <c r="AA68" i="30"/>
  <c r="V68" i="30"/>
  <c r="Q68" i="30"/>
  <c r="L68" i="30"/>
  <c r="BE67" i="30"/>
  <c r="AZ67" i="30"/>
  <c r="AU67" i="30"/>
  <c r="AP67" i="30"/>
  <c r="AK67" i="30"/>
  <c r="AF67" i="30"/>
  <c r="AA67" i="30"/>
  <c r="V67" i="30"/>
  <c r="Q67" i="30"/>
  <c r="L67" i="30"/>
  <c r="BE66" i="30"/>
  <c r="AZ66" i="30"/>
  <c r="AU66" i="30"/>
  <c r="AP66" i="30"/>
  <c r="AK66" i="30"/>
  <c r="AF66" i="30"/>
  <c r="AA66" i="30"/>
  <c r="V66" i="30"/>
  <c r="Q66" i="30"/>
  <c r="L66" i="30"/>
  <c r="BE65" i="30"/>
  <c r="AZ65" i="30"/>
  <c r="AU65" i="30"/>
  <c r="AP65" i="30"/>
  <c r="AK65" i="30"/>
  <c r="AF65" i="30"/>
  <c r="AA65" i="30"/>
  <c r="V65" i="30"/>
  <c r="Q65" i="30"/>
  <c r="L65" i="30"/>
  <c r="BE64" i="30"/>
  <c r="AZ64" i="30"/>
  <c r="AU64" i="30"/>
  <c r="AP64" i="30"/>
  <c r="AK64" i="30"/>
  <c r="AF64" i="30"/>
  <c r="AA64" i="30"/>
  <c r="V64" i="30"/>
  <c r="Q64" i="30"/>
  <c r="L64" i="30"/>
  <c r="BE63" i="30"/>
  <c r="AZ63" i="30"/>
  <c r="AU63" i="30"/>
  <c r="AP63" i="30"/>
  <c r="AK63" i="30"/>
  <c r="AF63" i="30"/>
  <c r="AA63" i="30"/>
  <c r="V63" i="30"/>
  <c r="Q63" i="30"/>
  <c r="L63" i="30"/>
  <c r="BE62" i="30"/>
  <c r="AZ62" i="30"/>
  <c r="AU62" i="30"/>
  <c r="AP62" i="30"/>
  <c r="AK62" i="30"/>
  <c r="AF62" i="30"/>
  <c r="AA62" i="30"/>
  <c r="V62" i="30"/>
  <c r="Q62" i="30"/>
  <c r="L62" i="30"/>
  <c r="BE61" i="30"/>
  <c r="AZ61" i="30"/>
  <c r="AU61" i="30"/>
  <c r="AP61" i="30"/>
  <c r="AK61" i="30"/>
  <c r="AF61" i="30"/>
  <c r="AA61" i="30"/>
  <c r="V61" i="30"/>
  <c r="Q61" i="30"/>
  <c r="L61" i="30"/>
  <c r="BE60" i="30"/>
  <c r="AZ60" i="30"/>
  <c r="AU60" i="30"/>
  <c r="AP60" i="30"/>
  <c r="AK60" i="30"/>
  <c r="AF60" i="30"/>
  <c r="AA60" i="30"/>
  <c r="V60" i="30"/>
  <c r="Q60" i="30"/>
  <c r="L60" i="30"/>
  <c r="BE59" i="30"/>
  <c r="AZ59" i="30"/>
  <c r="AU59" i="30"/>
  <c r="AP59" i="30"/>
  <c r="AK59" i="30"/>
  <c r="AF59" i="30"/>
  <c r="AA59" i="30"/>
  <c r="V59" i="30"/>
  <c r="Q59" i="30"/>
  <c r="L59" i="30"/>
  <c r="BE58" i="30"/>
  <c r="AZ58" i="30"/>
  <c r="AU58" i="30"/>
  <c r="AP58" i="30"/>
  <c r="AK58" i="30"/>
  <c r="AF58" i="30"/>
  <c r="AA58" i="30"/>
  <c r="V58" i="30"/>
  <c r="Q58" i="30"/>
  <c r="L58" i="30"/>
  <c r="BE57" i="30"/>
  <c r="AZ57" i="30"/>
  <c r="AU57" i="30"/>
  <c r="AP57" i="30"/>
  <c r="AK57" i="30"/>
  <c r="AF57" i="30"/>
  <c r="AA57" i="30"/>
  <c r="V57" i="30"/>
  <c r="Q57" i="30"/>
  <c r="L57" i="30"/>
  <c r="BE56" i="30"/>
  <c r="AZ56" i="30"/>
  <c r="AU56" i="30"/>
  <c r="AP56" i="30"/>
  <c r="AK56" i="30"/>
  <c r="AF56" i="30"/>
  <c r="AA56" i="30"/>
  <c r="V56" i="30"/>
  <c r="Q56" i="30"/>
  <c r="L56" i="30"/>
  <c r="BE55" i="30"/>
  <c r="AZ55" i="30"/>
  <c r="AU55" i="30"/>
  <c r="AP55" i="30"/>
  <c r="AK55" i="30"/>
  <c r="AF55" i="30"/>
  <c r="AA55" i="30"/>
  <c r="V55" i="30"/>
  <c r="Q55" i="30"/>
  <c r="L55" i="30"/>
  <c r="BE54" i="30"/>
  <c r="AZ54" i="30"/>
  <c r="AU54" i="30"/>
  <c r="AP54" i="30"/>
  <c r="AK54" i="30"/>
  <c r="AF54" i="30"/>
  <c r="AA54" i="30"/>
  <c r="V54" i="30"/>
  <c r="Q54" i="30"/>
  <c r="L54" i="30"/>
  <c r="BE53" i="30"/>
  <c r="AZ53" i="30"/>
  <c r="AU53" i="30"/>
  <c r="AP53" i="30"/>
  <c r="AK53" i="30"/>
  <c r="AF53" i="30"/>
  <c r="AA53" i="30"/>
  <c r="V53" i="30"/>
  <c r="Q53" i="30"/>
  <c r="L53" i="30"/>
  <c r="BE52" i="30"/>
  <c r="AZ52" i="30"/>
  <c r="AU52" i="30"/>
  <c r="AP52" i="30"/>
  <c r="AK52" i="30"/>
  <c r="AF52" i="30"/>
  <c r="AA52" i="30"/>
  <c r="V52" i="30"/>
  <c r="Q52" i="30"/>
  <c r="L52" i="30"/>
  <c r="BE51" i="30"/>
  <c r="AZ51" i="30"/>
  <c r="AU51" i="30"/>
  <c r="AP51" i="30"/>
  <c r="AK51" i="30"/>
  <c r="AF51" i="30"/>
  <c r="AA51" i="30"/>
  <c r="V51" i="30"/>
  <c r="Q51" i="30"/>
  <c r="L51" i="30"/>
  <c r="BE50" i="30"/>
  <c r="AZ50" i="30"/>
  <c r="AU50" i="30"/>
  <c r="AP50" i="30"/>
  <c r="AK50" i="30"/>
  <c r="AF50" i="30"/>
  <c r="AA50" i="30"/>
  <c r="V50" i="30"/>
  <c r="Q50" i="30"/>
  <c r="L50" i="30"/>
  <c r="BE49" i="30"/>
  <c r="AZ49" i="30"/>
  <c r="AU49" i="30"/>
  <c r="AP49" i="30"/>
  <c r="AK49" i="30"/>
  <c r="AF49" i="30"/>
  <c r="AA49" i="30"/>
  <c r="V49" i="30"/>
  <c r="Q49" i="30"/>
  <c r="L49" i="30"/>
  <c r="BE48" i="30"/>
  <c r="AZ48" i="30"/>
  <c r="AU48" i="30"/>
  <c r="AP48" i="30"/>
  <c r="AK48" i="30"/>
  <c r="AF48" i="30"/>
  <c r="AA48" i="30"/>
  <c r="V48" i="30"/>
  <c r="Q48" i="30"/>
  <c r="L48" i="30"/>
  <c r="BE47" i="30"/>
  <c r="AZ47" i="30"/>
  <c r="AU47" i="30"/>
  <c r="AP47" i="30"/>
  <c r="AK47" i="30"/>
  <c r="AF47" i="30"/>
  <c r="AA47" i="30"/>
  <c r="V47" i="30"/>
  <c r="Q47" i="30"/>
  <c r="L47" i="30"/>
  <c r="BE46" i="30"/>
  <c r="AZ46" i="30"/>
  <c r="AU46" i="30"/>
  <c r="AP46" i="30"/>
  <c r="AK46" i="30"/>
  <c r="AF46" i="30"/>
  <c r="AA46" i="30"/>
  <c r="V46" i="30"/>
  <c r="Q46" i="30"/>
  <c r="L46" i="30"/>
  <c r="BE45" i="30"/>
  <c r="AZ45" i="30"/>
  <c r="AU45" i="30"/>
  <c r="AP45" i="30"/>
  <c r="AK45" i="30"/>
  <c r="AF45" i="30"/>
  <c r="AA45" i="30"/>
  <c r="V45" i="30"/>
  <c r="Q45" i="30"/>
  <c r="L45" i="30"/>
  <c r="BE44" i="30"/>
  <c r="AZ44" i="30"/>
  <c r="AU44" i="30"/>
  <c r="AP44" i="30"/>
  <c r="AK44" i="30"/>
  <c r="AF44" i="30"/>
  <c r="AA44" i="30"/>
  <c r="V44" i="30"/>
  <c r="Q44" i="30"/>
  <c r="L44" i="30"/>
  <c r="BE43" i="30"/>
  <c r="AZ43" i="30"/>
  <c r="AU43" i="30"/>
  <c r="AP43" i="30"/>
  <c r="AK43" i="30"/>
  <c r="AF43" i="30"/>
  <c r="AA43" i="30"/>
  <c r="V43" i="30"/>
  <c r="Q43" i="30"/>
  <c r="L43" i="30"/>
  <c r="BE42" i="30"/>
  <c r="AZ42" i="30"/>
  <c r="AU42" i="30"/>
  <c r="AP42" i="30"/>
  <c r="AK42" i="30"/>
  <c r="AF42" i="30"/>
  <c r="AA42" i="30"/>
  <c r="V42" i="30"/>
  <c r="Q42" i="30"/>
  <c r="L42" i="30"/>
  <c r="BE41" i="30"/>
  <c r="AZ41" i="30"/>
  <c r="AU41" i="30"/>
  <c r="AP41" i="30"/>
  <c r="AK41" i="30"/>
  <c r="AF41" i="30"/>
  <c r="AA41" i="30"/>
  <c r="V41" i="30"/>
  <c r="Q41" i="30"/>
  <c r="L41" i="30"/>
  <c r="BE40" i="30"/>
  <c r="AZ40" i="30"/>
  <c r="AU40" i="30"/>
  <c r="AP40" i="30"/>
  <c r="AK40" i="30"/>
  <c r="AF40" i="30"/>
  <c r="AA40" i="30"/>
  <c r="V40" i="30"/>
  <c r="Q40" i="30"/>
  <c r="L40" i="30"/>
  <c r="BE39" i="30"/>
  <c r="AZ39" i="30"/>
  <c r="AU39" i="30"/>
  <c r="AP39" i="30"/>
  <c r="AK39" i="30"/>
  <c r="AF39" i="30"/>
  <c r="AA39" i="30"/>
  <c r="V39" i="30"/>
  <c r="Q39" i="30"/>
  <c r="L39" i="30"/>
  <c r="BE38" i="30"/>
  <c r="AZ38" i="30"/>
  <c r="AU38" i="30"/>
  <c r="AP38" i="30"/>
  <c r="AK38" i="30"/>
  <c r="AF38" i="30"/>
  <c r="AA38" i="30"/>
  <c r="V38" i="30"/>
  <c r="Q38" i="30"/>
  <c r="L38" i="30"/>
  <c r="BE37" i="30"/>
  <c r="AZ37" i="30"/>
  <c r="AU37" i="30"/>
  <c r="AP37" i="30"/>
  <c r="AK37" i="30"/>
  <c r="AF37" i="30"/>
  <c r="AA37" i="30"/>
  <c r="V37" i="30"/>
  <c r="Q37" i="30"/>
  <c r="L37" i="30"/>
  <c r="BE36" i="30"/>
  <c r="AZ36" i="30"/>
  <c r="AU36" i="30"/>
  <c r="AP36" i="30"/>
  <c r="AK36" i="30"/>
  <c r="AF36" i="30"/>
  <c r="AA36" i="30"/>
  <c r="V36" i="30"/>
  <c r="Q36" i="30"/>
  <c r="L36" i="30"/>
  <c r="BE35" i="30"/>
  <c r="AZ35" i="30"/>
  <c r="AU35" i="30"/>
  <c r="AP35" i="30"/>
  <c r="AK35" i="30"/>
  <c r="AF35" i="30"/>
  <c r="AA35" i="30"/>
  <c r="V35" i="30"/>
  <c r="Q35" i="30"/>
  <c r="L35" i="30"/>
  <c r="BE34" i="30"/>
  <c r="AZ34" i="30"/>
  <c r="AU34" i="30"/>
  <c r="AP34" i="30"/>
  <c r="AK34" i="30"/>
  <c r="AF34" i="30"/>
  <c r="AA34" i="30"/>
  <c r="V34" i="30"/>
  <c r="Q34" i="30"/>
  <c r="L34" i="30"/>
  <c r="BE33" i="30"/>
  <c r="AZ33" i="30"/>
  <c r="AU33" i="30"/>
  <c r="AP33" i="30"/>
  <c r="AK33" i="30"/>
  <c r="AF33" i="30"/>
  <c r="AA33" i="30"/>
  <c r="V33" i="30"/>
  <c r="Q33" i="30"/>
  <c r="L33" i="30"/>
  <c r="BE32" i="30"/>
  <c r="AZ32" i="30"/>
  <c r="AU32" i="30"/>
  <c r="AP32" i="30"/>
  <c r="AK32" i="30"/>
  <c r="AF32" i="30"/>
  <c r="AA32" i="30"/>
  <c r="V32" i="30"/>
  <c r="Q32" i="30"/>
  <c r="L32" i="30"/>
  <c r="BE31" i="30"/>
  <c r="AZ31" i="30"/>
  <c r="AU31" i="30"/>
  <c r="AP31" i="30"/>
  <c r="AK31" i="30"/>
  <c r="AF31" i="30"/>
  <c r="AA31" i="30"/>
  <c r="V31" i="30"/>
  <c r="Q31" i="30"/>
  <c r="L31" i="30"/>
  <c r="BE30" i="30"/>
  <c r="AZ30" i="30"/>
  <c r="AU30" i="30"/>
  <c r="AP30" i="30"/>
  <c r="AK30" i="30"/>
  <c r="AF30" i="30"/>
  <c r="AA30" i="30"/>
  <c r="V30" i="30"/>
  <c r="Q30" i="30"/>
  <c r="L30" i="30"/>
  <c r="BE29" i="30"/>
  <c r="AZ29" i="30"/>
  <c r="AU29" i="30"/>
  <c r="AP29" i="30"/>
  <c r="AK29" i="30"/>
  <c r="AF29" i="30"/>
  <c r="AA29" i="30"/>
  <c r="V29" i="30"/>
  <c r="Q29" i="30"/>
  <c r="L29" i="30"/>
  <c r="BE28" i="30"/>
  <c r="AZ28" i="30"/>
  <c r="AU28" i="30"/>
  <c r="AP28" i="30"/>
  <c r="AK28" i="30"/>
  <c r="AF28" i="30"/>
  <c r="AA28" i="30"/>
  <c r="V28" i="30"/>
  <c r="Q28" i="30"/>
  <c r="L28" i="30"/>
  <c r="BE27" i="30"/>
  <c r="AZ27" i="30"/>
  <c r="AU27" i="30"/>
  <c r="AP27" i="30"/>
  <c r="AK27" i="30"/>
  <c r="AF27" i="30"/>
  <c r="AA27" i="30"/>
  <c r="V27" i="30"/>
  <c r="Q27" i="30"/>
  <c r="L27" i="30"/>
  <c r="BE26" i="30"/>
  <c r="AZ26" i="30"/>
  <c r="AU26" i="30"/>
  <c r="AP26" i="30"/>
  <c r="AK26" i="30"/>
  <c r="AF26" i="30"/>
  <c r="AA26" i="30"/>
  <c r="V26" i="30"/>
  <c r="Q26" i="30"/>
  <c r="L26" i="30"/>
  <c r="BE25" i="30"/>
  <c r="AZ25" i="30"/>
  <c r="AU25" i="30"/>
  <c r="AP25" i="30"/>
  <c r="AK25" i="30"/>
  <c r="AF25" i="30"/>
  <c r="AA25" i="30"/>
  <c r="V25" i="30"/>
  <c r="Q25" i="30"/>
  <c r="L25" i="30"/>
  <c r="BE24" i="30"/>
  <c r="AZ24" i="30"/>
  <c r="AU24" i="30"/>
  <c r="AP24" i="30"/>
  <c r="AK24" i="30"/>
  <c r="AF24" i="30"/>
  <c r="AA24" i="30"/>
  <c r="V24" i="30"/>
  <c r="Q24" i="30"/>
  <c r="L24" i="30"/>
  <c r="BE23" i="30"/>
  <c r="AZ23" i="30"/>
  <c r="AU23" i="30"/>
  <c r="AP23" i="30"/>
  <c r="AK23" i="30"/>
  <c r="AF23" i="30"/>
  <c r="AA23" i="30"/>
  <c r="V23" i="30"/>
  <c r="Q23" i="30"/>
  <c r="L23" i="30"/>
  <c r="BE22" i="30"/>
  <c r="AZ22" i="30"/>
  <c r="AU22" i="30"/>
  <c r="AP22" i="30"/>
  <c r="AK22" i="30"/>
  <c r="AF22" i="30"/>
  <c r="AA22" i="30"/>
  <c r="V22" i="30"/>
  <c r="Q22" i="30"/>
  <c r="L22" i="30"/>
  <c r="BE21" i="30"/>
  <c r="AZ21" i="30"/>
  <c r="AU21" i="30"/>
  <c r="AP21" i="30"/>
  <c r="AK21" i="30"/>
  <c r="AF21" i="30"/>
  <c r="AA21" i="30"/>
  <c r="V21" i="30"/>
  <c r="Q21" i="30"/>
  <c r="L21" i="30"/>
  <c r="BE20" i="30"/>
  <c r="AZ20" i="30"/>
  <c r="AU20" i="30"/>
  <c r="AP20" i="30"/>
  <c r="AK20" i="30"/>
  <c r="AF20" i="30"/>
  <c r="AA20" i="30"/>
  <c r="V20" i="30"/>
  <c r="Q20" i="30"/>
  <c r="L20" i="30"/>
  <c r="BE19" i="30"/>
  <c r="AZ19" i="30"/>
  <c r="AU19" i="30"/>
  <c r="AP19" i="30"/>
  <c r="AK19" i="30"/>
  <c r="AF19" i="30"/>
  <c r="AA19" i="30"/>
  <c r="V19" i="30"/>
  <c r="Q19" i="30"/>
  <c r="L19" i="30"/>
  <c r="BE18" i="30"/>
  <c r="AZ18" i="30"/>
  <c r="AU18" i="30"/>
  <c r="AP18" i="30"/>
  <c r="AK18" i="30"/>
  <c r="AF18" i="30"/>
  <c r="AA18" i="30"/>
  <c r="V18" i="30"/>
  <c r="Q18" i="30"/>
  <c r="L18" i="30"/>
  <c r="BE17" i="30"/>
  <c r="BD17" i="30"/>
  <c r="D14" i="30" s="1"/>
  <c r="BC17" i="30"/>
  <c r="AZ17" i="30"/>
  <c r="AY17" i="30"/>
  <c r="AX17" i="30"/>
  <c r="AU17" i="30"/>
  <c r="AT17" i="30"/>
  <c r="D12" i="30" s="1"/>
  <c r="AS17" i="30"/>
  <c r="AP17" i="30"/>
  <c r="AO17" i="30"/>
  <c r="AN17" i="30"/>
  <c r="AK17" i="30"/>
  <c r="AJ17" i="30"/>
  <c r="D10" i="30" s="1"/>
  <c r="AI17" i="30"/>
  <c r="AF17" i="30"/>
  <c r="AE17" i="30"/>
  <c r="AD17" i="30"/>
  <c r="AA17" i="30"/>
  <c r="Z17" i="30"/>
  <c r="D8" i="30" s="1"/>
  <c r="Y17" i="30"/>
  <c r="V17" i="30"/>
  <c r="U17" i="30"/>
  <c r="T17" i="30"/>
  <c r="Q17" i="30"/>
  <c r="P17" i="30"/>
  <c r="D6" i="30" s="1"/>
  <c r="O17" i="30"/>
  <c r="L17" i="30"/>
  <c r="K17" i="30"/>
  <c r="J17" i="30"/>
  <c r="E14" i="30"/>
  <c r="C14" i="30"/>
  <c r="E13" i="30"/>
  <c r="D13" i="30"/>
  <c r="C13" i="30"/>
  <c r="E12" i="30"/>
  <c r="C12" i="30"/>
  <c r="E11" i="30"/>
  <c r="D11" i="30"/>
  <c r="C11" i="30"/>
  <c r="E10" i="30"/>
  <c r="C10" i="30"/>
  <c r="E9" i="30"/>
  <c r="D9" i="30"/>
  <c r="C9" i="30"/>
  <c r="E8" i="30"/>
  <c r="C8" i="30"/>
  <c r="E7" i="30"/>
  <c r="D7" i="30"/>
  <c r="C7" i="30"/>
  <c r="E6" i="30"/>
  <c r="C6" i="30"/>
  <c r="E5" i="30"/>
  <c r="AC2" i="30" s="1"/>
  <c r="D5" i="30"/>
  <c r="C5" i="30"/>
  <c r="AC3" i="30"/>
  <c r="M3" i="30"/>
  <c r="H3" i="30"/>
  <c r="H1" i="30"/>
  <c r="F14" i="36" l="1"/>
  <c r="F13" i="36"/>
  <c r="F12" i="36"/>
  <c r="F11" i="36"/>
  <c r="F10" i="36"/>
  <c r="F9" i="36"/>
  <c r="F8" i="36"/>
  <c r="F7" i="36"/>
  <c r="F6" i="36"/>
  <c r="F5" i="36"/>
  <c r="AE3" i="36"/>
  <c r="F14" i="35"/>
  <c r="F13" i="35"/>
  <c r="F12" i="35"/>
  <c r="F11" i="35"/>
  <c r="F10" i="35"/>
  <c r="F9" i="35"/>
  <c r="F8" i="35"/>
  <c r="F7" i="35"/>
  <c r="F6" i="35"/>
  <c r="F5" i="35"/>
  <c r="AE3" i="35"/>
  <c r="F14" i="34"/>
  <c r="F13" i="34"/>
  <c r="F12" i="34"/>
  <c r="F11" i="34"/>
  <c r="F10" i="34"/>
  <c r="F9" i="34"/>
  <c r="F8" i="34"/>
  <c r="F7" i="34"/>
  <c r="F6" i="34"/>
  <c r="F5" i="34"/>
  <c r="AE3" i="34"/>
  <c r="F14" i="33"/>
  <c r="F13" i="33"/>
  <c r="F12" i="33"/>
  <c r="F11" i="33"/>
  <c r="F10" i="33"/>
  <c r="F9" i="33"/>
  <c r="F8" i="33"/>
  <c r="F7" i="33"/>
  <c r="F6" i="33"/>
  <c r="F5" i="33"/>
  <c r="AE3" i="33"/>
  <c r="F14" i="32"/>
  <c r="F13" i="32"/>
  <c r="F12" i="32"/>
  <c r="F11" i="32"/>
  <c r="F10" i="32"/>
  <c r="F9" i="32"/>
  <c r="F8" i="32"/>
  <c r="F7" i="32"/>
  <c r="F6" i="32"/>
  <c r="F5" i="32"/>
  <c r="AE3" i="32"/>
  <c r="F14" i="31"/>
  <c r="F13" i="31"/>
  <c r="F12" i="31"/>
  <c r="F11" i="31"/>
  <c r="F10" i="31"/>
  <c r="F9" i="31"/>
  <c r="F8" i="31"/>
  <c r="F7" i="31"/>
  <c r="F6" i="31"/>
  <c r="F5" i="31"/>
  <c r="AE3" i="31"/>
  <c r="F14" i="30"/>
  <c r="F13" i="30"/>
  <c r="F12" i="30"/>
  <c r="F11" i="30"/>
  <c r="F10" i="30"/>
  <c r="F9" i="30"/>
  <c r="F8" i="30"/>
  <c r="F7" i="30"/>
  <c r="F6" i="30"/>
  <c r="F5" i="30"/>
  <c r="R3" i="28"/>
  <c r="H3" i="28" l="1"/>
  <c r="H3" i="25" l="1"/>
  <c r="L53" i="25"/>
  <c r="Q53" i="25"/>
  <c r="V53" i="25"/>
  <c r="AA53" i="25"/>
  <c r="AF53" i="25"/>
  <c r="AK53" i="25"/>
  <c r="AP53" i="25"/>
  <c r="AU53" i="25"/>
  <c r="L54" i="25"/>
  <c r="Q54" i="25"/>
  <c r="V54" i="25"/>
  <c r="AA54" i="25"/>
  <c r="AF54" i="25"/>
  <c r="AK54" i="25"/>
  <c r="AP54" i="25"/>
  <c r="AU54" i="25"/>
  <c r="L55" i="25"/>
  <c r="Q55" i="25"/>
  <c r="V55" i="25"/>
  <c r="AA55" i="25"/>
  <c r="AF55" i="25"/>
  <c r="AK55" i="25"/>
  <c r="AP55" i="25"/>
  <c r="AU55" i="25"/>
  <c r="L56" i="25"/>
  <c r="Q56" i="25"/>
  <c r="V56" i="25"/>
  <c r="AA56" i="25"/>
  <c r="AF56" i="25"/>
  <c r="AK56" i="25"/>
  <c r="AP56" i="25"/>
  <c r="AU56" i="25"/>
  <c r="L57" i="25"/>
  <c r="Q57" i="25"/>
  <c r="V57" i="25"/>
  <c r="AA57" i="25"/>
  <c r="AF57" i="25"/>
  <c r="AK57" i="25"/>
  <c r="AP57" i="25"/>
  <c r="AU57" i="25"/>
  <c r="L58" i="25"/>
  <c r="Q58" i="25"/>
  <c r="V58" i="25"/>
  <c r="AA58" i="25"/>
  <c r="AF58" i="25"/>
  <c r="AK58" i="25"/>
  <c r="AP58" i="25"/>
  <c r="AU58" i="25"/>
  <c r="L59" i="25"/>
  <c r="Q59" i="25"/>
  <c r="V59" i="25"/>
  <c r="AA59" i="25"/>
  <c r="AF59" i="25"/>
  <c r="AK59" i="25"/>
  <c r="AP59" i="25"/>
  <c r="AU59" i="25"/>
  <c r="L60" i="25"/>
  <c r="Q60" i="25"/>
  <c r="V60" i="25"/>
  <c r="AA60" i="25"/>
  <c r="AF60" i="25"/>
  <c r="AK60" i="25"/>
  <c r="AP60" i="25"/>
  <c r="AU60" i="25"/>
  <c r="L61" i="25"/>
  <c r="Q61" i="25"/>
  <c r="V61" i="25"/>
  <c r="AA61" i="25"/>
  <c r="AF61" i="25"/>
  <c r="AK61" i="25"/>
  <c r="AP61" i="25"/>
  <c r="AU61" i="25"/>
  <c r="L62" i="25"/>
  <c r="Q62" i="25"/>
  <c r="V62" i="25"/>
  <c r="AA62" i="25"/>
  <c r="AF62" i="25"/>
  <c r="AK62" i="25"/>
  <c r="AP62" i="25"/>
  <c r="AU62" i="25"/>
  <c r="L63" i="25"/>
  <c r="Q63" i="25"/>
  <c r="V63" i="25"/>
  <c r="AA63" i="25"/>
  <c r="AF63" i="25"/>
  <c r="AK63" i="25"/>
  <c r="AP63" i="25"/>
  <c r="AU63" i="25"/>
  <c r="L64" i="25"/>
  <c r="Q64" i="25"/>
  <c r="V64" i="25"/>
  <c r="AA64" i="25"/>
  <c r="AF64" i="25"/>
  <c r="AK64" i="25"/>
  <c r="AP64" i="25"/>
  <c r="AU64" i="25"/>
  <c r="L65" i="25"/>
  <c r="Q65" i="25"/>
  <c r="V65" i="25"/>
  <c r="AA65" i="25"/>
  <c r="AF65" i="25"/>
  <c r="AK65" i="25"/>
  <c r="AP65" i="25"/>
  <c r="AU65" i="25"/>
  <c r="L66" i="25"/>
  <c r="Q66" i="25"/>
  <c r="V66" i="25"/>
  <c r="AA66" i="25"/>
  <c r="AF66" i="25"/>
  <c r="AK66" i="25"/>
  <c r="AP66" i="25"/>
  <c r="AU66" i="25"/>
  <c r="L67" i="25"/>
  <c r="Q67" i="25"/>
  <c r="V67" i="25"/>
  <c r="AA67" i="25"/>
  <c r="AF67" i="25"/>
  <c r="AK67" i="25"/>
  <c r="AP67" i="25"/>
  <c r="AU67" i="25"/>
  <c r="L68" i="25"/>
  <c r="Q68" i="25"/>
  <c r="V68" i="25"/>
  <c r="AA68" i="25"/>
  <c r="AF68" i="25"/>
  <c r="AK68" i="25"/>
  <c r="AP68" i="25"/>
  <c r="AU68" i="25"/>
  <c r="L69" i="25"/>
  <c r="Q69" i="25"/>
  <c r="V69" i="25"/>
  <c r="AA69" i="25"/>
  <c r="AF69" i="25"/>
  <c r="AK69" i="25"/>
  <c r="AP69" i="25"/>
  <c r="AU69" i="25"/>
  <c r="L70" i="25"/>
  <c r="Q70" i="25"/>
  <c r="V70" i="25"/>
  <c r="AA70" i="25"/>
  <c r="AF70" i="25"/>
  <c r="AK70" i="25"/>
  <c r="AP70" i="25"/>
  <c r="AU70" i="25"/>
  <c r="L71" i="25"/>
  <c r="Q71" i="25"/>
  <c r="V71" i="25"/>
  <c r="AA71" i="25"/>
  <c r="AF71" i="25"/>
  <c r="AK71" i="25"/>
  <c r="AP71" i="25"/>
  <c r="AU71" i="25"/>
  <c r="L72" i="25"/>
  <c r="Q72" i="25"/>
  <c r="V72" i="25"/>
  <c r="AA72" i="25"/>
  <c r="AF72" i="25"/>
  <c r="AK72" i="25"/>
  <c r="AP72" i="25"/>
  <c r="AU72" i="25"/>
  <c r="L73" i="25"/>
  <c r="Q73" i="25"/>
  <c r="V73" i="25"/>
  <c r="AA73" i="25"/>
  <c r="AF73" i="25"/>
  <c r="AK73" i="25"/>
  <c r="AP73" i="25"/>
  <c r="AU73" i="25"/>
  <c r="L74" i="25"/>
  <c r="Q74" i="25"/>
  <c r="V74" i="25"/>
  <c r="AA74" i="25"/>
  <c r="AF74" i="25"/>
  <c r="AK74" i="25"/>
  <c r="AP74" i="25"/>
  <c r="AU74" i="25"/>
  <c r="L75" i="25"/>
  <c r="Q75" i="25"/>
  <c r="V75" i="25"/>
  <c r="AA75" i="25"/>
  <c r="AF75" i="25"/>
  <c r="AK75" i="25"/>
  <c r="AP75" i="25"/>
  <c r="AU75" i="25"/>
  <c r="L76" i="25"/>
  <c r="Q76" i="25"/>
  <c r="V76" i="25"/>
  <c r="AA76" i="25"/>
  <c r="AF76" i="25"/>
  <c r="AK76" i="25"/>
  <c r="AP76" i="25"/>
  <c r="AU76" i="25"/>
  <c r="L77" i="25"/>
  <c r="Q77" i="25"/>
  <c r="V77" i="25"/>
  <c r="AA77" i="25"/>
  <c r="AF77" i="25"/>
  <c r="AK77" i="25"/>
  <c r="AP77" i="25"/>
  <c r="AU77" i="25"/>
  <c r="L78" i="25"/>
  <c r="Q78" i="25"/>
  <c r="V78" i="25"/>
  <c r="AA78" i="25"/>
  <c r="AF78" i="25"/>
  <c r="AK78" i="25"/>
  <c r="AP78" i="25"/>
  <c r="AU78" i="25"/>
  <c r="L79" i="25"/>
  <c r="Q79" i="25"/>
  <c r="V79" i="25"/>
  <c r="AA79" i="25"/>
  <c r="AF79" i="25"/>
  <c r="AK79" i="25"/>
  <c r="AP79" i="25"/>
  <c r="AU79" i="25"/>
  <c r="L80" i="25"/>
  <c r="Q80" i="25"/>
  <c r="V80" i="25"/>
  <c r="AA80" i="25"/>
  <c r="AF80" i="25"/>
  <c r="AK80" i="25"/>
  <c r="AP80" i="25"/>
  <c r="AU80" i="25"/>
  <c r="L81" i="25"/>
  <c r="Q81" i="25"/>
  <c r="V81" i="25"/>
  <c r="AA81" i="25"/>
  <c r="AF81" i="25"/>
  <c r="AK81" i="25"/>
  <c r="AP81" i="25"/>
  <c r="AU81" i="25"/>
  <c r="L82" i="25"/>
  <c r="Q82" i="25"/>
  <c r="V82" i="25"/>
  <c r="AA82" i="25"/>
  <c r="AF82" i="25"/>
  <c r="AK82" i="25"/>
  <c r="AP82" i="25"/>
  <c r="AU82" i="25"/>
  <c r="L83" i="25"/>
  <c r="Q83" i="25"/>
  <c r="V83" i="25"/>
  <c r="AA83" i="25"/>
  <c r="AF83" i="25"/>
  <c r="AK83" i="25"/>
  <c r="AP83" i="25"/>
  <c r="AU83" i="25"/>
  <c r="L84" i="25"/>
  <c r="Q84" i="25"/>
  <c r="V84" i="25"/>
  <c r="AA84" i="25"/>
  <c r="AF84" i="25"/>
  <c r="AK84" i="25"/>
  <c r="AP84" i="25"/>
  <c r="AU84" i="25"/>
  <c r="L85" i="25"/>
  <c r="Q85" i="25"/>
  <c r="V85" i="25"/>
  <c r="AA85" i="25"/>
  <c r="AF85" i="25"/>
  <c r="AK85" i="25"/>
  <c r="AP85" i="25"/>
  <c r="AU85" i="25"/>
  <c r="L86" i="25"/>
  <c r="Q86" i="25"/>
  <c r="V86" i="25"/>
  <c r="AA86" i="25"/>
  <c r="AF86" i="25"/>
  <c r="AK86" i="25"/>
  <c r="AP86" i="25"/>
  <c r="AU86" i="25"/>
  <c r="L87" i="25"/>
  <c r="Q87" i="25"/>
  <c r="V87" i="25"/>
  <c r="AA87" i="25"/>
  <c r="AF87" i="25"/>
  <c r="AK87" i="25"/>
  <c r="AP87" i="25"/>
  <c r="AU87" i="25"/>
  <c r="L88" i="25"/>
  <c r="Q88" i="25"/>
  <c r="V88" i="25"/>
  <c r="AA88" i="25"/>
  <c r="AF88" i="25"/>
  <c r="AK88" i="25"/>
  <c r="AP88" i="25"/>
  <c r="AU88" i="25"/>
  <c r="L89" i="25"/>
  <c r="Q89" i="25"/>
  <c r="V89" i="25"/>
  <c r="AA89" i="25"/>
  <c r="AF89" i="25"/>
  <c r="AK89" i="25"/>
  <c r="AP89" i="25"/>
  <c r="AU89" i="25"/>
  <c r="L90" i="25"/>
  <c r="Q90" i="25"/>
  <c r="V90" i="25"/>
  <c r="AA90" i="25"/>
  <c r="AF90" i="25"/>
  <c r="AK90" i="25"/>
  <c r="AP90" i="25"/>
  <c r="AU90" i="25"/>
  <c r="L91" i="25"/>
  <c r="Q91" i="25"/>
  <c r="V91" i="25"/>
  <c r="AA91" i="25"/>
  <c r="AF91" i="25"/>
  <c r="AK91" i="25"/>
  <c r="AP91" i="25"/>
  <c r="AU91" i="25"/>
  <c r="L92" i="25"/>
  <c r="Q92" i="25"/>
  <c r="V92" i="25"/>
  <c r="AA92" i="25"/>
  <c r="AF92" i="25"/>
  <c r="AK92" i="25"/>
  <c r="AP92" i="25"/>
  <c r="AU92" i="25"/>
  <c r="L93" i="25"/>
  <c r="Q93" i="25"/>
  <c r="V93" i="25"/>
  <c r="AA93" i="25"/>
  <c r="AF93" i="25"/>
  <c r="AK93" i="25"/>
  <c r="AP93" i="25"/>
  <c r="AU93" i="25"/>
  <c r="L94" i="25"/>
  <c r="Q94" i="25"/>
  <c r="V94" i="25"/>
  <c r="AA94" i="25"/>
  <c r="AF94" i="25"/>
  <c r="AK94" i="25"/>
  <c r="AP94" i="25"/>
  <c r="AU94" i="25"/>
  <c r="L95" i="25"/>
  <c r="Q95" i="25"/>
  <c r="V95" i="25"/>
  <c r="AA95" i="25"/>
  <c r="AF95" i="25"/>
  <c r="AK95" i="25"/>
  <c r="AP95" i="25"/>
  <c r="AU95" i="25"/>
  <c r="L96" i="25"/>
  <c r="Q96" i="25"/>
  <c r="V96" i="25"/>
  <c r="AA96" i="25"/>
  <c r="AF96" i="25"/>
  <c r="AK96" i="25"/>
  <c r="AP96" i="25"/>
  <c r="AU96" i="25"/>
  <c r="L97" i="25"/>
  <c r="Q97" i="25"/>
  <c r="V97" i="25"/>
  <c r="AA97" i="25"/>
  <c r="AF97" i="25"/>
  <c r="AK97" i="25"/>
  <c r="AP97" i="25"/>
  <c r="AU97" i="25"/>
  <c r="L98" i="25"/>
  <c r="Q98" i="25"/>
  <c r="V98" i="25"/>
  <c r="AA98" i="25"/>
  <c r="AF98" i="25"/>
  <c r="AK98" i="25"/>
  <c r="AP98" i="25"/>
  <c r="AU98" i="25"/>
  <c r="L99" i="25"/>
  <c r="Q99" i="25"/>
  <c r="V99" i="25"/>
  <c r="AA99" i="25"/>
  <c r="AF99" i="25"/>
  <c r="AK99" i="25"/>
  <c r="AP99" i="25"/>
  <c r="AU99" i="25"/>
  <c r="L100" i="25"/>
  <c r="Q100" i="25"/>
  <c r="V100" i="25"/>
  <c r="AA100" i="25"/>
  <c r="AF100" i="25"/>
  <c r="AK100" i="25"/>
  <c r="AP100" i="25"/>
  <c r="AU100" i="25"/>
  <c r="L101" i="25"/>
  <c r="Q101" i="25"/>
  <c r="V101" i="25"/>
  <c r="AA101" i="25"/>
  <c r="AF101" i="25"/>
  <c r="AK101" i="25"/>
  <c r="AP101" i="25"/>
  <c r="AU101" i="25"/>
  <c r="L102" i="25"/>
  <c r="Q102" i="25"/>
  <c r="V102" i="25"/>
  <c r="AA102" i="25"/>
  <c r="AF102" i="25"/>
  <c r="AK102" i="25"/>
  <c r="AP102" i="25"/>
  <c r="AU102" i="25"/>
  <c r="L103" i="25"/>
  <c r="Q103" i="25"/>
  <c r="V103" i="25"/>
  <c r="AA103" i="25"/>
  <c r="AF103" i="25"/>
  <c r="AK103" i="25"/>
  <c r="AP103" i="25"/>
  <c r="AU103" i="25"/>
  <c r="L104" i="25"/>
  <c r="Q104" i="25"/>
  <c r="V104" i="25"/>
  <c r="AA104" i="25"/>
  <c r="AF104" i="25"/>
  <c r="AK104" i="25"/>
  <c r="AP104" i="25"/>
  <c r="AU104" i="25"/>
  <c r="L105" i="25"/>
  <c r="Q105" i="25"/>
  <c r="V105" i="25"/>
  <c r="AA105" i="25"/>
  <c r="AF105" i="25"/>
  <c r="AK105" i="25"/>
  <c r="AP105" i="25"/>
  <c r="AU105" i="25"/>
  <c r="L106" i="25"/>
  <c r="Q106" i="25"/>
  <c r="V106" i="25"/>
  <c r="AA106" i="25"/>
  <c r="AF106" i="25"/>
  <c r="AK106" i="25"/>
  <c r="AP106" i="25"/>
  <c r="AU106" i="25"/>
  <c r="L107" i="25"/>
  <c r="Q107" i="25"/>
  <c r="V107" i="25"/>
  <c r="AA107" i="25"/>
  <c r="AF107" i="25"/>
  <c r="AK107" i="25"/>
  <c r="AP107" i="25"/>
  <c r="AU107" i="25"/>
  <c r="L108" i="25"/>
  <c r="Q108" i="25"/>
  <c r="V108" i="25"/>
  <c r="AA108" i="25"/>
  <c r="AF108" i="25"/>
  <c r="AK108" i="25"/>
  <c r="AP108" i="25"/>
  <c r="AU108" i="25"/>
  <c r="L109" i="25"/>
  <c r="Q109" i="25"/>
  <c r="V109" i="25"/>
  <c r="AA109" i="25"/>
  <c r="AF109" i="25"/>
  <c r="AK109" i="25"/>
  <c r="AP109" i="25"/>
  <c r="AU109" i="25"/>
  <c r="L110" i="25"/>
  <c r="Q110" i="25"/>
  <c r="V110" i="25"/>
  <c r="AA110" i="25"/>
  <c r="AF110" i="25"/>
  <c r="AK110" i="25"/>
  <c r="AP110" i="25"/>
  <c r="AU110" i="25"/>
  <c r="L111" i="25"/>
  <c r="Q111" i="25"/>
  <c r="V111" i="25"/>
  <c r="AA111" i="25"/>
  <c r="AF111" i="25"/>
  <c r="AK111" i="25"/>
  <c r="AP111" i="25"/>
  <c r="AU111" i="25"/>
  <c r="L112" i="25"/>
  <c r="Q112" i="25"/>
  <c r="V112" i="25"/>
  <c r="AA112" i="25"/>
  <c r="AF112" i="25"/>
  <c r="AK112" i="25"/>
  <c r="AP112" i="25"/>
  <c r="AU112" i="25"/>
  <c r="L113" i="25"/>
  <c r="Q113" i="25"/>
  <c r="V113" i="25"/>
  <c r="AA113" i="25"/>
  <c r="AF113" i="25"/>
  <c r="AK113" i="25"/>
  <c r="AP113" i="25"/>
  <c r="AU113" i="25"/>
  <c r="L114" i="25"/>
  <c r="Q114" i="25"/>
  <c r="V114" i="25"/>
  <c r="AA114" i="25"/>
  <c r="AF114" i="25"/>
  <c r="AK114" i="25"/>
  <c r="AP114" i="25"/>
  <c r="AU114" i="25"/>
  <c r="L115" i="25"/>
  <c r="Q115" i="25"/>
  <c r="V115" i="25"/>
  <c r="AA115" i="25"/>
  <c r="AF115" i="25"/>
  <c r="AK115" i="25"/>
  <c r="AP115" i="25"/>
  <c r="AU115" i="25"/>
  <c r="L116" i="25"/>
  <c r="Q116" i="25"/>
  <c r="V116" i="25"/>
  <c r="AA116" i="25"/>
  <c r="AF116" i="25"/>
  <c r="AK116" i="25"/>
  <c r="AP116" i="25"/>
  <c r="AU116" i="25"/>
  <c r="L117" i="25"/>
  <c r="Q117" i="25"/>
  <c r="V117" i="25"/>
  <c r="AA117" i="25"/>
  <c r="AF117" i="25"/>
  <c r="AK117" i="25"/>
  <c r="AP117" i="25"/>
  <c r="AU117" i="25"/>
  <c r="L118" i="25"/>
  <c r="Q118" i="25"/>
  <c r="V118" i="25"/>
  <c r="AA118" i="25"/>
  <c r="AF118" i="25"/>
  <c r="AK118" i="25"/>
  <c r="AP118" i="25"/>
  <c r="AU118" i="25"/>
  <c r="L119" i="25"/>
  <c r="Q119" i="25"/>
  <c r="V119" i="25"/>
  <c r="AA119" i="25"/>
  <c r="AF119" i="25"/>
  <c r="AK119" i="25"/>
  <c r="AP119" i="25"/>
  <c r="AU119" i="25"/>
  <c r="L120" i="25"/>
  <c r="Q120" i="25"/>
  <c r="V120" i="25"/>
  <c r="AA120" i="25"/>
  <c r="AF120" i="25"/>
  <c r="AK120" i="25"/>
  <c r="AP120" i="25"/>
  <c r="AU120" i="25"/>
  <c r="L121" i="25"/>
  <c r="Q121" i="25"/>
  <c r="V121" i="25"/>
  <c r="AA121" i="25"/>
  <c r="AF121" i="25"/>
  <c r="AK121" i="25"/>
  <c r="AP121" i="25"/>
  <c r="AU121" i="25"/>
  <c r="L122" i="25"/>
  <c r="Q122" i="25"/>
  <c r="V122" i="25"/>
  <c r="AA122" i="25"/>
  <c r="AF122" i="25"/>
  <c r="AK122" i="25"/>
  <c r="AP122" i="25"/>
  <c r="AU122" i="25"/>
  <c r="L123" i="25"/>
  <c r="Q123" i="25"/>
  <c r="V123" i="25"/>
  <c r="AA123" i="25"/>
  <c r="AF123" i="25"/>
  <c r="AK123" i="25"/>
  <c r="AP123" i="25"/>
  <c r="AU123" i="25"/>
  <c r="L124" i="25"/>
  <c r="Q124" i="25"/>
  <c r="V124" i="25"/>
  <c r="AA124" i="25"/>
  <c r="AF124" i="25"/>
  <c r="AK124" i="25"/>
  <c r="AP124" i="25"/>
  <c r="AU124" i="25"/>
  <c r="L125" i="25"/>
  <c r="Q125" i="25"/>
  <c r="V125" i="25"/>
  <c r="AA125" i="25"/>
  <c r="AF125" i="25"/>
  <c r="AK125" i="25"/>
  <c r="AP125" i="25"/>
  <c r="AU125" i="25"/>
  <c r="L126" i="25"/>
  <c r="Q126" i="25"/>
  <c r="V126" i="25"/>
  <c r="AA126" i="25"/>
  <c r="AF126" i="25"/>
  <c r="AK126" i="25"/>
  <c r="AP126" i="25"/>
  <c r="AU126" i="25"/>
  <c r="L127" i="25"/>
  <c r="Q127" i="25"/>
  <c r="V127" i="25"/>
  <c r="AA127" i="25"/>
  <c r="AF127" i="25"/>
  <c r="AK127" i="25"/>
  <c r="AP127" i="25"/>
  <c r="AU127" i="25"/>
  <c r="L128" i="25"/>
  <c r="Q128" i="25"/>
  <c r="V128" i="25"/>
  <c r="AA128" i="25"/>
  <c r="AF128" i="25"/>
  <c r="AK128" i="25"/>
  <c r="AP128" i="25"/>
  <c r="AU128" i="25"/>
  <c r="L129" i="25"/>
  <c r="Q129" i="25"/>
  <c r="V129" i="25"/>
  <c r="AA129" i="25"/>
  <c r="AF129" i="25"/>
  <c r="AK129" i="25"/>
  <c r="AP129" i="25"/>
  <c r="AU129" i="25"/>
  <c r="L130" i="25"/>
  <c r="Q130" i="25"/>
  <c r="V130" i="25"/>
  <c r="AA130" i="25"/>
  <c r="AF130" i="25"/>
  <c r="AK130" i="25"/>
  <c r="AP130" i="25"/>
  <c r="AU130" i="25"/>
  <c r="L131" i="25"/>
  <c r="Q131" i="25"/>
  <c r="V131" i="25"/>
  <c r="AA131" i="25"/>
  <c r="AF131" i="25"/>
  <c r="AK131" i="25"/>
  <c r="AP131" i="25"/>
  <c r="AU131" i="25"/>
  <c r="L132" i="25"/>
  <c r="Q132" i="25"/>
  <c r="V132" i="25"/>
  <c r="AA132" i="25"/>
  <c r="AF132" i="25"/>
  <c r="AK132" i="25"/>
  <c r="AP132" i="25"/>
  <c r="AU132" i="25"/>
  <c r="L133" i="25"/>
  <c r="Q133" i="25"/>
  <c r="V133" i="25"/>
  <c r="AA133" i="25"/>
  <c r="AF133" i="25"/>
  <c r="AK133" i="25"/>
  <c r="AP133" i="25"/>
  <c r="AU133" i="25"/>
  <c r="L134" i="25"/>
  <c r="Q134" i="25"/>
  <c r="V134" i="25"/>
  <c r="AA134" i="25"/>
  <c r="AF134" i="25"/>
  <c r="AK134" i="25"/>
  <c r="AP134" i="25"/>
  <c r="AU134" i="25"/>
  <c r="L135" i="25"/>
  <c r="Q135" i="25"/>
  <c r="V135" i="25"/>
  <c r="AA135" i="25"/>
  <c r="AF135" i="25"/>
  <c r="AK135" i="25"/>
  <c r="AP135" i="25"/>
  <c r="AU135" i="25"/>
  <c r="L136" i="25"/>
  <c r="Q136" i="25"/>
  <c r="V136" i="25"/>
  <c r="AA136" i="25"/>
  <c r="AF136" i="25"/>
  <c r="AK136" i="25"/>
  <c r="AP136" i="25"/>
  <c r="AU136" i="25"/>
  <c r="L137" i="25"/>
  <c r="Q137" i="25"/>
  <c r="V137" i="25"/>
  <c r="AA137" i="25"/>
  <c r="AF137" i="25"/>
  <c r="AK137" i="25"/>
  <c r="AP137" i="25"/>
  <c r="AU137" i="25"/>
  <c r="L138" i="25"/>
  <c r="Q138" i="25"/>
  <c r="V138" i="25"/>
  <c r="AA138" i="25"/>
  <c r="AF138" i="25"/>
  <c r="AK138" i="25"/>
  <c r="AP138" i="25"/>
  <c r="AU138" i="25"/>
  <c r="L139" i="25"/>
  <c r="Q139" i="25"/>
  <c r="V139" i="25"/>
  <c r="AA139" i="25"/>
  <c r="AF139" i="25"/>
  <c r="AK139" i="25"/>
  <c r="AP139" i="25"/>
  <c r="AU139" i="25"/>
  <c r="L140" i="25"/>
  <c r="Q140" i="25"/>
  <c r="V140" i="25"/>
  <c r="AA140" i="25"/>
  <c r="AF140" i="25"/>
  <c r="AK140" i="25"/>
  <c r="AP140" i="25"/>
  <c r="AU140" i="25"/>
  <c r="L141" i="25"/>
  <c r="Q141" i="25"/>
  <c r="V141" i="25"/>
  <c r="AA141" i="25"/>
  <c r="AF141" i="25"/>
  <c r="AK141" i="25"/>
  <c r="AP141" i="25"/>
  <c r="AU141" i="25"/>
  <c r="L142" i="25"/>
  <c r="Q142" i="25"/>
  <c r="V142" i="25"/>
  <c r="AA142" i="25"/>
  <c r="AF142" i="25"/>
  <c r="AK142" i="25"/>
  <c r="AP142" i="25"/>
  <c r="AU142" i="25"/>
  <c r="L143" i="25"/>
  <c r="Q143" i="25"/>
  <c r="V143" i="25"/>
  <c r="AA143" i="25"/>
  <c r="AF143" i="25"/>
  <c r="AK143" i="25"/>
  <c r="AP143" i="25"/>
  <c r="AU143" i="25"/>
  <c r="L144" i="25"/>
  <c r="Q144" i="25"/>
  <c r="V144" i="25"/>
  <c r="AA144" i="25"/>
  <c r="AF144" i="25"/>
  <c r="AK144" i="25"/>
  <c r="AP144" i="25"/>
  <c r="AU144" i="25"/>
  <c r="L145" i="25"/>
  <c r="Q145" i="25"/>
  <c r="V145" i="25"/>
  <c r="AA145" i="25"/>
  <c r="AF145" i="25"/>
  <c r="AK145" i="25"/>
  <c r="AP145" i="25"/>
  <c r="AU145" i="25"/>
  <c r="L146" i="25"/>
  <c r="Q146" i="25"/>
  <c r="V146" i="25"/>
  <c r="AA146" i="25"/>
  <c r="AF146" i="25"/>
  <c r="AK146" i="25"/>
  <c r="AP146" i="25"/>
  <c r="AU146" i="25"/>
  <c r="L147" i="25"/>
  <c r="Q147" i="25"/>
  <c r="V147" i="25"/>
  <c r="AA147" i="25"/>
  <c r="AF147" i="25"/>
  <c r="AK147" i="25"/>
  <c r="AP147" i="25"/>
  <c r="AU147" i="25"/>
  <c r="L148" i="25"/>
  <c r="Q148" i="25"/>
  <c r="V148" i="25"/>
  <c r="AA148" i="25"/>
  <c r="AF148" i="25"/>
  <c r="AK148" i="25"/>
  <c r="AP148" i="25"/>
  <c r="AU148" i="25"/>
  <c r="L149" i="25"/>
  <c r="Q149" i="25"/>
  <c r="V149" i="25"/>
  <c r="AA149" i="25"/>
  <c r="AF149" i="25"/>
  <c r="AK149" i="25"/>
  <c r="AP149" i="25"/>
  <c r="AU149" i="25"/>
  <c r="L150" i="25"/>
  <c r="Q150" i="25"/>
  <c r="V150" i="25"/>
  <c r="AA150" i="25"/>
  <c r="AF150" i="25"/>
  <c r="AK150" i="25"/>
  <c r="AP150" i="25"/>
  <c r="AU150" i="25"/>
  <c r="L151" i="25"/>
  <c r="Q151" i="25"/>
  <c r="V151" i="25"/>
  <c r="AA151" i="25"/>
  <c r="AF151" i="25"/>
  <c r="AK151" i="25"/>
  <c r="AP151" i="25"/>
  <c r="AU151" i="25"/>
  <c r="L152" i="25"/>
  <c r="Q152" i="25"/>
  <c r="V152" i="25"/>
  <c r="AA152" i="25"/>
  <c r="AF152" i="25"/>
  <c r="AK152" i="25"/>
  <c r="AP152" i="25"/>
  <c r="AU152" i="25"/>
  <c r="L153" i="25"/>
  <c r="Q153" i="25"/>
  <c r="V153" i="25"/>
  <c r="AA153" i="25"/>
  <c r="AF153" i="25"/>
  <c r="AK153" i="25"/>
  <c r="AP153" i="25"/>
  <c r="AU153" i="25"/>
  <c r="L154" i="25"/>
  <c r="Q154" i="25"/>
  <c r="V154" i="25"/>
  <c r="AA154" i="25"/>
  <c r="AF154" i="25"/>
  <c r="AK154" i="25"/>
  <c r="AP154" i="25"/>
  <c r="AU154" i="25"/>
  <c r="L155" i="25"/>
  <c r="Q155" i="25"/>
  <c r="V155" i="25"/>
  <c r="AA155" i="25"/>
  <c r="AF155" i="25"/>
  <c r="AK155" i="25"/>
  <c r="AP155" i="25"/>
  <c r="AU155" i="25"/>
  <c r="L156" i="25"/>
  <c r="Q156" i="25"/>
  <c r="V156" i="25"/>
  <c r="AA156" i="25"/>
  <c r="AF156" i="25"/>
  <c r="AK156" i="25"/>
  <c r="AP156" i="25"/>
  <c r="AU156" i="25"/>
  <c r="L157" i="25"/>
  <c r="Q157" i="25"/>
  <c r="V157" i="25"/>
  <c r="AA157" i="25"/>
  <c r="AF157" i="25"/>
  <c r="AK157" i="25"/>
  <c r="AP157" i="25"/>
  <c r="AU157" i="25"/>
  <c r="L158" i="25"/>
  <c r="Q158" i="25"/>
  <c r="V158" i="25"/>
  <c r="AA158" i="25"/>
  <c r="AF158" i="25"/>
  <c r="AK158" i="25"/>
  <c r="AP158" i="25"/>
  <c r="AU158" i="25"/>
  <c r="L159" i="25"/>
  <c r="Q159" i="25"/>
  <c r="V159" i="25"/>
  <c r="AA159" i="25"/>
  <c r="AF159" i="25"/>
  <c r="AK159" i="25"/>
  <c r="AP159" i="25"/>
  <c r="AU159" i="25"/>
  <c r="L160" i="25"/>
  <c r="Q160" i="25"/>
  <c r="V160" i="25"/>
  <c r="AA160" i="25"/>
  <c r="AF160" i="25"/>
  <c r="AK160" i="25"/>
  <c r="AP160" i="25"/>
  <c r="AU160" i="25"/>
  <c r="L161" i="25"/>
  <c r="Q161" i="25"/>
  <c r="V161" i="25"/>
  <c r="AA161" i="25"/>
  <c r="AF161" i="25"/>
  <c r="AK161" i="25"/>
  <c r="AP161" i="25"/>
  <c r="AU161" i="25"/>
  <c r="L162" i="25"/>
  <c r="Q162" i="25"/>
  <c r="V162" i="25"/>
  <c r="AA162" i="25"/>
  <c r="AF162" i="25"/>
  <c r="AK162" i="25"/>
  <c r="AP162" i="25"/>
  <c r="AU162" i="25"/>
  <c r="L163" i="25"/>
  <c r="Q163" i="25"/>
  <c r="V163" i="25"/>
  <c r="AA163" i="25"/>
  <c r="AF163" i="25"/>
  <c r="AK163" i="25"/>
  <c r="AP163" i="25"/>
  <c r="AU163" i="25"/>
  <c r="L164" i="25"/>
  <c r="Q164" i="25"/>
  <c r="V164" i="25"/>
  <c r="AA164" i="25"/>
  <c r="AF164" i="25"/>
  <c r="AK164" i="25"/>
  <c r="AP164" i="25"/>
  <c r="AU164" i="25"/>
  <c r="L165" i="25"/>
  <c r="Q165" i="25"/>
  <c r="V165" i="25"/>
  <c r="AA165" i="25"/>
  <c r="AF165" i="25"/>
  <c r="AK165" i="25"/>
  <c r="AP165" i="25"/>
  <c r="AU165" i="25"/>
  <c r="H1" i="28" l="1"/>
  <c r="BE73" i="28"/>
  <c r="AZ73" i="28"/>
  <c r="AU73" i="28"/>
  <c r="AP73" i="28"/>
  <c r="AK73" i="28"/>
  <c r="AF73" i="28"/>
  <c r="AA73" i="28"/>
  <c r="V73" i="28"/>
  <c r="Q73" i="28"/>
  <c r="L73" i="28"/>
  <c r="BE72" i="28"/>
  <c r="AZ72" i="28"/>
  <c r="AU72" i="28"/>
  <c r="AP72" i="28"/>
  <c r="AK72" i="28"/>
  <c r="AF72" i="28"/>
  <c r="AA72" i="28"/>
  <c r="V72" i="28"/>
  <c r="Q72" i="28"/>
  <c r="L72" i="28"/>
  <c r="BE71" i="28"/>
  <c r="AZ71" i="28"/>
  <c r="AU71" i="28"/>
  <c r="AP71" i="28"/>
  <c r="AK71" i="28"/>
  <c r="AF71" i="28"/>
  <c r="AA71" i="28"/>
  <c r="V71" i="28"/>
  <c r="Q71" i="28"/>
  <c r="L71" i="28"/>
  <c r="BE70" i="28"/>
  <c r="AZ70" i="28"/>
  <c r="AU70" i="28"/>
  <c r="AP70" i="28"/>
  <c r="AK70" i="28"/>
  <c r="AF70" i="28"/>
  <c r="AA70" i="28"/>
  <c r="V70" i="28"/>
  <c r="Q70" i="28"/>
  <c r="L70" i="28"/>
  <c r="BE69" i="28"/>
  <c r="AZ69" i="28"/>
  <c r="AU69" i="28"/>
  <c r="AP69" i="28"/>
  <c r="AK69" i="28"/>
  <c r="AF69" i="28"/>
  <c r="AA69" i="28"/>
  <c r="V69" i="28"/>
  <c r="Q69" i="28"/>
  <c r="L69" i="28"/>
  <c r="BE68" i="28"/>
  <c r="AZ68" i="28"/>
  <c r="AU68" i="28"/>
  <c r="AP68" i="28"/>
  <c r="AK68" i="28"/>
  <c r="AF68" i="28"/>
  <c r="AA68" i="28"/>
  <c r="V68" i="28"/>
  <c r="Q68" i="28"/>
  <c r="L68" i="28"/>
  <c r="BE67" i="28"/>
  <c r="AZ67" i="28"/>
  <c r="AU67" i="28"/>
  <c r="AP67" i="28"/>
  <c r="AK67" i="28"/>
  <c r="AF67" i="28"/>
  <c r="AA67" i="28"/>
  <c r="V67" i="28"/>
  <c r="Q67" i="28"/>
  <c r="L67" i="28"/>
  <c r="BE66" i="28"/>
  <c r="AZ66" i="28"/>
  <c r="AU66" i="28"/>
  <c r="AP66" i="28"/>
  <c r="AK66" i="28"/>
  <c r="AF66" i="28"/>
  <c r="AA66" i="28"/>
  <c r="V66" i="28"/>
  <c r="Q66" i="28"/>
  <c r="L66" i="28"/>
  <c r="BE65" i="28"/>
  <c r="AZ65" i="28"/>
  <c r="AU65" i="28"/>
  <c r="AP65" i="28"/>
  <c r="AK65" i="28"/>
  <c r="AF65" i="28"/>
  <c r="AA65" i="28"/>
  <c r="V65" i="28"/>
  <c r="Q65" i="28"/>
  <c r="L65" i="28"/>
  <c r="BE64" i="28"/>
  <c r="AZ64" i="28"/>
  <c r="AU64" i="28"/>
  <c r="AP64" i="28"/>
  <c r="AK64" i="28"/>
  <c r="AF64" i="28"/>
  <c r="AA64" i="28"/>
  <c r="V64" i="28"/>
  <c r="Q64" i="28"/>
  <c r="L64" i="28"/>
  <c r="BE63" i="28"/>
  <c r="AZ63" i="28"/>
  <c r="AU63" i="28"/>
  <c r="AP63" i="28"/>
  <c r="AK63" i="28"/>
  <c r="AF63" i="28"/>
  <c r="AA63" i="28"/>
  <c r="V63" i="28"/>
  <c r="Q63" i="28"/>
  <c r="L63" i="28"/>
  <c r="BE62" i="28"/>
  <c r="AZ62" i="28"/>
  <c r="AU62" i="28"/>
  <c r="AP62" i="28"/>
  <c r="AK62" i="28"/>
  <c r="AF62" i="28"/>
  <c r="AA62" i="28"/>
  <c r="V62" i="28"/>
  <c r="Q62" i="28"/>
  <c r="L62" i="28"/>
  <c r="BE61" i="28"/>
  <c r="AZ61" i="28"/>
  <c r="AU61" i="28"/>
  <c r="AP61" i="28"/>
  <c r="AK61" i="28"/>
  <c r="AF61" i="28"/>
  <c r="AA61" i="28"/>
  <c r="V61" i="28"/>
  <c r="Q61" i="28"/>
  <c r="L61" i="28"/>
  <c r="BE60" i="28"/>
  <c r="AZ60" i="28"/>
  <c r="AU60" i="28"/>
  <c r="AP60" i="28"/>
  <c r="AK60" i="28"/>
  <c r="AF60" i="28"/>
  <c r="AA60" i="28"/>
  <c r="V60" i="28"/>
  <c r="Q60" i="28"/>
  <c r="L60" i="28"/>
  <c r="BE59" i="28"/>
  <c r="AZ59" i="28"/>
  <c r="AU59" i="28"/>
  <c r="AP59" i="28"/>
  <c r="AK59" i="28"/>
  <c r="AF59" i="28"/>
  <c r="AA59" i="28"/>
  <c r="V59" i="28"/>
  <c r="Q59" i="28"/>
  <c r="L59" i="28"/>
  <c r="BE58" i="28"/>
  <c r="AZ58" i="28"/>
  <c r="AU58" i="28"/>
  <c r="AP58" i="28"/>
  <c r="AK58" i="28"/>
  <c r="AF58" i="28"/>
  <c r="AA58" i="28"/>
  <c r="V58" i="28"/>
  <c r="Q58" i="28"/>
  <c r="L58" i="28"/>
  <c r="BE57" i="28"/>
  <c r="AZ57" i="28"/>
  <c r="AU57" i="28"/>
  <c r="AP57" i="28"/>
  <c r="AK57" i="28"/>
  <c r="AF57" i="28"/>
  <c r="AA57" i="28"/>
  <c r="V57" i="28"/>
  <c r="Q57" i="28"/>
  <c r="L57" i="28"/>
  <c r="BE56" i="28"/>
  <c r="AZ56" i="28"/>
  <c r="AU56" i="28"/>
  <c r="AP56" i="28"/>
  <c r="AK56" i="28"/>
  <c r="AF56" i="28"/>
  <c r="AA56" i="28"/>
  <c r="V56" i="28"/>
  <c r="Q56" i="28"/>
  <c r="L56" i="28"/>
  <c r="BE55" i="28"/>
  <c r="AZ55" i="28"/>
  <c r="AU55" i="28"/>
  <c r="AP55" i="28"/>
  <c r="AK55" i="28"/>
  <c r="AF55" i="28"/>
  <c r="AA55" i="28"/>
  <c r="V55" i="28"/>
  <c r="Q55" i="28"/>
  <c r="L55" i="28"/>
  <c r="BE54" i="28"/>
  <c r="AZ54" i="28"/>
  <c r="AU54" i="28"/>
  <c r="AP54" i="28"/>
  <c r="AK54" i="28"/>
  <c r="AF54" i="28"/>
  <c r="AA54" i="28"/>
  <c r="V54" i="28"/>
  <c r="Q54" i="28"/>
  <c r="L54" i="28"/>
  <c r="BE53" i="28"/>
  <c r="AZ53" i="28"/>
  <c r="AU53" i="28"/>
  <c r="AP53" i="28"/>
  <c r="AK53" i="28"/>
  <c r="AF53" i="28"/>
  <c r="AA53" i="28"/>
  <c r="V53" i="28"/>
  <c r="Q53" i="28"/>
  <c r="L53" i="28"/>
  <c r="BE52" i="28"/>
  <c r="AZ52" i="28"/>
  <c r="AU52" i="28"/>
  <c r="AP52" i="28"/>
  <c r="AK52" i="28"/>
  <c r="AF52" i="28"/>
  <c r="AA52" i="28"/>
  <c r="V52" i="28"/>
  <c r="Q52" i="28"/>
  <c r="L52" i="28"/>
  <c r="BE51" i="28"/>
  <c r="AZ51" i="28"/>
  <c r="AU51" i="28"/>
  <c r="AP51" i="28"/>
  <c r="AK51" i="28"/>
  <c r="AF51" i="28"/>
  <c r="AA51" i="28"/>
  <c r="V51" i="28"/>
  <c r="Q51" i="28"/>
  <c r="L51" i="28"/>
  <c r="BE50" i="28"/>
  <c r="AZ50" i="28"/>
  <c r="AU50" i="28"/>
  <c r="AP50" i="28"/>
  <c r="AK50" i="28"/>
  <c r="AF50" i="28"/>
  <c r="AA50" i="28"/>
  <c r="V50" i="28"/>
  <c r="Q50" i="28"/>
  <c r="L50" i="28"/>
  <c r="BE49" i="28"/>
  <c r="AZ49" i="28"/>
  <c r="AU49" i="28"/>
  <c r="AP49" i="28"/>
  <c r="AK49" i="28"/>
  <c r="AF49" i="28"/>
  <c r="AA49" i="28"/>
  <c r="V49" i="28"/>
  <c r="Q49" i="28"/>
  <c r="L49" i="28"/>
  <c r="BE48" i="28"/>
  <c r="AZ48" i="28"/>
  <c r="AU48" i="28"/>
  <c r="AP48" i="28"/>
  <c r="AK48" i="28"/>
  <c r="AF48" i="28"/>
  <c r="AA48" i="28"/>
  <c r="V48" i="28"/>
  <c r="Q48" i="28"/>
  <c r="L48" i="28"/>
  <c r="BE47" i="28"/>
  <c r="AZ47" i="28"/>
  <c r="AU47" i="28"/>
  <c r="AP47" i="28"/>
  <c r="AK47" i="28"/>
  <c r="AF47" i="28"/>
  <c r="AA47" i="28"/>
  <c r="V47" i="28"/>
  <c r="Q47" i="28"/>
  <c r="L47" i="28"/>
  <c r="BE46" i="28"/>
  <c r="AZ46" i="28"/>
  <c r="AU46" i="28"/>
  <c r="AP46" i="28"/>
  <c r="AK46" i="28"/>
  <c r="AF46" i="28"/>
  <c r="AA46" i="28"/>
  <c r="V46" i="28"/>
  <c r="Q46" i="28"/>
  <c r="L46" i="28"/>
  <c r="BE45" i="28"/>
  <c r="AZ45" i="28"/>
  <c r="AU45" i="28"/>
  <c r="AP45" i="28"/>
  <c r="AK45" i="28"/>
  <c r="AF45" i="28"/>
  <c r="AA45" i="28"/>
  <c r="V45" i="28"/>
  <c r="Q45" i="28"/>
  <c r="L45" i="28"/>
  <c r="BE44" i="28"/>
  <c r="AZ44" i="28"/>
  <c r="AU44" i="28"/>
  <c r="AP44" i="28"/>
  <c r="AK44" i="28"/>
  <c r="AF44" i="28"/>
  <c r="AA44" i="28"/>
  <c r="V44" i="28"/>
  <c r="Q44" i="28"/>
  <c r="L44" i="28"/>
  <c r="BE43" i="28"/>
  <c r="AZ43" i="28"/>
  <c r="AU43" i="28"/>
  <c r="AP43" i="28"/>
  <c r="AK43" i="28"/>
  <c r="AF43" i="28"/>
  <c r="AA43" i="28"/>
  <c r="V43" i="28"/>
  <c r="Q43" i="28"/>
  <c r="L43" i="28"/>
  <c r="BE42" i="28"/>
  <c r="AZ42" i="28"/>
  <c r="AU42" i="28"/>
  <c r="AP42" i="28"/>
  <c r="AK42" i="28"/>
  <c r="AF42" i="28"/>
  <c r="AA42" i="28"/>
  <c r="V42" i="28"/>
  <c r="Q42" i="28"/>
  <c r="L42" i="28"/>
  <c r="BE41" i="28"/>
  <c r="AZ41" i="28"/>
  <c r="AU41" i="28"/>
  <c r="AP41" i="28"/>
  <c r="AK41" i="28"/>
  <c r="AF41" i="28"/>
  <c r="AA41" i="28"/>
  <c r="V41" i="28"/>
  <c r="Q41" i="28"/>
  <c r="L41" i="28"/>
  <c r="BE40" i="28"/>
  <c r="AZ40" i="28"/>
  <c r="AU40" i="28"/>
  <c r="AP40" i="28"/>
  <c r="AK40" i="28"/>
  <c r="AF40" i="28"/>
  <c r="AA40" i="28"/>
  <c r="V40" i="28"/>
  <c r="Q40" i="28"/>
  <c r="L40" i="28"/>
  <c r="BE39" i="28"/>
  <c r="AZ39" i="28"/>
  <c r="AU39" i="28"/>
  <c r="AP39" i="28"/>
  <c r="AK39" i="28"/>
  <c r="AF39" i="28"/>
  <c r="AA39" i="28"/>
  <c r="V39" i="28"/>
  <c r="Q39" i="28"/>
  <c r="L39" i="28"/>
  <c r="BE38" i="28"/>
  <c r="AZ38" i="28"/>
  <c r="AU38" i="28"/>
  <c r="AP38" i="28"/>
  <c r="AK38" i="28"/>
  <c r="AF38" i="28"/>
  <c r="AA38" i="28"/>
  <c r="V38" i="28"/>
  <c r="Q38" i="28"/>
  <c r="L38" i="28"/>
  <c r="BE37" i="28"/>
  <c r="AZ37" i="28"/>
  <c r="AU37" i="28"/>
  <c r="AP37" i="28"/>
  <c r="AK37" i="28"/>
  <c r="AF37" i="28"/>
  <c r="AA37" i="28"/>
  <c r="V37" i="28"/>
  <c r="Q37" i="28"/>
  <c r="L37" i="28"/>
  <c r="BE36" i="28"/>
  <c r="AZ36" i="28"/>
  <c r="AU36" i="28"/>
  <c r="AP36" i="28"/>
  <c r="AK36" i="28"/>
  <c r="AF36" i="28"/>
  <c r="AA36" i="28"/>
  <c r="V36" i="28"/>
  <c r="Q36" i="28"/>
  <c r="L36" i="28"/>
  <c r="BE35" i="28"/>
  <c r="AZ35" i="28"/>
  <c r="AU35" i="28"/>
  <c r="AP35" i="28"/>
  <c r="AK35" i="28"/>
  <c r="AF35" i="28"/>
  <c r="AA35" i="28"/>
  <c r="V35" i="28"/>
  <c r="Q35" i="28"/>
  <c r="L35" i="28"/>
  <c r="BE34" i="28"/>
  <c r="AZ34" i="28"/>
  <c r="AU34" i="28"/>
  <c r="AP34" i="28"/>
  <c r="AK34" i="28"/>
  <c r="AF34" i="28"/>
  <c r="AA34" i="28"/>
  <c r="V34" i="28"/>
  <c r="Q34" i="28"/>
  <c r="L34" i="28"/>
  <c r="BE33" i="28"/>
  <c r="AZ33" i="28"/>
  <c r="AU33" i="28"/>
  <c r="AP33" i="28"/>
  <c r="AK33" i="28"/>
  <c r="AF33" i="28"/>
  <c r="AA33" i="28"/>
  <c r="V33" i="28"/>
  <c r="Q33" i="28"/>
  <c r="L33" i="28"/>
  <c r="BE32" i="28"/>
  <c r="AZ32" i="28"/>
  <c r="AU32" i="28"/>
  <c r="AP32" i="28"/>
  <c r="AK32" i="28"/>
  <c r="AF32" i="28"/>
  <c r="AA32" i="28"/>
  <c r="V32" i="28"/>
  <c r="Q32" i="28"/>
  <c r="L32" i="28"/>
  <c r="BE31" i="28"/>
  <c r="AZ31" i="28"/>
  <c r="AU31" i="28"/>
  <c r="AP31" i="28"/>
  <c r="AK31" i="28"/>
  <c r="AF31" i="28"/>
  <c r="AA31" i="28"/>
  <c r="V31" i="28"/>
  <c r="Q31" i="28"/>
  <c r="L31" i="28"/>
  <c r="BE30" i="28"/>
  <c r="AZ30" i="28"/>
  <c r="AU30" i="28"/>
  <c r="AP30" i="28"/>
  <c r="AK30" i="28"/>
  <c r="AF30" i="28"/>
  <c r="AA30" i="28"/>
  <c r="V30" i="28"/>
  <c r="Q30" i="28"/>
  <c r="L30" i="28"/>
  <c r="BE29" i="28"/>
  <c r="AZ29" i="28"/>
  <c r="AU29" i="28"/>
  <c r="AP29" i="28"/>
  <c r="AK29" i="28"/>
  <c r="AF29" i="28"/>
  <c r="AA29" i="28"/>
  <c r="V29" i="28"/>
  <c r="Q29" i="28"/>
  <c r="L29" i="28"/>
  <c r="BE28" i="28"/>
  <c r="AZ28" i="28"/>
  <c r="AU28" i="28"/>
  <c r="AP28" i="28"/>
  <c r="AK28" i="28"/>
  <c r="AF28" i="28"/>
  <c r="AA28" i="28"/>
  <c r="V28" i="28"/>
  <c r="Q28" i="28"/>
  <c r="L28" i="28"/>
  <c r="BE27" i="28"/>
  <c r="AZ27" i="28"/>
  <c r="AU27" i="28"/>
  <c r="AP27" i="28"/>
  <c r="AK27" i="28"/>
  <c r="AF27" i="28"/>
  <c r="AA27" i="28"/>
  <c r="V27" i="28"/>
  <c r="Q27" i="28"/>
  <c r="L27" i="28"/>
  <c r="BE26" i="28"/>
  <c r="AZ26" i="28"/>
  <c r="AU26" i="28"/>
  <c r="AP26" i="28"/>
  <c r="AK26" i="28"/>
  <c r="AF26" i="28"/>
  <c r="AA26" i="28"/>
  <c r="V26" i="28"/>
  <c r="Q26" i="28"/>
  <c r="L26" i="28"/>
  <c r="BE25" i="28"/>
  <c r="AZ25" i="28"/>
  <c r="AU25" i="28"/>
  <c r="AP25" i="28"/>
  <c r="AK25" i="28"/>
  <c r="AF25" i="28"/>
  <c r="AA25" i="28"/>
  <c r="V25" i="28"/>
  <c r="Q25" i="28"/>
  <c r="L25" i="28"/>
  <c r="BE24" i="28"/>
  <c r="AZ24" i="28"/>
  <c r="AU24" i="28"/>
  <c r="AP24" i="28"/>
  <c r="AK24" i="28"/>
  <c r="AF24" i="28"/>
  <c r="AA24" i="28"/>
  <c r="V24" i="28"/>
  <c r="Q24" i="28"/>
  <c r="L24" i="28"/>
  <c r="BE23" i="28"/>
  <c r="AZ23" i="28"/>
  <c r="AU23" i="28"/>
  <c r="AP23" i="28"/>
  <c r="AK23" i="28"/>
  <c r="AF23" i="28"/>
  <c r="AA23" i="28"/>
  <c r="V23" i="28"/>
  <c r="Q23" i="28"/>
  <c r="L23" i="28"/>
  <c r="BE22" i="28"/>
  <c r="AZ22" i="28"/>
  <c r="AU22" i="28"/>
  <c r="AP22" i="28"/>
  <c r="AK22" i="28"/>
  <c r="AF22" i="28"/>
  <c r="AA22" i="28"/>
  <c r="V22" i="28"/>
  <c r="Q22" i="28"/>
  <c r="L22" i="28"/>
  <c r="BE21" i="28"/>
  <c r="AZ21" i="28"/>
  <c r="AU21" i="28"/>
  <c r="AP21" i="28"/>
  <c r="AK21" i="28"/>
  <c r="AF21" i="28"/>
  <c r="AA21" i="28"/>
  <c r="V21" i="28"/>
  <c r="Q21" i="28"/>
  <c r="L21" i="28"/>
  <c r="BE20" i="28"/>
  <c r="AZ20" i="28"/>
  <c r="AU20" i="28"/>
  <c r="AP20" i="28"/>
  <c r="AK20" i="28"/>
  <c r="AF20" i="28"/>
  <c r="AA20" i="28"/>
  <c r="V20" i="28"/>
  <c r="Q20" i="28"/>
  <c r="L20" i="28"/>
  <c r="BE19" i="28"/>
  <c r="AZ19" i="28"/>
  <c r="AU19" i="28"/>
  <c r="AP19" i="28"/>
  <c r="AK19" i="28"/>
  <c r="AF19" i="28"/>
  <c r="AA19" i="28"/>
  <c r="V19" i="28"/>
  <c r="Q19" i="28"/>
  <c r="L19" i="28"/>
  <c r="BE18" i="28"/>
  <c r="AZ18" i="28"/>
  <c r="AU18" i="28"/>
  <c r="AP18" i="28"/>
  <c r="AK18" i="28"/>
  <c r="AF18" i="28"/>
  <c r="AA18" i="28"/>
  <c r="V18" i="28"/>
  <c r="Q18" i="28"/>
  <c r="L18" i="28"/>
  <c r="BE17" i="28"/>
  <c r="BD17" i="28"/>
  <c r="BC17" i="28"/>
  <c r="AZ17" i="28"/>
  <c r="AY17" i="28"/>
  <c r="AX17" i="28"/>
  <c r="AU17" i="28"/>
  <c r="AT17" i="28"/>
  <c r="AS17" i="28"/>
  <c r="AP17" i="28"/>
  <c r="AO17" i="28"/>
  <c r="AN17" i="28"/>
  <c r="AK17" i="28"/>
  <c r="AJ17" i="28"/>
  <c r="AI17" i="28"/>
  <c r="AF17" i="28"/>
  <c r="AE17" i="28"/>
  <c r="AD17" i="28"/>
  <c r="AA17" i="28"/>
  <c r="Z17" i="28"/>
  <c r="Y17" i="28"/>
  <c r="U17" i="28"/>
  <c r="D7" i="28" s="1"/>
  <c r="T17" i="28"/>
  <c r="P17" i="28"/>
  <c r="D6" i="28" s="1"/>
  <c r="O17" i="28"/>
  <c r="C6" i="28" s="1"/>
  <c r="L17" i="28"/>
  <c r="K17" i="28"/>
  <c r="D5" i="28" s="1"/>
  <c r="J17" i="28"/>
  <c r="E14" i="28"/>
  <c r="D14" i="28"/>
  <c r="C14" i="28"/>
  <c r="E13" i="28"/>
  <c r="D13" i="28"/>
  <c r="C13" i="28"/>
  <c r="E12" i="28"/>
  <c r="D12" i="28"/>
  <c r="C12" i="28"/>
  <c r="E11" i="28"/>
  <c r="D11" i="28"/>
  <c r="C11" i="28"/>
  <c r="E10" i="28"/>
  <c r="D10" i="28"/>
  <c r="C10" i="28"/>
  <c r="E9" i="28"/>
  <c r="D9" i="28"/>
  <c r="C9" i="28"/>
  <c r="E8" i="28"/>
  <c r="D8" i="28"/>
  <c r="C8" i="28"/>
  <c r="C7" i="28"/>
  <c r="E5" i="28"/>
  <c r="C5" i="28"/>
  <c r="M3" i="28"/>
  <c r="Q17" i="28" l="1"/>
  <c r="E6" i="28" s="1"/>
  <c r="V17" i="28"/>
  <c r="E7" i="28" s="1"/>
  <c r="AC3" i="28" s="1"/>
  <c r="AC2" i="28" l="1"/>
  <c r="F5" i="28" s="1"/>
  <c r="F12" i="28"/>
  <c r="F8" i="28"/>
  <c r="F10" i="28"/>
  <c r="F6" i="28"/>
  <c r="F13" i="28"/>
  <c r="F11" i="28"/>
  <c r="F9" i="28"/>
  <c r="F7" i="28"/>
  <c r="F14" i="28"/>
  <c r="AE3" i="28"/>
  <c r="O15" i="25" l="1"/>
  <c r="P15" i="25"/>
  <c r="AU52" i="25" l="1"/>
  <c r="AP52" i="25"/>
  <c r="AK52" i="25"/>
  <c r="AF52" i="25"/>
  <c r="AA52" i="25"/>
  <c r="V52" i="25"/>
  <c r="Q52" i="25"/>
  <c r="L52" i="25"/>
  <c r="AU51" i="25"/>
  <c r="AP51" i="25"/>
  <c r="AK51" i="25"/>
  <c r="AF51" i="25"/>
  <c r="AA51" i="25"/>
  <c r="V51" i="25"/>
  <c r="Q51" i="25"/>
  <c r="L51" i="25"/>
  <c r="AU50" i="25"/>
  <c r="AP50" i="25"/>
  <c r="AK50" i="25"/>
  <c r="AF50" i="25"/>
  <c r="AA50" i="25"/>
  <c r="V50" i="25"/>
  <c r="Q50" i="25"/>
  <c r="L50" i="25"/>
  <c r="AU49" i="25"/>
  <c r="AP49" i="25"/>
  <c r="AK49" i="25"/>
  <c r="AF49" i="25"/>
  <c r="AA49" i="25"/>
  <c r="V49" i="25"/>
  <c r="Q49" i="25"/>
  <c r="L49" i="25"/>
  <c r="AU48" i="25"/>
  <c r="AP48" i="25"/>
  <c r="AK48" i="25"/>
  <c r="AF48" i="25"/>
  <c r="AA48" i="25"/>
  <c r="V48" i="25"/>
  <c r="Q48" i="25"/>
  <c r="L48" i="25"/>
  <c r="AU47" i="25"/>
  <c r="AP47" i="25"/>
  <c r="AK47" i="25"/>
  <c r="AF47" i="25"/>
  <c r="AA47" i="25"/>
  <c r="V47" i="25"/>
  <c r="Q47" i="25"/>
  <c r="L47" i="25"/>
  <c r="AU46" i="25"/>
  <c r="AP46" i="25"/>
  <c r="AK46" i="25"/>
  <c r="AF46" i="25"/>
  <c r="AA46" i="25"/>
  <c r="V46" i="25"/>
  <c r="Q46" i="25"/>
  <c r="L46" i="25"/>
  <c r="AU45" i="25"/>
  <c r="AP45" i="25"/>
  <c r="AK45" i="25"/>
  <c r="AF45" i="25"/>
  <c r="AA45" i="25"/>
  <c r="V45" i="25"/>
  <c r="Q45" i="25"/>
  <c r="L45" i="25"/>
  <c r="AU44" i="25"/>
  <c r="AP44" i="25"/>
  <c r="AK44" i="25"/>
  <c r="AF44" i="25"/>
  <c r="AA44" i="25"/>
  <c r="V44" i="25"/>
  <c r="Q44" i="25"/>
  <c r="L44" i="25"/>
  <c r="AU43" i="25"/>
  <c r="AP43" i="25"/>
  <c r="AK43" i="25"/>
  <c r="AF43" i="25"/>
  <c r="AA43" i="25"/>
  <c r="V43" i="25"/>
  <c r="Q43" i="25"/>
  <c r="L43" i="25"/>
  <c r="AU42" i="25"/>
  <c r="AP42" i="25"/>
  <c r="AK42" i="25"/>
  <c r="AF42" i="25"/>
  <c r="AA42" i="25"/>
  <c r="V42" i="25"/>
  <c r="Q42" i="25"/>
  <c r="L42" i="25"/>
  <c r="AU41" i="25"/>
  <c r="AP41" i="25"/>
  <c r="AK41" i="25"/>
  <c r="AF41" i="25"/>
  <c r="AA41" i="25"/>
  <c r="V41" i="25"/>
  <c r="Q41" i="25"/>
  <c r="L41" i="25"/>
  <c r="AU40" i="25"/>
  <c r="AP40" i="25"/>
  <c r="AK40" i="25"/>
  <c r="AF40" i="25"/>
  <c r="AA40" i="25"/>
  <c r="V40" i="25"/>
  <c r="Q40" i="25"/>
  <c r="L40" i="25"/>
  <c r="AU39" i="25"/>
  <c r="AP39" i="25"/>
  <c r="AK39" i="25"/>
  <c r="AF39" i="25"/>
  <c r="AA39" i="25"/>
  <c r="V39" i="25"/>
  <c r="Q39" i="25"/>
  <c r="L39" i="25"/>
  <c r="AU38" i="25"/>
  <c r="AP38" i="25"/>
  <c r="AK38" i="25"/>
  <c r="AF38" i="25"/>
  <c r="AA38" i="25"/>
  <c r="V38" i="25"/>
  <c r="Q38" i="25"/>
  <c r="L38" i="25"/>
  <c r="AU37" i="25"/>
  <c r="AP37" i="25"/>
  <c r="AK37" i="25"/>
  <c r="AF37" i="25"/>
  <c r="AA37" i="25"/>
  <c r="V37" i="25"/>
  <c r="Q37" i="25"/>
  <c r="L37" i="25"/>
  <c r="AU36" i="25"/>
  <c r="AP36" i="25"/>
  <c r="AK36" i="25"/>
  <c r="AF36" i="25"/>
  <c r="AA36" i="25"/>
  <c r="V36" i="25"/>
  <c r="Q36" i="25"/>
  <c r="L36" i="25"/>
  <c r="AU35" i="25"/>
  <c r="AP35" i="25"/>
  <c r="AK35" i="25"/>
  <c r="AF35" i="25"/>
  <c r="AA35" i="25"/>
  <c r="V35" i="25"/>
  <c r="Q35" i="25"/>
  <c r="L35" i="25"/>
  <c r="AU34" i="25"/>
  <c r="AP34" i="25"/>
  <c r="AK34" i="25"/>
  <c r="AF34" i="25"/>
  <c r="AA34" i="25"/>
  <c r="V34" i="25"/>
  <c r="Q34" i="25"/>
  <c r="L34" i="25"/>
  <c r="AU33" i="25"/>
  <c r="AP33" i="25"/>
  <c r="AK33" i="25"/>
  <c r="AF33" i="25"/>
  <c r="AA33" i="25"/>
  <c r="V33" i="25"/>
  <c r="Q33" i="25"/>
  <c r="L33" i="25"/>
  <c r="AU32" i="25"/>
  <c r="AP32" i="25"/>
  <c r="AK32" i="25"/>
  <c r="AF32" i="25"/>
  <c r="AA32" i="25"/>
  <c r="V32" i="25"/>
  <c r="Q32" i="25"/>
  <c r="L32" i="25"/>
  <c r="AU31" i="25"/>
  <c r="AP31" i="25"/>
  <c r="AK31" i="25"/>
  <c r="AF31" i="25"/>
  <c r="AA31" i="25"/>
  <c r="V31" i="25"/>
  <c r="Q31" i="25"/>
  <c r="L31" i="25"/>
  <c r="AU30" i="25"/>
  <c r="AP30" i="25"/>
  <c r="AK30" i="25"/>
  <c r="AF30" i="25"/>
  <c r="AA30" i="25"/>
  <c r="V30" i="25"/>
  <c r="Q30" i="25"/>
  <c r="L30" i="25"/>
  <c r="AU29" i="25"/>
  <c r="AP29" i="25"/>
  <c r="AK29" i="25"/>
  <c r="AF29" i="25"/>
  <c r="AA29" i="25"/>
  <c r="V29" i="25"/>
  <c r="Q29" i="25"/>
  <c r="L29" i="25"/>
  <c r="AU28" i="25"/>
  <c r="AP28" i="25"/>
  <c r="AK28" i="25"/>
  <c r="AF28" i="25"/>
  <c r="AA28" i="25"/>
  <c r="V28" i="25"/>
  <c r="Q28" i="25"/>
  <c r="L28" i="25"/>
  <c r="AU27" i="25"/>
  <c r="AP27" i="25"/>
  <c r="AK27" i="25"/>
  <c r="AF27" i="25"/>
  <c r="AA27" i="25"/>
  <c r="V27" i="25"/>
  <c r="Q27" i="25"/>
  <c r="L27" i="25"/>
  <c r="AU26" i="25"/>
  <c r="AP26" i="25"/>
  <c r="AK26" i="25"/>
  <c r="AF26" i="25"/>
  <c r="AA26" i="25"/>
  <c r="V26" i="25"/>
  <c r="Q26" i="25"/>
  <c r="L26" i="25"/>
  <c r="AU25" i="25"/>
  <c r="AP25" i="25"/>
  <c r="AK25" i="25"/>
  <c r="AF25" i="25"/>
  <c r="AA25" i="25"/>
  <c r="V25" i="25"/>
  <c r="Q25" i="25"/>
  <c r="L25" i="25"/>
  <c r="AU24" i="25"/>
  <c r="AP24" i="25"/>
  <c r="AK24" i="25"/>
  <c r="AF24" i="25"/>
  <c r="AA24" i="25"/>
  <c r="V24" i="25"/>
  <c r="Q24" i="25"/>
  <c r="L24" i="25"/>
  <c r="AU23" i="25"/>
  <c r="AP23" i="25"/>
  <c r="AK23" i="25"/>
  <c r="AF23" i="25"/>
  <c r="AA23" i="25"/>
  <c r="V23" i="25"/>
  <c r="Q23" i="25"/>
  <c r="L23" i="25"/>
  <c r="AU22" i="25"/>
  <c r="AP22" i="25"/>
  <c r="AK22" i="25"/>
  <c r="AF22" i="25"/>
  <c r="AA22" i="25"/>
  <c r="V22" i="25"/>
  <c r="Q22" i="25"/>
  <c r="L22" i="25"/>
  <c r="AU21" i="25"/>
  <c r="AP21" i="25"/>
  <c r="AK21" i="25"/>
  <c r="AF21" i="25"/>
  <c r="AA21" i="25"/>
  <c r="V21" i="25"/>
  <c r="Q21" i="25"/>
  <c r="L21" i="25"/>
  <c r="AU20" i="25"/>
  <c r="AP20" i="25"/>
  <c r="AK20" i="25"/>
  <c r="AF20" i="25"/>
  <c r="AA20" i="25"/>
  <c r="V20" i="25"/>
  <c r="Q20" i="25"/>
  <c r="L20" i="25"/>
  <c r="AU19" i="25"/>
  <c r="AP19" i="25"/>
  <c r="AK19" i="25"/>
  <c r="AF19" i="25"/>
  <c r="AA19" i="25"/>
  <c r="V19" i="25"/>
  <c r="Q19" i="25"/>
  <c r="L19" i="25"/>
  <c r="AU18" i="25"/>
  <c r="AP18" i="25"/>
  <c r="AK18" i="25"/>
  <c r="AF18" i="25"/>
  <c r="AA18" i="25"/>
  <c r="V18" i="25"/>
  <c r="Q18" i="25"/>
  <c r="L18" i="25"/>
  <c r="AU17" i="25"/>
  <c r="AP17" i="25"/>
  <c r="AK17" i="25"/>
  <c r="AF17" i="25"/>
  <c r="AA17" i="25"/>
  <c r="V17" i="25"/>
  <c r="Q17" i="25"/>
  <c r="L17" i="25"/>
  <c r="AU16" i="25"/>
  <c r="AP16" i="25"/>
  <c r="AK16" i="25"/>
  <c r="AF16" i="25"/>
  <c r="AA16" i="25"/>
  <c r="V16" i="25"/>
  <c r="Q16" i="25"/>
  <c r="L16" i="25"/>
  <c r="AT15" i="25"/>
  <c r="D12" i="25" s="1"/>
  <c r="AS15" i="25"/>
  <c r="C12" i="25" s="1"/>
  <c r="AO15" i="25"/>
  <c r="D11" i="25" s="1"/>
  <c r="AN15" i="25"/>
  <c r="C11" i="25" s="1"/>
  <c r="AJ15" i="25"/>
  <c r="D10" i="25" s="1"/>
  <c r="AI15" i="25"/>
  <c r="C10" i="25" s="1"/>
  <c r="AE15" i="25"/>
  <c r="D9" i="25" s="1"/>
  <c r="AD15" i="25"/>
  <c r="C9" i="25" s="1"/>
  <c r="Z15" i="25"/>
  <c r="D8" i="25" s="1"/>
  <c r="Y15" i="25"/>
  <c r="C8" i="25" s="1"/>
  <c r="U15" i="25"/>
  <c r="D7" i="25" s="1"/>
  <c r="T15" i="25"/>
  <c r="C7" i="25" s="1"/>
  <c r="D6" i="25"/>
  <c r="C6" i="25"/>
  <c r="K15" i="25"/>
  <c r="D5" i="25" s="1"/>
  <c r="J15" i="25"/>
  <c r="C5" i="25" s="1"/>
  <c r="AA15" i="25" l="1"/>
  <c r="E8" i="25" s="1"/>
  <c r="AU15" i="25"/>
  <c r="E12" i="25" s="1"/>
  <c r="L15" i="25"/>
  <c r="E5" i="25" s="1"/>
  <c r="AF15" i="25"/>
  <c r="E9" i="25" s="1"/>
  <c r="V15" i="25"/>
  <c r="E7" i="25" s="1"/>
  <c r="AP15" i="25"/>
  <c r="E11" i="25" s="1"/>
  <c r="AK15" i="25"/>
  <c r="E10" i="25" s="1"/>
  <c r="Q15" i="25"/>
  <c r="E6" i="25" s="1"/>
  <c r="AC2" i="25" l="1"/>
  <c r="AC3" i="25"/>
  <c r="F11" i="25" l="1"/>
  <c r="F10" i="25"/>
  <c r="F12" i="25"/>
  <c r="F9" i="25"/>
  <c r="F8" i="25"/>
  <c r="F7" i="25"/>
  <c r="F5" i="25"/>
  <c r="F6" i="25"/>
</calcChain>
</file>

<file path=xl/sharedStrings.xml><?xml version="1.0" encoding="utf-8"?>
<sst xmlns="http://schemas.openxmlformats.org/spreadsheetml/2006/main" count="725" uniqueCount="33">
  <si>
    <t>Разработал:</t>
  </si>
  <si>
    <t>№</t>
  </si>
  <si>
    <t>Польза</t>
  </si>
  <si>
    <t>Потери</t>
  </si>
  <si>
    <t>Суммарное время:</t>
  </si>
  <si>
    <t>ТТ</t>
  </si>
  <si>
    <t>Расчётное количество операторов:</t>
  </si>
  <si>
    <t>Дата разработки:</t>
  </si>
  <si>
    <t>СТ:</t>
  </si>
  <si>
    <t>Раб.места</t>
  </si>
  <si>
    <t>Общее</t>
  </si>
  <si>
    <t>ПРСБ</t>
  </si>
  <si>
    <t>Количество операций:</t>
  </si>
  <si>
    <t>СТ расч:</t>
  </si>
  <si>
    <t>ППМ</t>
  </si>
  <si>
    <t>ПРОГОН</t>
  </si>
  <si>
    <t>РЕГУЛИРОВКА</t>
  </si>
  <si>
    <t>ЛИНЗЫ</t>
  </si>
  <si>
    <t>СБОРКА</t>
  </si>
  <si>
    <t>УПАКОВКА</t>
  </si>
  <si>
    <t>Первое раб.место</t>
  </si>
  <si>
    <t>Второе раб.место</t>
  </si>
  <si>
    <t>Третье раб.место</t>
  </si>
  <si>
    <t>Четвёртое раб.место</t>
  </si>
  <si>
    <t>Пятое раб.место</t>
  </si>
  <si>
    <t>Шестое раб.место</t>
  </si>
  <si>
    <t>Седьмое раб.место</t>
  </si>
  <si>
    <t>Восьмое раб.место</t>
  </si>
  <si>
    <t>Девятое раб.место</t>
  </si>
  <si>
    <t>Десятое раб.место</t>
  </si>
  <si>
    <t>расч. кол-во изделий</t>
  </si>
  <si>
    <t>YAMAZUMI ""</t>
  </si>
  <si>
    <t>МЕХ СБ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</si>
</sst>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6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sz val="10"/>
      <name val="Arial"/>
      <family val="2"/>
    </font>
    <font>
      <sz val="10"/>
      <name val="Arial Cyr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u/>
      <sz val="11"/>
      <color indexed="12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sz val="24"/>
      <color theme="1"/>
      <name val="Cambria"/>
      <family val="1"/>
      <charset val="204"/>
      <scheme val="major"/>
    </font>
    <font>
      <b/>
      <sz val="28"/>
      <color theme="1"/>
      <name val="Cambria"/>
      <family val="1"/>
      <charset val="204"/>
      <scheme val="major"/>
    </font>
    <font>
      <sz val="12"/>
      <color theme="1"/>
      <name val="Cambria"/>
      <family val="1"/>
      <charset val="204"/>
      <scheme val="major"/>
    </font>
    <font>
      <sz val="18"/>
      <color theme="1"/>
      <name val="Cambria"/>
      <family val="1"/>
      <charset val="204"/>
      <scheme val="major"/>
    </font>
    <font>
      <b/>
      <sz val="36"/>
      <color theme="1"/>
      <name val="Cambria"/>
      <family val="1"/>
      <charset val="204"/>
      <scheme val="major"/>
    </font>
    <font>
      <sz val="11"/>
      <color theme="1"/>
      <name val="Calibri"/>
      <family val="2"/>
      <scheme val="minor"/>
    </font>
    <font>
      <b/>
      <sz val="16"/>
      <color theme="1"/>
      <name val="Cambria"/>
      <family val="1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43" fontId="14" fillId="0" borderId="0" applyFont="0" applyFill="0" applyBorder="0" applyAlignment="0" applyProtection="0"/>
  </cellStyleXfs>
  <cellXfs count="49">
    <xf numFmtId="0" fontId="0" fillId="0" borderId="0" xfId="0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textRotation="90"/>
    </xf>
    <xf numFmtId="0" fontId="12" fillId="2" borderId="1" xfId="0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textRotation="90" wrapText="1"/>
    </xf>
    <xf numFmtId="0" fontId="9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14" fontId="12" fillId="0" borderId="5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43" fontId="12" fillId="0" borderId="1" xfId="16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</cellXfs>
  <cellStyles count="17">
    <cellStyle name="Normal 2" xfId="2"/>
    <cellStyle name="Normal 2 2" xfId="3"/>
    <cellStyle name="Normal 2 3" xfId="4"/>
    <cellStyle name="Normal 2 4" xfId="5"/>
    <cellStyle name="Normal 3" xfId="6"/>
    <cellStyle name="Normal 3 2" xfId="7"/>
    <cellStyle name="Normal 3 3" xfId="8"/>
    <cellStyle name="Normal 4" xfId="9"/>
    <cellStyle name="Normal 5" xfId="10"/>
    <cellStyle name="Normal 6" xfId="11"/>
    <cellStyle name="Normal_Sheet1" xfId="15"/>
    <cellStyle name="Обычный" xfId="0" builtinId="0"/>
    <cellStyle name="Обычный 2" xfId="1"/>
    <cellStyle name="Финансовый" xfId="16" builtinId="3"/>
    <cellStyle name="ハイパーリンク" xfId="12"/>
    <cellStyle name="標準_（６００UB）標準作業票" xfId="13"/>
    <cellStyle name="表示済みのハイパーリンク" xfId="14"/>
  </cellStyles>
  <dxfs count="0"/>
  <tableStyles count="1" defaultTableStyle="TableStyleMedium2" defaultPivotStyle="PivotStyleMedium9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688893937117794E-2"/>
          <c:y val="0.1502593872194547"/>
          <c:w val="0.98496849455200708"/>
          <c:h val="0.724473860410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'YAMAZUMI цеха'!$C$4</c:f>
              <c:strCache>
                <c:ptCount val="1"/>
                <c:pt idx="0">
                  <c:v>Польза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'YAMAZUMI цеха'!$B$5:$B$12</c:f>
              <c:strCache>
                <c:ptCount val="8"/>
                <c:pt idx="0">
                  <c:v>МЕХ СБ</c:v>
                </c:pt>
                <c:pt idx="1">
                  <c:v>ППМ</c:v>
                </c:pt>
                <c:pt idx="2">
                  <c:v>РЕГУЛИРОВКА</c:v>
                </c:pt>
                <c:pt idx="3">
                  <c:v>ПРСБ</c:v>
                </c:pt>
                <c:pt idx="4">
                  <c:v>ПРОГОН</c:v>
                </c:pt>
                <c:pt idx="5">
                  <c:v>ЛИНЗЫ</c:v>
                </c:pt>
                <c:pt idx="6">
                  <c:v>СБОРКА</c:v>
                </c:pt>
                <c:pt idx="7">
                  <c:v>УПАКОВКА</c:v>
                </c:pt>
              </c:strCache>
            </c:strRef>
          </c:cat>
          <c:val>
            <c:numRef>
              <c:f>'YAMAZUMI цеха'!$C$5:$C$12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'YAMAZUMI цеха'!$D$4</c:f>
              <c:strCache>
                <c:ptCount val="1"/>
                <c:pt idx="0">
                  <c:v>Потери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'YAMAZUMI цеха'!$B$5:$B$12</c:f>
              <c:strCache>
                <c:ptCount val="8"/>
                <c:pt idx="0">
                  <c:v>МЕХ СБ</c:v>
                </c:pt>
                <c:pt idx="1">
                  <c:v>ППМ</c:v>
                </c:pt>
                <c:pt idx="2">
                  <c:v>РЕГУЛИРОВКА</c:v>
                </c:pt>
                <c:pt idx="3">
                  <c:v>ПРСБ</c:v>
                </c:pt>
                <c:pt idx="4">
                  <c:v>ПРОГОН</c:v>
                </c:pt>
                <c:pt idx="5">
                  <c:v>ЛИНЗЫ</c:v>
                </c:pt>
                <c:pt idx="6">
                  <c:v>СБОРКА</c:v>
                </c:pt>
                <c:pt idx="7">
                  <c:v>УПАКОВКА</c:v>
                </c:pt>
              </c:strCache>
            </c:strRef>
          </c:cat>
          <c:val>
            <c:numRef>
              <c:f>'YAMAZUMI цеха'!$D$5:$D$12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82248200"/>
        <c:axId val="482251336"/>
      </c:barChart>
      <c:lineChart>
        <c:grouping val="standard"/>
        <c:varyColors val="0"/>
        <c:ser>
          <c:idx val="3"/>
          <c:order val="2"/>
          <c:tx>
            <c:strRef>
              <c:f>'YAMAZUMI цеха'!$F$4</c:f>
              <c:strCache>
                <c:ptCount val="1"/>
                <c:pt idx="0">
                  <c:v>ТТ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'YAMAZUMI цеха'!$B$5:$B$12</c:f>
              <c:strCache>
                <c:ptCount val="8"/>
                <c:pt idx="0">
                  <c:v>МЕХ СБ</c:v>
                </c:pt>
                <c:pt idx="1">
                  <c:v>ППМ</c:v>
                </c:pt>
                <c:pt idx="2">
                  <c:v>РЕГУЛИРОВКА</c:v>
                </c:pt>
                <c:pt idx="3">
                  <c:v>ПРСБ</c:v>
                </c:pt>
                <c:pt idx="4">
                  <c:v>ПРОГОН</c:v>
                </c:pt>
                <c:pt idx="5">
                  <c:v>ЛИНЗЫ</c:v>
                </c:pt>
                <c:pt idx="6">
                  <c:v>СБОРКА</c:v>
                </c:pt>
                <c:pt idx="7">
                  <c:v>УПАКОВКА</c:v>
                </c:pt>
              </c:strCache>
            </c:strRef>
          </c:cat>
          <c:val>
            <c:numRef>
              <c:f>'YAMAZUMI цеха'!$F$5:$F$12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48200"/>
        <c:axId val="482251336"/>
      </c:lineChart>
      <c:catAx>
        <c:axId val="48224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51336"/>
        <c:crosses val="autoZero"/>
        <c:auto val="1"/>
        <c:lblAlgn val="ctr"/>
        <c:lblOffset val="100"/>
        <c:noMultiLvlLbl val="0"/>
      </c:catAx>
      <c:valAx>
        <c:axId val="48225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4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146277521498721"/>
          <c:y val="2.4225855696609351E-2"/>
          <c:w val="7.2151229467652053E-2"/>
          <c:h val="9.4821763351009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688893937117794E-2"/>
          <c:y val="0.1502593872194547"/>
          <c:w val="0.98675177614198872"/>
          <c:h val="0.724473860410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Механический!$C$4</c:f>
              <c:strCache>
                <c:ptCount val="1"/>
                <c:pt idx="0">
                  <c:v>Польза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Механический!$B$5:$B$14</c15:sqref>
                  </c15:fullRef>
                </c:ext>
              </c:extLst>
              <c:f>Механический!$B$5:$B$9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Механический!$C$5:$C$14</c15:sqref>
                  </c15:fullRef>
                </c:ext>
              </c:extLst>
              <c:f>Механический!$C$5:$C$9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Механический!$D$4</c:f>
              <c:strCache>
                <c:ptCount val="1"/>
                <c:pt idx="0">
                  <c:v>Потери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Механический!$B$5:$B$14</c15:sqref>
                  </c15:fullRef>
                </c:ext>
              </c:extLst>
              <c:f>Механический!$B$5:$B$9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Механический!$D$5:$D$14</c15:sqref>
                  </c15:fullRef>
                </c:ext>
              </c:extLst>
              <c:f>Механический!$D$5:$D$9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82247416"/>
        <c:axId val="482249768"/>
      </c:barChart>
      <c:lineChart>
        <c:grouping val="standard"/>
        <c:varyColors val="0"/>
        <c:ser>
          <c:idx val="3"/>
          <c:order val="2"/>
          <c:tx>
            <c:strRef>
              <c:f>Механический!$F$4</c:f>
              <c:strCache>
                <c:ptCount val="1"/>
                <c:pt idx="0">
                  <c:v>ТТ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Механический!$B$5:$B$14</c15:sqref>
                  </c15:fullRef>
                </c:ext>
              </c:extLst>
              <c:f>Механический!$B$5:$B$9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Механический!$F$5:$F$14</c15:sqref>
                  </c15:fullRef>
                </c:ext>
              </c:extLst>
              <c:f>Механический!$F$5:$F$9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47416"/>
        <c:axId val="482249768"/>
      </c:lineChart>
      <c:catAx>
        <c:axId val="48224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49768"/>
        <c:crosses val="autoZero"/>
        <c:auto val="1"/>
        <c:lblAlgn val="ctr"/>
        <c:lblOffset val="100"/>
        <c:noMultiLvlLbl val="0"/>
      </c:catAx>
      <c:valAx>
        <c:axId val="48224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47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146277521498721"/>
          <c:y val="2.4225855696609351E-2"/>
          <c:w val="7.2151229467652053E-2"/>
          <c:h val="9.4821763351009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688893937117794E-2"/>
          <c:y val="0.1502593872194547"/>
          <c:w val="0.98675177614198872"/>
          <c:h val="0.724473860410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'Фрезеровка ЧПУ'!$C$4</c:f>
              <c:strCache>
                <c:ptCount val="1"/>
                <c:pt idx="0">
                  <c:v>Польза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'Фрезеровка ЧПУ'!$B$5:$B$14</c15:sqref>
                  </c15:fullRef>
                </c:ext>
              </c:extLst>
              <c:f>'Фрезеровка ЧПУ'!$B$5:$B$9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'Фрезеровка ЧПУ'!$C$5:$C$14</c15:sqref>
                  </c15:fullRef>
                </c:ext>
              </c:extLst>
              <c:f>'Фрезеровка ЧПУ'!$C$5:$C$9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'Фрезеровка ЧПУ'!$D$4</c:f>
              <c:strCache>
                <c:ptCount val="1"/>
                <c:pt idx="0">
                  <c:v>Потери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'Фрезеровка ЧПУ'!$B$5:$B$14</c15:sqref>
                  </c15:fullRef>
                </c:ext>
              </c:extLst>
              <c:f>'Фрезеровка ЧПУ'!$B$5:$B$9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'Фрезеровка ЧПУ'!$D$5:$D$14</c15:sqref>
                  </c15:fullRef>
                </c:ext>
              </c:extLst>
              <c:f>'Фрезеровка ЧПУ'!$D$5:$D$9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82243104"/>
        <c:axId val="482247808"/>
      </c:barChart>
      <c:lineChart>
        <c:grouping val="standard"/>
        <c:varyColors val="0"/>
        <c:ser>
          <c:idx val="3"/>
          <c:order val="2"/>
          <c:tx>
            <c:strRef>
              <c:f>'Фрезеровка ЧПУ'!$F$4</c:f>
              <c:strCache>
                <c:ptCount val="1"/>
                <c:pt idx="0">
                  <c:v>ТТ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'Фрезеровка ЧПУ'!$B$5:$B$14</c15:sqref>
                  </c15:fullRef>
                </c:ext>
              </c:extLst>
              <c:f>'Фрезеровка ЧПУ'!$B$5:$B$9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'Фрезеровка ЧПУ'!$F$5:$F$14</c15:sqref>
                  </c15:fullRef>
                </c:ext>
              </c:extLst>
              <c:f>'Фрезеровка ЧПУ'!$F$5:$F$9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43104"/>
        <c:axId val="482247808"/>
      </c:lineChart>
      <c:catAx>
        <c:axId val="48224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47808"/>
        <c:crosses val="autoZero"/>
        <c:auto val="1"/>
        <c:lblAlgn val="ctr"/>
        <c:lblOffset val="100"/>
        <c:noMultiLvlLbl val="0"/>
      </c:catAx>
      <c:valAx>
        <c:axId val="48224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4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146277521498721"/>
          <c:y val="2.4225855696609351E-2"/>
          <c:w val="7.2151229467652053E-2"/>
          <c:h val="9.4821763351009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688893937117794E-2"/>
          <c:y val="0.1502593872194547"/>
          <c:w val="0.98675177614198872"/>
          <c:h val="0.724473860410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'ППМ 3'!$C$4</c:f>
              <c:strCache>
                <c:ptCount val="1"/>
                <c:pt idx="0">
                  <c:v>Польза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'ППМ 3'!$B$5:$B$14</c15:sqref>
                  </c15:fullRef>
                </c:ext>
              </c:extLst>
              <c:f>'ППМ 3'!$B$5:$B$9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'ППМ 3'!$C$5:$C$14</c15:sqref>
                  </c15:fullRef>
                </c:ext>
              </c:extLst>
              <c:f>'ППМ 3'!$C$5:$C$9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'ППМ 3'!$D$4</c:f>
              <c:strCache>
                <c:ptCount val="1"/>
                <c:pt idx="0">
                  <c:v>Потери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'ППМ 3'!$B$5:$B$14</c15:sqref>
                  </c15:fullRef>
                </c:ext>
              </c:extLst>
              <c:f>'ППМ 3'!$B$5:$B$9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'ППМ 3'!$D$5:$D$14</c15:sqref>
                  </c15:fullRef>
                </c:ext>
              </c:extLst>
              <c:f>'ППМ 3'!$D$5:$D$9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82243496"/>
        <c:axId val="482243888"/>
      </c:barChart>
      <c:lineChart>
        <c:grouping val="standard"/>
        <c:varyColors val="0"/>
        <c:ser>
          <c:idx val="3"/>
          <c:order val="2"/>
          <c:tx>
            <c:strRef>
              <c:f>'ППМ 3'!$F$4</c:f>
              <c:strCache>
                <c:ptCount val="1"/>
                <c:pt idx="0">
                  <c:v>ТТ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'ППМ 3'!$B$5:$B$14</c15:sqref>
                  </c15:fullRef>
                </c:ext>
              </c:extLst>
              <c:f>'ППМ 3'!$B$5:$B$9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'ППМ 3'!$F$5:$F$14</c15:sqref>
                  </c15:fullRef>
                </c:ext>
              </c:extLst>
              <c:f>'ППМ 3'!$F$5:$F$9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43496"/>
        <c:axId val="482243888"/>
      </c:lineChart>
      <c:catAx>
        <c:axId val="482243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43888"/>
        <c:crosses val="autoZero"/>
        <c:auto val="1"/>
        <c:lblAlgn val="ctr"/>
        <c:lblOffset val="100"/>
        <c:noMultiLvlLbl val="0"/>
      </c:catAx>
      <c:valAx>
        <c:axId val="4822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43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146277521498721"/>
          <c:y val="2.4225855696609351E-2"/>
          <c:w val="7.2151229467652053E-2"/>
          <c:h val="9.4821763351009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688893937117794E-2"/>
          <c:y val="0.1502593872194547"/>
          <c:w val="0.98675177614198872"/>
          <c:h val="0.724473860410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'YAMAZUMI участка'!$C$4</c:f>
              <c:strCache>
                <c:ptCount val="1"/>
                <c:pt idx="0">
                  <c:v>Польза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'YAMAZUMI участка'!$B$5:$B$14</c15:sqref>
                  </c15:fullRef>
                </c:ext>
              </c:extLst>
              <c:f>'YAMAZUMI участка'!$B$5:$B$10</c:f>
              <c:strCache>
                <c:ptCount val="6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  <c:pt idx="5">
                  <c:v>Шестое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'YAMAZUMI участка'!$C$5:$C$14</c15:sqref>
                  </c15:fullRef>
                </c:ext>
              </c:extLst>
              <c:f>'YAMAZUMI участка'!$C$5:$C$10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'YAMAZUMI участка'!$D$4</c:f>
              <c:strCache>
                <c:ptCount val="1"/>
                <c:pt idx="0">
                  <c:v>Потери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'YAMAZUMI участка'!$B$5:$B$14</c15:sqref>
                  </c15:fullRef>
                </c:ext>
              </c:extLst>
              <c:f>'YAMAZUMI участка'!$B$5:$B$10</c:f>
              <c:strCache>
                <c:ptCount val="6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  <c:pt idx="5">
                  <c:v>Шестое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'YAMAZUMI участка'!$D$5:$D$14</c15:sqref>
                  </c15:fullRef>
                </c:ext>
              </c:extLst>
              <c:f>'YAMAZUMI участка'!$D$5:$D$10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82255648"/>
        <c:axId val="482257608"/>
      </c:barChart>
      <c:lineChart>
        <c:grouping val="standard"/>
        <c:varyColors val="0"/>
        <c:ser>
          <c:idx val="3"/>
          <c:order val="2"/>
          <c:tx>
            <c:strRef>
              <c:f>'YAMAZUMI участка'!$F$4</c:f>
              <c:strCache>
                <c:ptCount val="1"/>
                <c:pt idx="0">
                  <c:v>ТТ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'YAMAZUMI участка'!$B$5:$B$14</c15:sqref>
                  </c15:fullRef>
                </c:ext>
              </c:extLst>
              <c:f>'YAMAZUMI участка'!$B$5:$B$10</c:f>
              <c:strCache>
                <c:ptCount val="6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  <c:pt idx="5">
                  <c:v>Шестое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'YAMAZUMI участка'!$F$5:$F$14</c15:sqref>
                  </c15:fullRef>
                </c:ext>
              </c:extLst>
              <c:f>'YAMAZUMI участка'!$F$5:$F$10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55648"/>
        <c:axId val="482257608"/>
      </c:lineChart>
      <c:catAx>
        <c:axId val="4822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57608"/>
        <c:crosses val="autoZero"/>
        <c:auto val="1"/>
        <c:lblAlgn val="ctr"/>
        <c:lblOffset val="100"/>
        <c:noMultiLvlLbl val="0"/>
      </c:catAx>
      <c:valAx>
        <c:axId val="48225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146277521498721"/>
          <c:y val="2.4225855696609351E-2"/>
          <c:w val="7.2151229467652053E-2"/>
          <c:h val="9.4821763351009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688893937117794E-2"/>
          <c:y val="0.1502593872194547"/>
          <c:w val="0.98675177614198872"/>
          <c:h val="0.724473860410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'ПРСБ 3'!$C$4</c:f>
              <c:strCache>
                <c:ptCount val="1"/>
                <c:pt idx="0">
                  <c:v>Польза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'ПРСБ 3'!$B$5:$B$14</c15:sqref>
                  </c15:fullRef>
                </c:ext>
              </c:extLst>
              <c:f>'ПРСБ 3'!$B$5:$B$9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'ПРСБ 3'!$C$5:$C$14</c15:sqref>
                  </c15:fullRef>
                </c:ext>
              </c:extLst>
              <c:f>'ПРСБ 3'!$C$5:$C$9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'ПРСБ 3'!$D$4</c:f>
              <c:strCache>
                <c:ptCount val="1"/>
                <c:pt idx="0">
                  <c:v>Потери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'ПРСБ 3'!$B$5:$B$14</c15:sqref>
                  </c15:fullRef>
                </c:ext>
              </c:extLst>
              <c:f>'ПРСБ 3'!$B$5:$B$9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'ПРСБ 3'!$D$5:$D$14</c15:sqref>
                  </c15:fullRef>
                </c:ext>
              </c:extLst>
              <c:f>'ПРСБ 3'!$D$5:$D$9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82256824"/>
        <c:axId val="482199592"/>
      </c:barChart>
      <c:lineChart>
        <c:grouping val="standard"/>
        <c:varyColors val="0"/>
        <c:ser>
          <c:idx val="3"/>
          <c:order val="2"/>
          <c:tx>
            <c:strRef>
              <c:f>'ПРСБ 3'!$F$4</c:f>
              <c:strCache>
                <c:ptCount val="1"/>
                <c:pt idx="0">
                  <c:v>ТТ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'ПРСБ 3'!$B$5:$B$14</c15:sqref>
                  </c15:fullRef>
                </c:ext>
              </c:extLst>
              <c:f>'ПРСБ 3'!$B$5:$B$9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'ПРСБ 3'!$F$5:$F$14</c15:sqref>
                  </c15:fullRef>
                </c:ext>
              </c:extLst>
              <c:f>'ПРСБ 3'!$F$5:$F$9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56824"/>
        <c:axId val="482199592"/>
      </c:lineChart>
      <c:catAx>
        <c:axId val="48225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199592"/>
        <c:crosses val="autoZero"/>
        <c:auto val="1"/>
        <c:lblAlgn val="ctr"/>
        <c:lblOffset val="100"/>
        <c:noMultiLvlLbl val="0"/>
      </c:catAx>
      <c:valAx>
        <c:axId val="48219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5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146277521498721"/>
          <c:y val="2.4225855696609351E-2"/>
          <c:w val="7.2151229467652053E-2"/>
          <c:h val="9.4821763351009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688893937117794E-2"/>
          <c:y val="0.1502593872194547"/>
          <c:w val="0.98675177614198872"/>
          <c:h val="0.724473860410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'ПРСБ 4'!$C$4</c:f>
              <c:strCache>
                <c:ptCount val="1"/>
                <c:pt idx="0">
                  <c:v>Польза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'ПРСБ 4'!$B$5:$B$14</c15:sqref>
                  </c15:fullRef>
                </c:ext>
              </c:extLst>
              <c:f>'ПРСБ 4'!$B$5:$B$9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'ПРСБ 4'!$C$5:$C$14</c15:sqref>
                  </c15:fullRef>
                </c:ext>
              </c:extLst>
              <c:f>'ПРСБ 4'!$C$5:$C$9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'ПРСБ 4'!$D$4</c:f>
              <c:strCache>
                <c:ptCount val="1"/>
                <c:pt idx="0">
                  <c:v>Потери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'ПРСБ 4'!$B$5:$B$14</c15:sqref>
                  </c15:fullRef>
                </c:ext>
              </c:extLst>
              <c:f>'ПРСБ 4'!$B$5:$B$9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'ПРСБ 4'!$D$5:$D$14</c15:sqref>
                  </c15:fullRef>
                </c:ext>
              </c:extLst>
              <c:f>'ПРСБ 4'!$D$5:$D$9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82198808"/>
        <c:axId val="482194496"/>
      </c:barChart>
      <c:lineChart>
        <c:grouping val="standard"/>
        <c:varyColors val="0"/>
        <c:ser>
          <c:idx val="3"/>
          <c:order val="2"/>
          <c:tx>
            <c:strRef>
              <c:f>'ПРСБ 4'!$F$4</c:f>
              <c:strCache>
                <c:ptCount val="1"/>
                <c:pt idx="0">
                  <c:v>ТТ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'ПРСБ 4'!$B$5:$B$14</c15:sqref>
                  </c15:fullRef>
                </c:ext>
              </c:extLst>
              <c:f>'ПРСБ 4'!$B$5:$B$9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'ПРСБ 4'!$F$5:$F$14</c15:sqref>
                  </c15:fullRef>
                </c:ext>
              </c:extLst>
              <c:f>'ПРСБ 4'!$F$5:$F$9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198808"/>
        <c:axId val="482194496"/>
      </c:lineChart>
      <c:catAx>
        <c:axId val="48219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194496"/>
        <c:crosses val="autoZero"/>
        <c:auto val="1"/>
        <c:lblAlgn val="ctr"/>
        <c:lblOffset val="100"/>
        <c:noMultiLvlLbl val="0"/>
      </c:catAx>
      <c:valAx>
        <c:axId val="48219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19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146277521498721"/>
          <c:y val="2.4225855696609351E-2"/>
          <c:w val="7.2151229467652053E-2"/>
          <c:h val="9.4821763351009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688893937117794E-2"/>
          <c:y val="0.1502593872194547"/>
          <c:w val="0.98675177614198872"/>
          <c:h val="0.724473860410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'СБ 3'!$C$4</c:f>
              <c:strCache>
                <c:ptCount val="1"/>
                <c:pt idx="0">
                  <c:v>Польза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'СБ 3'!$B$5:$B$14</c15:sqref>
                  </c15:fullRef>
                </c:ext>
              </c:extLst>
              <c:f>'СБ 3'!$B$5:$B$9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'СБ 3'!$C$5:$C$14</c15:sqref>
                  </c15:fullRef>
                </c:ext>
              </c:extLst>
              <c:f>'СБ 3'!$C$5:$C$9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'СБ 3'!$D$4</c:f>
              <c:strCache>
                <c:ptCount val="1"/>
                <c:pt idx="0">
                  <c:v>Потери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'СБ 3'!$B$5:$B$14</c15:sqref>
                  </c15:fullRef>
                </c:ext>
              </c:extLst>
              <c:f>'СБ 3'!$B$5:$B$9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'СБ 3'!$D$5:$D$14</c15:sqref>
                  </c15:fullRef>
                </c:ext>
              </c:extLst>
              <c:f>'СБ 3'!$D$5:$D$9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82200768"/>
        <c:axId val="482201160"/>
      </c:barChart>
      <c:lineChart>
        <c:grouping val="standard"/>
        <c:varyColors val="0"/>
        <c:ser>
          <c:idx val="3"/>
          <c:order val="2"/>
          <c:tx>
            <c:strRef>
              <c:f>'СБ 3'!$F$4</c:f>
              <c:strCache>
                <c:ptCount val="1"/>
                <c:pt idx="0">
                  <c:v>ТТ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'СБ 3'!$B$5:$B$14</c15:sqref>
                  </c15:fullRef>
                </c:ext>
              </c:extLst>
              <c:f>'СБ 3'!$B$5:$B$9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'СБ 3'!$F$5:$F$14</c15:sqref>
                  </c15:fullRef>
                </c:ext>
              </c:extLst>
              <c:f>'СБ 3'!$F$5:$F$9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00768"/>
        <c:axId val="482201160"/>
      </c:lineChart>
      <c:catAx>
        <c:axId val="48220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01160"/>
        <c:crosses val="autoZero"/>
        <c:auto val="1"/>
        <c:lblAlgn val="ctr"/>
        <c:lblOffset val="100"/>
        <c:noMultiLvlLbl val="0"/>
      </c:catAx>
      <c:valAx>
        <c:axId val="48220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0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146277521498721"/>
          <c:y val="2.4225855696609351E-2"/>
          <c:w val="7.2151229467652053E-2"/>
          <c:h val="9.4821763351009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0688893937117794E-2"/>
          <c:y val="0.1502593872194547"/>
          <c:w val="0.98675177614198872"/>
          <c:h val="0.724473860410305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'СБ 4'!$C$4</c:f>
              <c:strCache>
                <c:ptCount val="1"/>
                <c:pt idx="0">
                  <c:v>Польза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'СБ 4'!$B$5:$B$14</c15:sqref>
                  </c15:fullRef>
                </c:ext>
              </c:extLst>
              <c:f>'СБ 4'!$B$5:$B$9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'СБ 4'!$C$5:$C$14</c15:sqref>
                  </c15:fullRef>
                </c:ext>
              </c:extLst>
              <c:f>'СБ 4'!$C$5:$C$9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'СБ 4'!$D$4</c:f>
              <c:strCache>
                <c:ptCount val="1"/>
                <c:pt idx="0">
                  <c:v>Потери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'СБ 4'!$B$5:$B$14</c15:sqref>
                  </c15:fullRef>
                </c:ext>
              </c:extLst>
              <c:f>'СБ 4'!$B$5:$B$9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'СБ 4'!$D$5:$D$14</c15:sqref>
                  </c15:fullRef>
                </c:ext>
              </c:extLst>
              <c:f>'СБ 4'!$D$5:$D$9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82203120"/>
        <c:axId val="482192928"/>
      </c:barChart>
      <c:lineChart>
        <c:grouping val="standard"/>
        <c:varyColors val="0"/>
        <c:ser>
          <c:idx val="3"/>
          <c:order val="2"/>
          <c:tx>
            <c:strRef>
              <c:f>'СБ 4'!$F$4</c:f>
              <c:strCache>
                <c:ptCount val="1"/>
                <c:pt idx="0">
                  <c:v>ТТ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'СБ 4'!$B$5:$B$14</c15:sqref>
                  </c15:fullRef>
                </c:ext>
              </c:extLst>
              <c:f>'СБ 4'!$B$5:$B$9</c:f>
              <c:strCache>
                <c:ptCount val="5"/>
                <c:pt idx="0">
                  <c:v>Первое раб.место</c:v>
                </c:pt>
                <c:pt idx="1">
                  <c:v>Второе раб.место</c:v>
                </c:pt>
                <c:pt idx="2">
                  <c:v>Третье раб.место</c:v>
                </c:pt>
                <c:pt idx="3">
                  <c:v>Четвёртое раб.место</c:v>
                </c:pt>
                <c:pt idx="4">
                  <c:v>Пятое раб.место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'СБ 4'!$F$5:$F$14</c15:sqref>
                  </c15:fullRef>
                </c:ext>
              </c:extLst>
              <c:f>'СБ 4'!$F$5:$F$9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203120"/>
        <c:axId val="482192928"/>
      </c:lineChart>
      <c:catAx>
        <c:axId val="48220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192928"/>
        <c:crosses val="autoZero"/>
        <c:auto val="1"/>
        <c:lblAlgn val="ctr"/>
        <c:lblOffset val="100"/>
        <c:noMultiLvlLbl val="0"/>
      </c:catAx>
      <c:valAx>
        <c:axId val="4821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20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146277521498721"/>
          <c:y val="2.4225855696609351E-2"/>
          <c:w val="7.2151229467652053E-2"/>
          <c:h val="9.4821763351009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</xdr:row>
      <xdr:rowOff>177800</xdr:rowOff>
    </xdr:from>
    <xdr:to>
      <xdr:col>46</xdr:col>
      <xdr:colOff>266700</xdr:colOff>
      <xdr:row>12</xdr:row>
      <xdr:rowOff>38100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</xdr:row>
      <xdr:rowOff>177800</xdr:rowOff>
    </xdr:from>
    <xdr:to>
      <xdr:col>31</xdr:col>
      <xdr:colOff>647700</xdr:colOff>
      <xdr:row>14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</xdr:row>
      <xdr:rowOff>177800</xdr:rowOff>
    </xdr:from>
    <xdr:to>
      <xdr:col>31</xdr:col>
      <xdr:colOff>647700</xdr:colOff>
      <xdr:row>14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</xdr:row>
      <xdr:rowOff>177800</xdr:rowOff>
    </xdr:from>
    <xdr:to>
      <xdr:col>31</xdr:col>
      <xdr:colOff>647700</xdr:colOff>
      <xdr:row>14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</xdr:row>
      <xdr:rowOff>177799</xdr:rowOff>
    </xdr:from>
    <xdr:to>
      <xdr:col>36</xdr:col>
      <xdr:colOff>-1</xdr:colOff>
      <xdr:row>14</xdr:row>
      <xdr:rowOff>71436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</xdr:row>
      <xdr:rowOff>177800</xdr:rowOff>
    </xdr:from>
    <xdr:to>
      <xdr:col>31</xdr:col>
      <xdr:colOff>647700</xdr:colOff>
      <xdr:row>14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</xdr:row>
      <xdr:rowOff>177800</xdr:rowOff>
    </xdr:from>
    <xdr:to>
      <xdr:col>31</xdr:col>
      <xdr:colOff>647700</xdr:colOff>
      <xdr:row>14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</xdr:row>
      <xdr:rowOff>177800</xdr:rowOff>
    </xdr:from>
    <xdr:to>
      <xdr:col>31</xdr:col>
      <xdr:colOff>647700</xdr:colOff>
      <xdr:row>14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</xdr:row>
      <xdr:rowOff>177800</xdr:rowOff>
    </xdr:from>
    <xdr:to>
      <xdr:col>31</xdr:col>
      <xdr:colOff>647700</xdr:colOff>
      <xdr:row>14</xdr:row>
      <xdr:rowOff>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479"/>
  <sheetViews>
    <sheetView tabSelected="1" view="pageBreakPreview" topLeftCell="B1" zoomScale="44" zoomScaleNormal="20" zoomScaleSheetLayoutView="44" workbookViewId="0">
      <selection activeCell="AH4" sqref="AH4"/>
    </sheetView>
  </sheetViews>
  <sheetFormatPr defaultRowHeight="15"/>
  <cols>
    <col min="1" max="1" width="2.42578125" customWidth="1"/>
    <col min="2" max="2" width="29.140625" bestFit="1" customWidth="1"/>
    <col min="4" max="4" width="8.85546875" customWidth="1"/>
    <col min="7" max="7" width="2.42578125" customWidth="1"/>
    <col min="8" max="8" width="8.7109375" style="15" customWidth="1"/>
    <col min="9" max="9" width="60.7109375" customWidth="1"/>
    <col min="10" max="12" width="11.28515625" customWidth="1"/>
    <col min="13" max="13" width="8.7109375" style="15" customWidth="1"/>
    <col min="14" max="14" width="60.7109375" customWidth="1"/>
    <col min="15" max="17" width="11.28515625" customWidth="1"/>
    <col min="18" max="18" width="8.7109375" style="15" customWidth="1"/>
    <col min="19" max="19" width="60.7109375" customWidth="1"/>
    <col min="20" max="22" width="11.28515625" customWidth="1"/>
    <col min="23" max="23" width="8.7109375" style="15" customWidth="1"/>
    <col min="24" max="24" width="60.7109375" customWidth="1"/>
    <col min="25" max="27" width="11.28515625" customWidth="1"/>
    <col min="28" max="28" width="8.7109375" style="15" customWidth="1"/>
    <col min="29" max="29" width="60.7109375" customWidth="1"/>
    <col min="30" max="32" width="11.28515625" customWidth="1"/>
    <col min="33" max="33" width="8.7109375" style="15" customWidth="1"/>
    <col min="34" max="34" width="60.7109375" customWidth="1"/>
    <col min="35" max="37" width="11.28515625" customWidth="1"/>
    <col min="38" max="38" width="8.7109375" style="15" customWidth="1"/>
    <col min="39" max="39" width="60.7109375" customWidth="1"/>
    <col min="40" max="42" width="11.28515625" customWidth="1"/>
    <col min="43" max="43" width="8.7109375" style="15" customWidth="1"/>
    <col min="44" max="44" width="60.7109375" customWidth="1"/>
    <col min="45" max="47" width="11.28515625" customWidth="1"/>
  </cols>
  <sheetData>
    <row r="1" spans="2:57" s="1" customFormat="1" ht="59.25" customHeight="1">
      <c r="B1" s="16"/>
      <c r="C1" s="16"/>
      <c r="D1" s="16"/>
      <c r="E1" s="16"/>
      <c r="F1" s="16"/>
      <c r="G1" s="16"/>
      <c r="H1" s="37" t="s">
        <v>31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</row>
    <row r="2" spans="2:57" s="1" customFormat="1" ht="51.6" customHeight="1">
      <c r="H2" s="31" t="s">
        <v>12</v>
      </c>
      <c r="I2" s="32"/>
      <c r="J2" s="32"/>
      <c r="K2" s="33"/>
      <c r="L2" s="18"/>
      <c r="M2" s="31" t="s">
        <v>6</v>
      </c>
      <c r="N2" s="32"/>
      <c r="O2" s="32"/>
      <c r="P2" s="33"/>
      <c r="Q2" s="18"/>
      <c r="R2" s="31" t="s">
        <v>7</v>
      </c>
      <c r="S2" s="32"/>
      <c r="T2" s="33"/>
      <c r="U2" s="18"/>
      <c r="V2" s="31" t="s">
        <v>0</v>
      </c>
      <c r="W2" s="32"/>
      <c r="X2" s="33"/>
      <c r="Y2" s="18"/>
      <c r="Z2" s="31" t="s">
        <v>13</v>
      </c>
      <c r="AA2" s="32"/>
      <c r="AB2" s="33"/>
      <c r="AC2" s="34">
        <f>MAX(E5:E12)*1.2</f>
        <v>0</v>
      </c>
      <c r="AD2" s="35"/>
      <c r="AE2" s="36"/>
      <c r="AF2" s="20"/>
      <c r="AG2" s="21"/>
      <c r="AH2" s="41" t="s">
        <v>30</v>
      </c>
      <c r="AI2" s="41"/>
      <c r="AJ2" s="20"/>
      <c r="AK2" s="20"/>
      <c r="AL2" s="21"/>
      <c r="AM2" s="20"/>
      <c r="AN2" s="20"/>
      <c r="AO2" s="20"/>
      <c r="AP2" s="20"/>
      <c r="AQ2" s="21"/>
      <c r="AR2" s="20"/>
      <c r="AS2" s="20"/>
      <c r="AT2" s="20"/>
      <c r="AU2" s="20"/>
      <c r="AV2" s="21"/>
      <c r="AW2" s="20"/>
      <c r="AX2" s="20"/>
      <c r="AY2" s="20"/>
      <c r="AZ2" s="20"/>
      <c r="BA2" s="21"/>
      <c r="BB2" s="20"/>
      <c r="BC2" s="20"/>
      <c r="BD2" s="20"/>
      <c r="BE2" s="20"/>
    </row>
    <row r="3" spans="2:57" s="1" customFormat="1" ht="45" customHeight="1">
      <c r="H3" s="34">
        <f>COUNTA(I16:I153,N16:N153,S16:S153,X16:X153,AC16:AC153,AH16:AH153,AM16:AM153,AR16:AR153)</f>
        <v>0</v>
      </c>
      <c r="I3" s="35"/>
      <c r="J3" s="35"/>
      <c r="K3" s="36"/>
      <c r="L3" s="18"/>
      <c r="M3" s="34"/>
      <c r="N3" s="35"/>
      <c r="O3" s="35"/>
      <c r="P3" s="36"/>
      <c r="Q3" s="18"/>
      <c r="R3" s="38"/>
      <c r="S3" s="39"/>
      <c r="T3" s="40"/>
      <c r="U3" s="18"/>
      <c r="V3" s="34"/>
      <c r="W3" s="35"/>
      <c r="X3" s="36"/>
      <c r="Y3" s="18"/>
      <c r="Z3" s="31" t="s">
        <v>8</v>
      </c>
      <c r="AA3" s="32"/>
      <c r="AB3" s="33"/>
      <c r="AC3" s="34">
        <f>MAX(E5:E12)</f>
        <v>0</v>
      </c>
      <c r="AD3" s="35"/>
      <c r="AE3" s="36"/>
      <c r="AF3" s="20"/>
      <c r="AG3" s="21"/>
      <c r="AH3" s="42" t="e">
        <f>25200/AC2</f>
        <v>#DIV/0!</v>
      </c>
      <c r="AI3" s="42"/>
      <c r="AJ3" s="20"/>
      <c r="AK3" s="20"/>
      <c r="AL3" s="21"/>
      <c r="AM3" s="20"/>
      <c r="AN3" s="20"/>
      <c r="AO3" s="20"/>
      <c r="AP3" s="20"/>
      <c r="AQ3" s="21"/>
      <c r="AR3" s="20"/>
      <c r="AS3" s="20"/>
      <c r="AT3" s="20"/>
      <c r="AU3" s="20"/>
      <c r="AV3" s="21"/>
      <c r="AW3" s="20"/>
      <c r="AX3" s="20"/>
      <c r="AY3" s="20"/>
      <c r="AZ3" s="20"/>
      <c r="BA3" s="21"/>
      <c r="BB3" s="20"/>
      <c r="BC3" s="20"/>
      <c r="BD3" s="20"/>
      <c r="BE3" s="20"/>
    </row>
    <row r="4" spans="2:57" s="1" customFormat="1" ht="81.599999999999994" customHeight="1">
      <c r="B4" s="5" t="s">
        <v>9</v>
      </c>
      <c r="C4" s="6" t="s">
        <v>2</v>
      </c>
      <c r="D4" s="6" t="s">
        <v>3</v>
      </c>
      <c r="E4" s="6" t="s">
        <v>10</v>
      </c>
      <c r="F4" s="6" t="s">
        <v>5</v>
      </c>
      <c r="H4" s="21"/>
      <c r="I4" s="20"/>
      <c r="J4" s="20"/>
      <c r="K4" s="20"/>
      <c r="L4" s="20"/>
      <c r="M4" s="21"/>
      <c r="N4" s="20"/>
      <c r="O4" s="20"/>
      <c r="P4" s="20"/>
      <c r="Q4" s="20"/>
      <c r="R4" s="21"/>
      <c r="S4" s="20"/>
      <c r="T4" s="20"/>
      <c r="U4" s="20"/>
      <c r="V4" s="20"/>
      <c r="W4" s="21"/>
      <c r="X4" s="20"/>
      <c r="Y4" s="20"/>
      <c r="Z4" s="20"/>
      <c r="AA4" s="20"/>
      <c r="AB4" s="21"/>
      <c r="AC4" s="20"/>
      <c r="AD4" s="20"/>
      <c r="AE4" s="20"/>
      <c r="AF4" s="20"/>
      <c r="AG4" s="21"/>
      <c r="AH4" s="20"/>
      <c r="AI4" s="20"/>
      <c r="AJ4" s="20"/>
      <c r="AK4" s="20"/>
      <c r="AL4" s="21"/>
      <c r="AM4" s="20"/>
      <c r="AN4" s="20"/>
      <c r="AO4" s="20"/>
      <c r="AP4" s="20"/>
      <c r="AQ4" s="21"/>
      <c r="AR4" s="20"/>
      <c r="AS4" s="20"/>
      <c r="AT4" s="20"/>
      <c r="AU4" s="20"/>
    </row>
    <row r="5" spans="2:57" s="1" customFormat="1" ht="51.6" customHeight="1">
      <c r="B5" s="7" t="s">
        <v>32</v>
      </c>
      <c r="C5" s="3">
        <f>J15</f>
        <v>0</v>
      </c>
      <c r="D5" s="3">
        <f>K15</f>
        <v>0</v>
      </c>
      <c r="E5" s="3">
        <f>L15</f>
        <v>0</v>
      </c>
      <c r="F5" s="3">
        <f>AC2</f>
        <v>0</v>
      </c>
      <c r="H5" s="21"/>
      <c r="I5" s="20"/>
      <c r="J5" s="20"/>
      <c r="K5" s="20"/>
      <c r="L5" s="20"/>
      <c r="M5" s="21"/>
      <c r="N5" s="20"/>
      <c r="O5" s="20"/>
      <c r="P5" s="20"/>
      <c r="Q5" s="20"/>
      <c r="R5" s="21"/>
      <c r="S5" s="20"/>
      <c r="T5" s="20"/>
      <c r="U5" s="20"/>
      <c r="V5" s="20"/>
      <c r="W5" s="21"/>
      <c r="X5" s="20"/>
      <c r="Y5" s="20"/>
      <c r="Z5" s="20"/>
      <c r="AA5" s="20"/>
      <c r="AB5" s="21"/>
      <c r="AC5" s="20"/>
      <c r="AD5" s="20"/>
      <c r="AE5" s="20"/>
      <c r="AF5" s="20"/>
      <c r="AG5" s="21"/>
      <c r="AH5" s="20"/>
      <c r="AI5" s="20"/>
      <c r="AJ5" s="20"/>
      <c r="AK5" s="20"/>
      <c r="AL5" s="21"/>
      <c r="AM5" s="20"/>
      <c r="AN5" s="20"/>
      <c r="AO5" s="20"/>
      <c r="AP5" s="20"/>
      <c r="AQ5" s="21"/>
      <c r="AR5" s="20"/>
      <c r="AS5" s="20"/>
      <c r="AT5" s="20"/>
      <c r="AU5" s="20"/>
    </row>
    <row r="6" spans="2:57" s="1" customFormat="1" ht="51.6" customHeight="1">
      <c r="B6" s="7" t="s">
        <v>14</v>
      </c>
      <c r="C6" s="3">
        <f>O15</f>
        <v>0</v>
      </c>
      <c r="D6" s="3">
        <f>P15</f>
        <v>0</v>
      </c>
      <c r="E6" s="3">
        <f>Q15</f>
        <v>0</v>
      </c>
      <c r="F6" s="3">
        <f>AC2</f>
        <v>0</v>
      </c>
      <c r="H6" s="21"/>
      <c r="I6" s="20"/>
      <c r="J6" s="20"/>
      <c r="K6" s="20"/>
      <c r="L6" s="20"/>
      <c r="M6" s="21"/>
      <c r="N6" s="20"/>
      <c r="O6" s="20"/>
      <c r="P6" s="20"/>
      <c r="Q6" s="20"/>
      <c r="R6" s="21"/>
      <c r="S6" s="20"/>
      <c r="T6" s="20"/>
      <c r="U6" s="20"/>
      <c r="V6" s="20"/>
      <c r="W6" s="21"/>
      <c r="X6" s="20"/>
      <c r="Y6" s="20"/>
      <c r="Z6" s="20"/>
      <c r="AA6" s="20"/>
      <c r="AB6" s="21"/>
      <c r="AC6" s="20"/>
      <c r="AD6" s="20"/>
      <c r="AE6" s="20"/>
      <c r="AF6" s="20"/>
      <c r="AG6" s="21"/>
      <c r="AH6" s="20"/>
      <c r="AI6" s="20"/>
      <c r="AJ6" s="20"/>
      <c r="AK6" s="20"/>
      <c r="AL6" s="21"/>
      <c r="AM6" s="20"/>
      <c r="AN6" s="20"/>
      <c r="AO6" s="20"/>
      <c r="AP6" s="20"/>
      <c r="AQ6" s="21"/>
      <c r="AR6" s="20"/>
      <c r="AS6" s="20"/>
      <c r="AT6" s="20"/>
      <c r="AU6" s="20"/>
    </row>
    <row r="7" spans="2:57" s="1" customFormat="1" ht="51.6" customHeight="1">
      <c r="B7" s="7" t="s">
        <v>16</v>
      </c>
      <c r="C7" s="3">
        <f>T15</f>
        <v>0</v>
      </c>
      <c r="D7" s="3">
        <f>U15</f>
        <v>0</v>
      </c>
      <c r="E7" s="3">
        <f>V15</f>
        <v>0</v>
      </c>
      <c r="F7" s="22">
        <f>AC2</f>
        <v>0</v>
      </c>
      <c r="H7" s="21"/>
      <c r="I7" s="20"/>
      <c r="J7" s="20"/>
      <c r="K7" s="20"/>
      <c r="L7" s="20"/>
      <c r="M7" s="21"/>
      <c r="N7" s="20"/>
      <c r="O7" s="20"/>
      <c r="P7" s="20"/>
      <c r="Q7" s="20"/>
      <c r="R7" s="21"/>
      <c r="S7" s="20"/>
      <c r="T7" s="20"/>
      <c r="U7" s="20"/>
      <c r="V7" s="20"/>
      <c r="W7" s="21"/>
      <c r="X7" s="20"/>
      <c r="Y7" s="20"/>
      <c r="Z7" s="20"/>
      <c r="AA7" s="20"/>
      <c r="AB7" s="21"/>
      <c r="AC7" s="20"/>
      <c r="AD7" s="20"/>
      <c r="AE7" s="20"/>
      <c r="AF7" s="20"/>
      <c r="AG7" s="21"/>
      <c r="AH7" s="20"/>
      <c r="AI7" s="20"/>
      <c r="AJ7" s="20"/>
      <c r="AK7" s="20"/>
      <c r="AL7" s="21"/>
      <c r="AM7" s="20"/>
      <c r="AN7" s="20"/>
      <c r="AO7" s="20"/>
      <c r="AP7" s="20"/>
      <c r="AQ7" s="21"/>
      <c r="AR7" s="20"/>
      <c r="AS7" s="20"/>
      <c r="AT7" s="20"/>
      <c r="AU7" s="20"/>
    </row>
    <row r="8" spans="2:57" s="1" customFormat="1" ht="51.6" customHeight="1">
      <c r="B8" s="7" t="s">
        <v>11</v>
      </c>
      <c r="C8" s="3">
        <f>Y15</f>
        <v>0</v>
      </c>
      <c r="D8" s="3">
        <f>Z15</f>
        <v>0</v>
      </c>
      <c r="E8" s="3">
        <f>AA15</f>
        <v>0</v>
      </c>
      <c r="F8" s="22">
        <f>AC2</f>
        <v>0</v>
      </c>
      <c r="H8" s="21"/>
      <c r="I8" s="20"/>
      <c r="J8" s="20"/>
      <c r="K8" s="20"/>
      <c r="L8" s="20"/>
      <c r="M8" s="21"/>
      <c r="N8" s="20"/>
      <c r="O8" s="20"/>
      <c r="P8" s="20"/>
      <c r="Q8" s="20"/>
      <c r="R8" s="21"/>
      <c r="S8" s="20"/>
      <c r="T8" s="20"/>
      <c r="U8" s="20"/>
      <c r="V8" s="20"/>
      <c r="W8" s="21"/>
      <c r="X8" s="20"/>
      <c r="Y8" s="20"/>
      <c r="Z8" s="20"/>
      <c r="AA8" s="20"/>
      <c r="AB8" s="21"/>
      <c r="AC8" s="20"/>
      <c r="AD8" s="20"/>
      <c r="AE8" s="20"/>
      <c r="AF8" s="20"/>
      <c r="AG8" s="21"/>
      <c r="AH8" s="20"/>
      <c r="AI8" s="20"/>
      <c r="AJ8" s="20"/>
      <c r="AK8" s="20"/>
      <c r="AL8" s="21"/>
      <c r="AM8" s="20"/>
      <c r="AN8" s="20"/>
      <c r="AO8" s="20"/>
      <c r="AP8" s="20"/>
      <c r="AQ8" s="21"/>
      <c r="AR8" s="20"/>
      <c r="AS8" s="20"/>
      <c r="AT8" s="20"/>
      <c r="AU8" s="20"/>
    </row>
    <row r="9" spans="2:57" s="1" customFormat="1" ht="51.6" customHeight="1">
      <c r="B9" s="7" t="s">
        <v>15</v>
      </c>
      <c r="C9" s="3">
        <f>AD15</f>
        <v>0</v>
      </c>
      <c r="D9" s="3">
        <f>AE15</f>
        <v>0</v>
      </c>
      <c r="E9" s="3">
        <f>AF15</f>
        <v>0</v>
      </c>
      <c r="F9" s="22">
        <f>AC2</f>
        <v>0</v>
      </c>
      <c r="H9" s="21"/>
      <c r="I9" s="20"/>
      <c r="J9" s="20"/>
      <c r="K9" s="20"/>
      <c r="L9" s="20"/>
      <c r="M9" s="21"/>
      <c r="N9" s="20"/>
      <c r="O9" s="20"/>
      <c r="P9" s="20"/>
      <c r="Q9" s="20"/>
      <c r="R9" s="21"/>
      <c r="S9" s="20"/>
      <c r="T9" s="20"/>
      <c r="U9" s="20"/>
      <c r="V9" s="20"/>
      <c r="W9" s="21"/>
      <c r="X9" s="20"/>
      <c r="Y9" s="20"/>
      <c r="Z9" s="20"/>
      <c r="AA9" s="20"/>
      <c r="AB9" s="21"/>
      <c r="AC9" s="20"/>
      <c r="AD9" s="20"/>
      <c r="AE9" s="20"/>
      <c r="AF9" s="20"/>
      <c r="AG9" s="21"/>
      <c r="AH9" s="20"/>
      <c r="AI9" s="20"/>
      <c r="AJ9" s="20"/>
      <c r="AK9" s="20"/>
      <c r="AL9" s="21"/>
      <c r="AM9" s="20"/>
      <c r="AN9" s="20"/>
      <c r="AO9" s="20"/>
      <c r="AP9" s="20"/>
      <c r="AQ9" s="21"/>
      <c r="AR9" s="20"/>
      <c r="AS9" s="20"/>
      <c r="AT9" s="20"/>
      <c r="AU9" s="20"/>
    </row>
    <row r="10" spans="2:57" s="1" customFormat="1" ht="51.6" customHeight="1">
      <c r="B10" s="7" t="s">
        <v>17</v>
      </c>
      <c r="C10" s="3">
        <f>AI15</f>
        <v>0</v>
      </c>
      <c r="D10" s="3">
        <f>AJ15</f>
        <v>0</v>
      </c>
      <c r="E10" s="3">
        <f>AK15</f>
        <v>0</v>
      </c>
      <c r="F10" s="22">
        <f>AC2</f>
        <v>0</v>
      </c>
      <c r="H10" s="21"/>
      <c r="I10" s="20"/>
      <c r="J10" s="20"/>
      <c r="K10" s="20"/>
      <c r="L10" s="20"/>
      <c r="M10" s="21"/>
      <c r="N10" s="20"/>
      <c r="O10" s="20"/>
      <c r="P10" s="20"/>
      <c r="Q10" s="20"/>
      <c r="R10" s="21"/>
      <c r="S10" s="20"/>
      <c r="T10" s="20"/>
      <c r="U10" s="20"/>
      <c r="V10" s="20"/>
      <c r="W10" s="21"/>
      <c r="X10" s="20"/>
      <c r="Y10" s="20"/>
      <c r="Z10" s="20"/>
      <c r="AA10" s="20"/>
      <c r="AB10" s="21"/>
      <c r="AC10" s="20"/>
      <c r="AD10" s="20"/>
      <c r="AE10" s="20"/>
      <c r="AF10" s="20"/>
      <c r="AG10" s="21"/>
      <c r="AH10" s="20"/>
      <c r="AI10" s="20"/>
      <c r="AJ10" s="20"/>
      <c r="AK10" s="20"/>
      <c r="AL10" s="21"/>
      <c r="AM10" s="20"/>
      <c r="AN10" s="20"/>
      <c r="AO10" s="20"/>
      <c r="AP10" s="20"/>
      <c r="AQ10" s="21"/>
      <c r="AR10" s="20"/>
      <c r="AS10" s="20"/>
      <c r="AT10" s="20"/>
      <c r="AU10" s="20"/>
    </row>
    <row r="11" spans="2:57" s="1" customFormat="1" ht="51.6" customHeight="1">
      <c r="B11" s="7" t="s">
        <v>18</v>
      </c>
      <c r="C11" s="3">
        <f>AN15</f>
        <v>0</v>
      </c>
      <c r="D11" s="3">
        <f>AO15</f>
        <v>0</v>
      </c>
      <c r="E11" s="3">
        <f>AP15</f>
        <v>0</v>
      </c>
      <c r="F11" s="22">
        <f>AC2</f>
        <v>0</v>
      </c>
      <c r="H11" s="21"/>
      <c r="I11" s="20"/>
      <c r="J11" s="20"/>
      <c r="K11" s="20"/>
      <c r="L11" s="20"/>
      <c r="M11" s="21"/>
      <c r="N11" s="20"/>
      <c r="O11" s="20"/>
      <c r="P11" s="20"/>
      <c r="Q11" s="20"/>
      <c r="R11" s="21"/>
      <c r="S11" s="20"/>
      <c r="T11" s="20"/>
      <c r="U11" s="20"/>
      <c r="V11" s="20"/>
      <c r="W11" s="21"/>
      <c r="X11" s="20"/>
      <c r="Y11" s="20"/>
      <c r="Z11" s="20"/>
      <c r="AA11" s="20"/>
      <c r="AB11" s="21"/>
      <c r="AC11" s="20"/>
      <c r="AD11" s="20"/>
      <c r="AE11" s="20"/>
      <c r="AF11" s="20"/>
      <c r="AG11" s="21"/>
      <c r="AH11" s="20"/>
      <c r="AI11" s="20"/>
      <c r="AJ11" s="20"/>
      <c r="AK11" s="20"/>
      <c r="AL11" s="21"/>
      <c r="AM11" s="20"/>
      <c r="AN11" s="20"/>
      <c r="AO11" s="20"/>
      <c r="AP11" s="20"/>
      <c r="AQ11" s="21"/>
      <c r="AR11" s="20"/>
      <c r="AS11" s="20"/>
      <c r="AT11" s="20"/>
      <c r="AU11" s="20"/>
    </row>
    <row r="12" spans="2:57" s="1" customFormat="1" ht="51.6" customHeight="1">
      <c r="B12" s="7" t="s">
        <v>19</v>
      </c>
      <c r="C12" s="3">
        <f>AS15</f>
        <v>0</v>
      </c>
      <c r="D12" s="3">
        <f>AT15</f>
        <v>0</v>
      </c>
      <c r="E12" s="3">
        <f>AU15</f>
        <v>0</v>
      </c>
      <c r="F12" s="22">
        <f>AC2</f>
        <v>0</v>
      </c>
      <c r="H12" s="21"/>
      <c r="I12" s="20"/>
      <c r="J12" s="20"/>
      <c r="K12" s="20"/>
      <c r="L12" s="20"/>
      <c r="M12" s="21"/>
      <c r="N12" s="20"/>
      <c r="O12" s="20"/>
      <c r="P12" s="20"/>
      <c r="Q12" s="20"/>
      <c r="R12" s="21"/>
      <c r="S12" s="20"/>
      <c r="T12" s="20"/>
      <c r="U12" s="20"/>
      <c r="V12" s="20"/>
      <c r="W12" s="21"/>
      <c r="X12" s="20"/>
      <c r="Y12" s="20"/>
      <c r="Z12" s="20"/>
      <c r="AA12" s="20"/>
      <c r="AB12" s="21"/>
      <c r="AC12" s="20"/>
      <c r="AD12" s="20"/>
      <c r="AE12" s="20"/>
      <c r="AF12" s="20"/>
      <c r="AG12" s="21"/>
      <c r="AH12" s="20"/>
      <c r="AI12" s="20"/>
      <c r="AJ12" s="20"/>
      <c r="AK12" s="20"/>
      <c r="AL12" s="21"/>
      <c r="AM12" s="20"/>
      <c r="AN12" s="20"/>
      <c r="AO12" s="20"/>
      <c r="AP12" s="20"/>
      <c r="AQ12" s="21"/>
      <c r="AR12" s="20"/>
      <c r="AS12" s="20"/>
      <c r="AT12" s="20"/>
      <c r="AU12" s="20"/>
    </row>
    <row r="13" spans="2:57" s="1" customFormat="1" ht="15.75">
      <c r="H13" s="21"/>
      <c r="I13" s="20"/>
      <c r="J13" s="20"/>
      <c r="K13" s="20"/>
      <c r="L13" s="20"/>
      <c r="M13" s="21"/>
      <c r="N13" s="20"/>
      <c r="O13" s="20"/>
      <c r="P13" s="20"/>
      <c r="Q13" s="20"/>
      <c r="R13" s="21"/>
      <c r="S13" s="20"/>
      <c r="T13" s="20"/>
      <c r="U13" s="20"/>
      <c r="V13" s="20"/>
      <c r="W13" s="21"/>
      <c r="X13" s="20"/>
      <c r="Y13" s="20"/>
      <c r="Z13" s="20"/>
      <c r="AA13" s="20"/>
      <c r="AB13" s="21"/>
      <c r="AC13" s="20"/>
      <c r="AD13" s="20"/>
      <c r="AE13" s="20"/>
      <c r="AF13" s="20"/>
      <c r="AG13" s="21"/>
      <c r="AH13" s="20"/>
      <c r="AI13" s="20"/>
      <c r="AJ13" s="20"/>
      <c r="AK13" s="20"/>
      <c r="AL13" s="21"/>
      <c r="AM13" s="20"/>
      <c r="AN13" s="20"/>
      <c r="AO13" s="20"/>
      <c r="AP13" s="20"/>
      <c r="AQ13" s="21"/>
      <c r="AR13" s="20"/>
      <c r="AS13" s="20"/>
      <c r="AT13" s="20"/>
      <c r="AU13" s="20"/>
    </row>
    <row r="14" spans="2:57" s="2" customFormat="1" ht="94.15" customHeight="1">
      <c r="H14" s="43" t="s">
        <v>1</v>
      </c>
      <c r="I14" s="24" t="s">
        <v>32</v>
      </c>
      <c r="J14" s="8" t="s">
        <v>2</v>
      </c>
      <c r="K14" s="8" t="s">
        <v>3</v>
      </c>
      <c r="L14" s="8" t="s">
        <v>10</v>
      </c>
      <c r="M14" s="44" t="s">
        <v>1</v>
      </c>
      <c r="N14" s="24" t="s">
        <v>14</v>
      </c>
      <c r="O14" s="8" t="s">
        <v>2</v>
      </c>
      <c r="P14" s="8" t="s">
        <v>3</v>
      </c>
      <c r="Q14" s="8" t="s">
        <v>10</v>
      </c>
      <c r="R14" s="43" t="s">
        <v>1</v>
      </c>
      <c r="S14" s="24" t="s">
        <v>16</v>
      </c>
      <c r="T14" s="8" t="s">
        <v>2</v>
      </c>
      <c r="U14" s="8" t="s">
        <v>3</v>
      </c>
      <c r="V14" s="8" t="s">
        <v>10</v>
      </c>
      <c r="W14" s="43" t="s">
        <v>1</v>
      </c>
      <c r="X14" s="24" t="s">
        <v>11</v>
      </c>
      <c r="Y14" s="8" t="s">
        <v>2</v>
      </c>
      <c r="Z14" s="8" t="s">
        <v>3</v>
      </c>
      <c r="AA14" s="8" t="s">
        <v>10</v>
      </c>
      <c r="AB14" s="43" t="s">
        <v>1</v>
      </c>
      <c r="AC14" s="24" t="s">
        <v>15</v>
      </c>
      <c r="AD14" s="8" t="s">
        <v>2</v>
      </c>
      <c r="AE14" s="8" t="s">
        <v>3</v>
      </c>
      <c r="AF14" s="8" t="s">
        <v>10</v>
      </c>
      <c r="AG14" s="43" t="s">
        <v>1</v>
      </c>
      <c r="AH14" s="24" t="s">
        <v>17</v>
      </c>
      <c r="AI14" s="8" t="s">
        <v>2</v>
      </c>
      <c r="AJ14" s="8" t="s">
        <v>3</v>
      </c>
      <c r="AK14" s="8" t="s">
        <v>10</v>
      </c>
      <c r="AL14" s="43" t="s">
        <v>1</v>
      </c>
      <c r="AM14" s="24" t="s">
        <v>18</v>
      </c>
      <c r="AN14" s="8" t="s">
        <v>2</v>
      </c>
      <c r="AO14" s="8" t="s">
        <v>3</v>
      </c>
      <c r="AP14" s="8" t="s">
        <v>10</v>
      </c>
      <c r="AQ14" s="43" t="s">
        <v>1</v>
      </c>
      <c r="AR14" s="24" t="s">
        <v>19</v>
      </c>
      <c r="AS14" s="8" t="s">
        <v>2</v>
      </c>
      <c r="AT14" s="8" t="s">
        <v>3</v>
      </c>
      <c r="AU14" s="8" t="s">
        <v>10</v>
      </c>
    </row>
    <row r="15" spans="2:57" s="2" customFormat="1" ht="63.6" customHeight="1">
      <c r="H15" s="43"/>
      <c r="I15" s="17" t="s">
        <v>4</v>
      </c>
      <c r="J15" s="9">
        <f>SUM(J16:J71)</f>
        <v>0</v>
      </c>
      <c r="K15" s="9">
        <f>SUM(K16:K71)</f>
        <v>0</v>
      </c>
      <c r="L15" s="9">
        <f>SUM(L16:L71)</f>
        <v>0</v>
      </c>
      <c r="M15" s="45"/>
      <c r="N15" s="17" t="s">
        <v>4</v>
      </c>
      <c r="O15" s="9">
        <f>SUM(O16:O71)</f>
        <v>0</v>
      </c>
      <c r="P15" s="9">
        <f>SUM(P16:P71)</f>
        <v>0</v>
      </c>
      <c r="Q15" s="9">
        <f>SUM(Q16:Q71)</f>
        <v>0</v>
      </c>
      <c r="R15" s="43"/>
      <c r="S15" s="17" t="s">
        <v>4</v>
      </c>
      <c r="T15" s="9">
        <f>SUM(T16:T71)</f>
        <v>0</v>
      </c>
      <c r="U15" s="9">
        <f>SUM(U16:U71)</f>
        <v>0</v>
      </c>
      <c r="V15" s="9">
        <f>SUM(V16:V71)</f>
        <v>0</v>
      </c>
      <c r="W15" s="43"/>
      <c r="X15" s="17" t="s">
        <v>4</v>
      </c>
      <c r="Y15" s="9">
        <f>SUM(Y16:Y71)</f>
        <v>0</v>
      </c>
      <c r="Z15" s="9">
        <f>SUM(Z16:Z71)</f>
        <v>0</v>
      </c>
      <c r="AA15" s="9">
        <f>SUM(AA16:AA71)</f>
        <v>0</v>
      </c>
      <c r="AB15" s="43"/>
      <c r="AC15" s="17" t="s">
        <v>4</v>
      </c>
      <c r="AD15" s="9">
        <f>SUM(AD16:AD71)</f>
        <v>0</v>
      </c>
      <c r="AE15" s="9">
        <f>SUM(AE16:AE71)</f>
        <v>0</v>
      </c>
      <c r="AF15" s="9">
        <f>SUM(AF16:AF71)</f>
        <v>0</v>
      </c>
      <c r="AG15" s="43"/>
      <c r="AH15" s="17" t="s">
        <v>4</v>
      </c>
      <c r="AI15" s="9">
        <f>SUM(AI16:AI71)</f>
        <v>0</v>
      </c>
      <c r="AJ15" s="9">
        <f>SUM(AJ16:AJ71)</f>
        <v>0</v>
      </c>
      <c r="AK15" s="9">
        <f>SUM(AK16:AK71)</f>
        <v>0</v>
      </c>
      <c r="AL15" s="43"/>
      <c r="AM15" s="17" t="s">
        <v>4</v>
      </c>
      <c r="AN15" s="9">
        <f>SUM(AN16:AN71)</f>
        <v>0</v>
      </c>
      <c r="AO15" s="9">
        <f>SUM(AO16:AO71)</f>
        <v>0</v>
      </c>
      <c r="AP15" s="9">
        <f>SUM(AP16:AP71)</f>
        <v>0</v>
      </c>
      <c r="AQ15" s="43"/>
      <c r="AR15" s="17" t="s">
        <v>4</v>
      </c>
      <c r="AS15" s="9">
        <f>SUM(AS16:AS71)</f>
        <v>0</v>
      </c>
      <c r="AT15" s="9">
        <f>SUM(AT16:AT71)</f>
        <v>0</v>
      </c>
      <c r="AU15" s="9">
        <f>SUM(AU16:AU71)</f>
        <v>0</v>
      </c>
    </row>
    <row r="16" spans="2:57" s="2" customFormat="1" ht="90" customHeight="1">
      <c r="H16" s="10">
        <v>1</v>
      </c>
      <c r="I16" s="11"/>
      <c r="J16" s="12"/>
      <c r="K16" s="12"/>
      <c r="L16" s="12">
        <f>SUM(J16:K16)</f>
        <v>0</v>
      </c>
      <c r="M16" s="10">
        <v>1</v>
      </c>
      <c r="N16" s="11"/>
      <c r="O16" s="12"/>
      <c r="P16" s="12"/>
      <c r="Q16" s="12">
        <f t="shared" ref="Q16:Q52" si="0">SUM(O16:P16)</f>
        <v>0</v>
      </c>
      <c r="R16" s="10">
        <v>1</v>
      </c>
      <c r="S16" s="11"/>
      <c r="T16" s="12"/>
      <c r="U16" s="12"/>
      <c r="V16" s="12">
        <f>SUM(T16:U16)</f>
        <v>0</v>
      </c>
      <c r="W16" s="10">
        <v>1</v>
      </c>
      <c r="X16" s="11"/>
      <c r="Y16" s="12"/>
      <c r="Z16" s="12"/>
      <c r="AA16" s="12">
        <f>SUM(Y16:Z16)</f>
        <v>0</v>
      </c>
      <c r="AB16" s="10">
        <v>1</v>
      </c>
      <c r="AC16" s="11"/>
      <c r="AD16" s="12"/>
      <c r="AE16" s="12"/>
      <c r="AF16" s="12">
        <f>SUM(AD16:AE16)</f>
        <v>0</v>
      </c>
      <c r="AG16" s="10">
        <v>1</v>
      </c>
      <c r="AH16" s="13"/>
      <c r="AI16" s="14"/>
      <c r="AJ16" s="12"/>
      <c r="AK16" s="12">
        <f>SUM(AI16:AJ16)</f>
        <v>0</v>
      </c>
      <c r="AL16" s="10">
        <v>1</v>
      </c>
      <c r="AM16" s="11"/>
      <c r="AN16" s="12"/>
      <c r="AO16" s="12"/>
      <c r="AP16" s="12">
        <f>SUM(AN16:AO16)</f>
        <v>0</v>
      </c>
      <c r="AQ16" s="10">
        <v>1</v>
      </c>
      <c r="AR16" s="11"/>
      <c r="AS16" s="12"/>
      <c r="AT16" s="12"/>
      <c r="AU16" s="12">
        <f>SUM(AS16:AT16)</f>
        <v>0</v>
      </c>
    </row>
    <row r="17" spans="1:47" s="2" customFormat="1" ht="90" customHeight="1">
      <c r="H17" s="17">
        <v>2</v>
      </c>
      <c r="I17" s="13"/>
      <c r="J17" s="14"/>
      <c r="K17" s="14"/>
      <c r="L17" s="14">
        <f t="shared" ref="L17:L52" si="1">SUM(J17:K17)</f>
        <v>0</v>
      </c>
      <c r="M17" s="17">
        <v>2</v>
      </c>
      <c r="N17" s="13"/>
      <c r="O17" s="14"/>
      <c r="P17" s="14"/>
      <c r="Q17" s="14">
        <f t="shared" si="0"/>
        <v>0</v>
      </c>
      <c r="R17" s="17">
        <v>2</v>
      </c>
      <c r="S17" s="13"/>
      <c r="T17" s="14"/>
      <c r="U17" s="14"/>
      <c r="V17" s="14">
        <f t="shared" ref="V17:V52" si="2">SUM(T17:U17)</f>
        <v>0</v>
      </c>
      <c r="W17" s="17">
        <v>2</v>
      </c>
      <c r="X17" s="11"/>
      <c r="Y17" s="12"/>
      <c r="Z17" s="12"/>
      <c r="AA17" s="14">
        <f t="shared" ref="AA17:AA52" si="3">SUM(Y17:Z17)</f>
        <v>0</v>
      </c>
      <c r="AB17" s="17">
        <v>2</v>
      </c>
      <c r="AC17" s="13"/>
      <c r="AD17" s="14"/>
      <c r="AE17" s="14"/>
      <c r="AF17" s="14">
        <f t="shared" ref="AF17:AF52" si="4">SUM(AD17:AE17)</f>
        <v>0</v>
      </c>
      <c r="AG17" s="17">
        <v>2</v>
      </c>
      <c r="AH17" s="13"/>
      <c r="AI17" s="14"/>
      <c r="AJ17" s="14"/>
      <c r="AK17" s="14">
        <f t="shared" ref="AK17:AK52" si="5">SUM(AI17:AJ17)</f>
        <v>0</v>
      </c>
      <c r="AL17" s="17">
        <v>2</v>
      </c>
      <c r="AM17" s="13"/>
      <c r="AN17" s="14"/>
      <c r="AO17" s="14"/>
      <c r="AP17" s="14">
        <f t="shared" ref="AP17:AP52" si="6">SUM(AN17:AO17)</f>
        <v>0</v>
      </c>
      <c r="AQ17" s="17">
        <v>2</v>
      </c>
      <c r="AR17" s="13"/>
      <c r="AS17" s="14"/>
      <c r="AT17" s="14"/>
      <c r="AU17" s="14">
        <f t="shared" ref="AU17:AU52" si="7">SUM(AS17:AT17)</f>
        <v>0</v>
      </c>
    </row>
    <row r="18" spans="1:47" s="2" customFormat="1" ht="90" customHeight="1">
      <c r="A18" s="18"/>
      <c r="H18" s="17">
        <v>3</v>
      </c>
      <c r="I18" s="13"/>
      <c r="J18" s="14"/>
      <c r="K18" s="14"/>
      <c r="L18" s="14">
        <f t="shared" si="1"/>
        <v>0</v>
      </c>
      <c r="M18" s="17">
        <v>3</v>
      </c>
      <c r="N18" s="13"/>
      <c r="O18" s="14"/>
      <c r="P18" s="14"/>
      <c r="Q18" s="14">
        <f t="shared" si="0"/>
        <v>0</v>
      </c>
      <c r="R18" s="17">
        <v>3</v>
      </c>
      <c r="S18" s="13"/>
      <c r="T18" s="14"/>
      <c r="U18" s="14"/>
      <c r="V18" s="14">
        <f t="shared" si="2"/>
        <v>0</v>
      </c>
      <c r="W18" s="17">
        <v>3</v>
      </c>
      <c r="X18" s="13"/>
      <c r="Y18" s="14"/>
      <c r="Z18" s="14"/>
      <c r="AA18" s="14">
        <f t="shared" si="3"/>
        <v>0</v>
      </c>
      <c r="AB18" s="17">
        <v>3</v>
      </c>
      <c r="AC18" s="13"/>
      <c r="AD18" s="14"/>
      <c r="AE18" s="14"/>
      <c r="AF18" s="14">
        <f t="shared" si="4"/>
        <v>0</v>
      </c>
      <c r="AG18" s="17">
        <v>3</v>
      </c>
      <c r="AH18" s="13"/>
      <c r="AI18" s="14"/>
      <c r="AJ18" s="14"/>
      <c r="AK18" s="14">
        <f t="shared" si="5"/>
        <v>0</v>
      </c>
      <c r="AL18" s="17">
        <v>3</v>
      </c>
      <c r="AM18" s="13"/>
      <c r="AN18" s="14"/>
      <c r="AO18" s="14"/>
      <c r="AP18" s="14">
        <f t="shared" si="6"/>
        <v>0</v>
      </c>
      <c r="AQ18" s="17">
        <v>3</v>
      </c>
      <c r="AR18" s="13"/>
      <c r="AS18" s="14"/>
      <c r="AT18" s="14"/>
      <c r="AU18" s="14">
        <f t="shared" si="7"/>
        <v>0</v>
      </c>
    </row>
    <row r="19" spans="1:47" s="2" customFormat="1" ht="90" customHeight="1">
      <c r="H19" s="17">
        <v>4</v>
      </c>
      <c r="I19" s="13"/>
      <c r="J19" s="14"/>
      <c r="K19" s="14"/>
      <c r="L19" s="14">
        <f t="shared" si="1"/>
        <v>0</v>
      </c>
      <c r="M19" s="17">
        <v>4</v>
      </c>
      <c r="N19" s="13"/>
      <c r="O19" s="14"/>
      <c r="P19" s="14"/>
      <c r="Q19" s="14">
        <f t="shared" si="0"/>
        <v>0</v>
      </c>
      <c r="R19" s="17">
        <v>4</v>
      </c>
      <c r="S19" s="19"/>
      <c r="T19" s="14"/>
      <c r="U19" s="14"/>
      <c r="V19" s="14">
        <f t="shared" si="2"/>
        <v>0</v>
      </c>
      <c r="W19" s="17">
        <v>4</v>
      </c>
      <c r="X19" s="13"/>
      <c r="Y19" s="14"/>
      <c r="Z19" s="14"/>
      <c r="AA19" s="14">
        <f t="shared" si="3"/>
        <v>0</v>
      </c>
      <c r="AB19" s="17">
        <v>4</v>
      </c>
      <c r="AC19" s="13"/>
      <c r="AD19" s="14"/>
      <c r="AE19" s="14"/>
      <c r="AF19" s="14">
        <f t="shared" si="4"/>
        <v>0</v>
      </c>
      <c r="AG19" s="17">
        <v>4</v>
      </c>
      <c r="AH19" s="13"/>
      <c r="AI19" s="14"/>
      <c r="AJ19" s="14"/>
      <c r="AK19" s="14">
        <f t="shared" si="5"/>
        <v>0</v>
      </c>
      <c r="AL19" s="17">
        <v>4</v>
      </c>
      <c r="AM19" s="13"/>
      <c r="AN19" s="14"/>
      <c r="AO19" s="14"/>
      <c r="AP19" s="14">
        <f t="shared" si="6"/>
        <v>0</v>
      </c>
      <c r="AQ19" s="17">
        <v>4</v>
      </c>
      <c r="AR19" s="13"/>
      <c r="AS19" s="14"/>
      <c r="AT19" s="14"/>
      <c r="AU19" s="14">
        <f t="shared" si="7"/>
        <v>0</v>
      </c>
    </row>
    <row r="20" spans="1:47" s="2" customFormat="1" ht="90" customHeight="1">
      <c r="H20" s="17">
        <v>5</v>
      </c>
      <c r="I20" s="13"/>
      <c r="J20" s="14"/>
      <c r="K20" s="14"/>
      <c r="L20" s="14">
        <f t="shared" si="1"/>
        <v>0</v>
      </c>
      <c r="M20" s="17">
        <v>5</v>
      </c>
      <c r="N20" s="11"/>
      <c r="O20" s="12"/>
      <c r="P20" s="12"/>
      <c r="Q20" s="14">
        <f t="shared" si="0"/>
        <v>0</v>
      </c>
      <c r="R20" s="17">
        <v>5</v>
      </c>
      <c r="S20" s="13"/>
      <c r="T20" s="14"/>
      <c r="U20" s="14"/>
      <c r="V20" s="14">
        <f t="shared" si="2"/>
        <v>0</v>
      </c>
      <c r="W20" s="17">
        <v>5</v>
      </c>
      <c r="X20" s="13"/>
      <c r="Y20" s="14"/>
      <c r="Z20" s="14"/>
      <c r="AA20" s="14">
        <f t="shared" si="3"/>
        <v>0</v>
      </c>
      <c r="AB20" s="17">
        <v>5</v>
      </c>
      <c r="AC20" s="13"/>
      <c r="AD20" s="14"/>
      <c r="AE20" s="14"/>
      <c r="AF20" s="14">
        <f t="shared" si="4"/>
        <v>0</v>
      </c>
      <c r="AG20" s="17">
        <v>5</v>
      </c>
      <c r="AH20" s="13"/>
      <c r="AI20" s="14"/>
      <c r="AJ20" s="14"/>
      <c r="AK20" s="14">
        <f t="shared" si="5"/>
        <v>0</v>
      </c>
      <c r="AL20" s="17">
        <v>5</v>
      </c>
      <c r="AM20" s="13"/>
      <c r="AN20" s="14"/>
      <c r="AO20" s="14"/>
      <c r="AP20" s="14">
        <f t="shared" si="6"/>
        <v>0</v>
      </c>
      <c r="AQ20" s="17">
        <v>5</v>
      </c>
      <c r="AR20" s="13"/>
      <c r="AS20" s="14"/>
      <c r="AT20" s="14"/>
      <c r="AU20" s="14">
        <f t="shared" si="7"/>
        <v>0</v>
      </c>
    </row>
    <row r="21" spans="1:47" s="2" customFormat="1" ht="90" customHeight="1">
      <c r="H21" s="17">
        <v>6</v>
      </c>
      <c r="I21" s="13"/>
      <c r="J21" s="14"/>
      <c r="K21" s="14"/>
      <c r="L21" s="14">
        <f t="shared" si="1"/>
        <v>0</v>
      </c>
      <c r="M21" s="17">
        <v>6</v>
      </c>
      <c r="N21" s="13"/>
      <c r="O21" s="14"/>
      <c r="P21" s="14"/>
      <c r="Q21" s="14">
        <f t="shared" si="0"/>
        <v>0</v>
      </c>
      <c r="R21" s="17">
        <v>6</v>
      </c>
      <c r="S21" s="13"/>
      <c r="T21" s="14"/>
      <c r="U21" s="14"/>
      <c r="V21" s="14">
        <f t="shared" si="2"/>
        <v>0</v>
      </c>
      <c r="W21" s="17">
        <v>6</v>
      </c>
      <c r="X21" s="13"/>
      <c r="Y21" s="14"/>
      <c r="Z21" s="14"/>
      <c r="AA21" s="14">
        <f t="shared" si="3"/>
        <v>0</v>
      </c>
      <c r="AB21" s="17">
        <v>6</v>
      </c>
      <c r="AC21" s="13"/>
      <c r="AD21" s="14"/>
      <c r="AE21" s="14"/>
      <c r="AF21" s="14">
        <f t="shared" si="4"/>
        <v>0</v>
      </c>
      <c r="AG21" s="17">
        <v>6</v>
      </c>
      <c r="AH21" s="13"/>
      <c r="AI21" s="14"/>
      <c r="AJ21" s="14"/>
      <c r="AK21" s="14">
        <f t="shared" si="5"/>
        <v>0</v>
      </c>
      <c r="AL21" s="17">
        <v>6</v>
      </c>
      <c r="AM21" s="13"/>
      <c r="AN21" s="14"/>
      <c r="AO21" s="14"/>
      <c r="AP21" s="14">
        <f t="shared" si="6"/>
        <v>0</v>
      </c>
      <c r="AQ21" s="17">
        <v>6</v>
      </c>
      <c r="AR21" s="13"/>
      <c r="AS21" s="14"/>
      <c r="AT21" s="14"/>
      <c r="AU21" s="14">
        <f t="shared" si="7"/>
        <v>0</v>
      </c>
    </row>
    <row r="22" spans="1:47" s="2" customFormat="1" ht="90" customHeight="1">
      <c r="H22" s="17">
        <v>7</v>
      </c>
      <c r="I22" s="13"/>
      <c r="J22" s="14"/>
      <c r="K22" s="14"/>
      <c r="L22" s="14">
        <f t="shared" si="1"/>
        <v>0</v>
      </c>
      <c r="M22" s="17">
        <v>7</v>
      </c>
      <c r="N22" s="13"/>
      <c r="O22" s="14"/>
      <c r="P22" s="14"/>
      <c r="Q22" s="14">
        <f t="shared" si="0"/>
        <v>0</v>
      </c>
      <c r="R22" s="17">
        <v>7</v>
      </c>
      <c r="S22" s="13"/>
      <c r="T22" s="14"/>
      <c r="U22" s="14"/>
      <c r="V22" s="14">
        <f t="shared" si="2"/>
        <v>0</v>
      </c>
      <c r="W22" s="17">
        <v>7</v>
      </c>
      <c r="X22" s="13"/>
      <c r="Y22" s="14"/>
      <c r="Z22" s="14"/>
      <c r="AA22" s="14">
        <f t="shared" si="3"/>
        <v>0</v>
      </c>
      <c r="AB22" s="17">
        <v>7</v>
      </c>
      <c r="AC22" s="13"/>
      <c r="AD22" s="14"/>
      <c r="AE22" s="14"/>
      <c r="AF22" s="14">
        <f t="shared" si="4"/>
        <v>0</v>
      </c>
      <c r="AG22" s="17">
        <v>7</v>
      </c>
      <c r="AH22" s="13"/>
      <c r="AI22" s="14"/>
      <c r="AJ22" s="14"/>
      <c r="AK22" s="14">
        <f t="shared" si="5"/>
        <v>0</v>
      </c>
      <c r="AL22" s="17">
        <v>7</v>
      </c>
      <c r="AM22" s="13"/>
      <c r="AN22" s="14"/>
      <c r="AO22" s="14"/>
      <c r="AP22" s="14">
        <f t="shared" si="6"/>
        <v>0</v>
      </c>
      <c r="AQ22" s="17">
        <v>7</v>
      </c>
      <c r="AR22" s="13"/>
      <c r="AS22" s="14"/>
      <c r="AT22" s="14"/>
      <c r="AU22" s="14">
        <f t="shared" si="7"/>
        <v>0</v>
      </c>
    </row>
    <row r="23" spans="1:47" s="2" customFormat="1" ht="90" customHeight="1">
      <c r="H23" s="17">
        <v>8</v>
      </c>
      <c r="I23" s="13"/>
      <c r="J23" s="14"/>
      <c r="K23" s="14"/>
      <c r="L23" s="14">
        <f t="shared" si="1"/>
        <v>0</v>
      </c>
      <c r="M23" s="17">
        <v>8</v>
      </c>
      <c r="N23" s="13"/>
      <c r="O23" s="14"/>
      <c r="P23" s="14"/>
      <c r="Q23" s="14">
        <f t="shared" si="0"/>
        <v>0</v>
      </c>
      <c r="R23" s="17">
        <v>8</v>
      </c>
      <c r="S23" s="13"/>
      <c r="T23" s="14"/>
      <c r="U23" s="14"/>
      <c r="V23" s="14">
        <f t="shared" si="2"/>
        <v>0</v>
      </c>
      <c r="W23" s="17">
        <v>8</v>
      </c>
      <c r="X23" s="13"/>
      <c r="Y23" s="14"/>
      <c r="Z23" s="14"/>
      <c r="AA23" s="14">
        <f t="shared" si="3"/>
        <v>0</v>
      </c>
      <c r="AB23" s="17">
        <v>8</v>
      </c>
      <c r="AC23" s="13"/>
      <c r="AD23" s="14"/>
      <c r="AE23" s="14"/>
      <c r="AF23" s="14">
        <f t="shared" si="4"/>
        <v>0</v>
      </c>
      <c r="AG23" s="17">
        <v>8</v>
      </c>
      <c r="AH23" s="13"/>
      <c r="AI23" s="14"/>
      <c r="AJ23" s="14"/>
      <c r="AK23" s="14">
        <f t="shared" si="5"/>
        <v>0</v>
      </c>
      <c r="AL23" s="17">
        <v>8</v>
      </c>
      <c r="AM23" s="13"/>
      <c r="AN23" s="14"/>
      <c r="AO23" s="14"/>
      <c r="AP23" s="14">
        <f t="shared" si="6"/>
        <v>0</v>
      </c>
      <c r="AQ23" s="17">
        <v>8</v>
      </c>
      <c r="AR23" s="13"/>
      <c r="AS23" s="14"/>
      <c r="AT23" s="14"/>
      <c r="AU23" s="14">
        <f t="shared" si="7"/>
        <v>0</v>
      </c>
    </row>
    <row r="24" spans="1:47" s="2" customFormat="1" ht="90" customHeight="1">
      <c r="H24" s="17">
        <v>9</v>
      </c>
      <c r="I24" s="13"/>
      <c r="J24" s="14"/>
      <c r="K24" s="14"/>
      <c r="L24" s="14">
        <f t="shared" si="1"/>
        <v>0</v>
      </c>
      <c r="M24" s="17">
        <v>9</v>
      </c>
      <c r="N24" s="13"/>
      <c r="O24" s="14"/>
      <c r="P24" s="14"/>
      <c r="Q24" s="14">
        <f t="shared" si="0"/>
        <v>0</v>
      </c>
      <c r="R24" s="17">
        <v>9</v>
      </c>
      <c r="S24" s="13"/>
      <c r="T24" s="14"/>
      <c r="U24" s="14"/>
      <c r="V24" s="14">
        <f t="shared" si="2"/>
        <v>0</v>
      </c>
      <c r="W24" s="17">
        <v>9</v>
      </c>
      <c r="X24" s="13"/>
      <c r="Y24" s="14"/>
      <c r="Z24" s="14"/>
      <c r="AA24" s="14">
        <f t="shared" si="3"/>
        <v>0</v>
      </c>
      <c r="AB24" s="17">
        <v>9</v>
      </c>
      <c r="AC24" s="13"/>
      <c r="AD24" s="14"/>
      <c r="AE24" s="14"/>
      <c r="AF24" s="14">
        <f t="shared" si="4"/>
        <v>0</v>
      </c>
      <c r="AG24" s="17">
        <v>9</v>
      </c>
      <c r="AH24" s="13"/>
      <c r="AI24" s="14"/>
      <c r="AJ24" s="14"/>
      <c r="AK24" s="14">
        <f t="shared" si="5"/>
        <v>0</v>
      </c>
      <c r="AL24" s="17">
        <v>9</v>
      </c>
      <c r="AM24" s="13"/>
      <c r="AN24" s="14"/>
      <c r="AO24" s="14"/>
      <c r="AP24" s="14">
        <f t="shared" si="6"/>
        <v>0</v>
      </c>
      <c r="AQ24" s="17">
        <v>9</v>
      </c>
      <c r="AR24" s="13"/>
      <c r="AS24" s="14"/>
      <c r="AT24" s="14"/>
      <c r="AU24" s="14">
        <f t="shared" si="7"/>
        <v>0</v>
      </c>
    </row>
    <row r="25" spans="1:47" s="2" customFormat="1" ht="90" customHeight="1">
      <c r="H25" s="17">
        <v>10</v>
      </c>
      <c r="I25" s="13"/>
      <c r="J25" s="14"/>
      <c r="K25" s="14"/>
      <c r="L25" s="14">
        <f t="shared" si="1"/>
        <v>0</v>
      </c>
      <c r="M25" s="17">
        <v>10</v>
      </c>
      <c r="N25" s="13"/>
      <c r="O25" s="14"/>
      <c r="P25" s="14"/>
      <c r="Q25" s="14">
        <f t="shared" si="0"/>
        <v>0</v>
      </c>
      <c r="R25" s="17">
        <v>10</v>
      </c>
      <c r="S25" s="13"/>
      <c r="T25" s="14"/>
      <c r="U25" s="14"/>
      <c r="V25" s="14">
        <f t="shared" si="2"/>
        <v>0</v>
      </c>
      <c r="W25" s="17">
        <v>10</v>
      </c>
      <c r="X25" s="13"/>
      <c r="Y25" s="14"/>
      <c r="Z25" s="14"/>
      <c r="AA25" s="14">
        <f t="shared" si="3"/>
        <v>0</v>
      </c>
      <c r="AB25" s="17">
        <v>10</v>
      </c>
      <c r="AC25" s="13"/>
      <c r="AD25" s="14"/>
      <c r="AE25" s="14"/>
      <c r="AF25" s="14">
        <f t="shared" si="4"/>
        <v>0</v>
      </c>
      <c r="AG25" s="17">
        <v>10</v>
      </c>
      <c r="AH25" s="13"/>
      <c r="AI25" s="14"/>
      <c r="AJ25" s="14"/>
      <c r="AK25" s="14">
        <f t="shared" si="5"/>
        <v>0</v>
      </c>
      <c r="AL25" s="17">
        <v>10</v>
      </c>
      <c r="AM25" s="13"/>
      <c r="AN25" s="14"/>
      <c r="AO25" s="14"/>
      <c r="AP25" s="14">
        <f t="shared" si="6"/>
        <v>0</v>
      </c>
      <c r="AQ25" s="17">
        <v>10</v>
      </c>
      <c r="AR25" s="13"/>
      <c r="AS25" s="14"/>
      <c r="AT25" s="14"/>
      <c r="AU25" s="14">
        <f t="shared" si="7"/>
        <v>0</v>
      </c>
    </row>
    <row r="26" spans="1:47" s="2" customFormat="1" ht="90" customHeight="1">
      <c r="H26" s="17">
        <v>11</v>
      </c>
      <c r="I26" s="13"/>
      <c r="J26" s="14"/>
      <c r="K26" s="14"/>
      <c r="L26" s="14">
        <f t="shared" si="1"/>
        <v>0</v>
      </c>
      <c r="M26" s="17">
        <v>11</v>
      </c>
      <c r="N26" s="13"/>
      <c r="O26" s="14"/>
      <c r="P26" s="14"/>
      <c r="Q26" s="14">
        <f t="shared" si="0"/>
        <v>0</v>
      </c>
      <c r="R26" s="17">
        <v>11</v>
      </c>
      <c r="S26" s="13"/>
      <c r="T26" s="14"/>
      <c r="U26" s="14"/>
      <c r="V26" s="14">
        <f t="shared" si="2"/>
        <v>0</v>
      </c>
      <c r="W26" s="17">
        <v>11</v>
      </c>
      <c r="X26" s="13"/>
      <c r="Y26" s="14"/>
      <c r="Z26" s="14"/>
      <c r="AA26" s="14">
        <f t="shared" si="3"/>
        <v>0</v>
      </c>
      <c r="AB26" s="17">
        <v>11</v>
      </c>
      <c r="AC26" s="13"/>
      <c r="AD26" s="14"/>
      <c r="AE26" s="14"/>
      <c r="AF26" s="14">
        <f t="shared" si="4"/>
        <v>0</v>
      </c>
      <c r="AG26" s="17">
        <v>11</v>
      </c>
      <c r="AH26" s="13"/>
      <c r="AI26" s="14"/>
      <c r="AJ26" s="14"/>
      <c r="AK26" s="14">
        <f t="shared" si="5"/>
        <v>0</v>
      </c>
      <c r="AL26" s="17">
        <v>11</v>
      </c>
      <c r="AM26" s="13"/>
      <c r="AN26" s="14"/>
      <c r="AO26" s="14"/>
      <c r="AP26" s="14">
        <f t="shared" si="6"/>
        <v>0</v>
      </c>
      <c r="AQ26" s="17">
        <v>11</v>
      </c>
      <c r="AR26" s="13"/>
      <c r="AS26" s="14"/>
      <c r="AT26" s="14"/>
      <c r="AU26" s="14">
        <f t="shared" si="7"/>
        <v>0</v>
      </c>
    </row>
    <row r="27" spans="1:47" s="2" customFormat="1" ht="90" customHeight="1">
      <c r="H27" s="17">
        <v>12</v>
      </c>
      <c r="I27" s="13"/>
      <c r="J27" s="14"/>
      <c r="K27" s="14"/>
      <c r="L27" s="14">
        <f t="shared" si="1"/>
        <v>0</v>
      </c>
      <c r="M27" s="17">
        <v>12</v>
      </c>
      <c r="N27" s="11"/>
      <c r="O27" s="14"/>
      <c r="P27" s="14"/>
      <c r="Q27" s="14">
        <f t="shared" si="0"/>
        <v>0</v>
      </c>
      <c r="R27" s="17">
        <v>12</v>
      </c>
      <c r="S27" s="13"/>
      <c r="T27" s="14"/>
      <c r="U27" s="14"/>
      <c r="V27" s="14">
        <f t="shared" si="2"/>
        <v>0</v>
      </c>
      <c r="W27" s="17">
        <v>12</v>
      </c>
      <c r="X27" s="13"/>
      <c r="Y27" s="14"/>
      <c r="Z27" s="14"/>
      <c r="AA27" s="14">
        <f t="shared" si="3"/>
        <v>0</v>
      </c>
      <c r="AB27" s="17">
        <v>12</v>
      </c>
      <c r="AC27" s="13"/>
      <c r="AD27" s="14"/>
      <c r="AE27" s="14"/>
      <c r="AF27" s="14">
        <f t="shared" si="4"/>
        <v>0</v>
      </c>
      <c r="AG27" s="17">
        <v>12</v>
      </c>
      <c r="AH27" s="13"/>
      <c r="AI27" s="14"/>
      <c r="AJ27" s="14"/>
      <c r="AK27" s="14">
        <f t="shared" si="5"/>
        <v>0</v>
      </c>
      <c r="AL27" s="17">
        <v>12</v>
      </c>
      <c r="AM27" s="13"/>
      <c r="AN27" s="14"/>
      <c r="AO27" s="14"/>
      <c r="AP27" s="14">
        <f t="shared" si="6"/>
        <v>0</v>
      </c>
      <c r="AQ27" s="17">
        <v>12</v>
      </c>
      <c r="AR27" s="13"/>
      <c r="AS27" s="14"/>
      <c r="AT27" s="14"/>
      <c r="AU27" s="14">
        <f t="shared" si="7"/>
        <v>0</v>
      </c>
    </row>
    <row r="28" spans="1:47" s="2" customFormat="1" ht="90" customHeight="1">
      <c r="H28" s="17">
        <v>13</v>
      </c>
      <c r="I28" s="13"/>
      <c r="J28" s="14"/>
      <c r="K28" s="14"/>
      <c r="L28" s="14">
        <f t="shared" si="1"/>
        <v>0</v>
      </c>
      <c r="M28" s="17">
        <v>13</v>
      </c>
      <c r="N28" s="13"/>
      <c r="O28" s="14"/>
      <c r="P28" s="14"/>
      <c r="Q28" s="14">
        <f t="shared" si="0"/>
        <v>0</v>
      </c>
      <c r="R28" s="17">
        <v>13</v>
      </c>
      <c r="S28" s="13"/>
      <c r="T28" s="14"/>
      <c r="U28" s="14"/>
      <c r="V28" s="14">
        <f t="shared" si="2"/>
        <v>0</v>
      </c>
      <c r="W28" s="17">
        <v>13</v>
      </c>
      <c r="X28" s="13"/>
      <c r="Y28" s="14"/>
      <c r="Z28" s="14"/>
      <c r="AA28" s="14">
        <f t="shared" si="3"/>
        <v>0</v>
      </c>
      <c r="AB28" s="17">
        <v>13</v>
      </c>
      <c r="AC28" s="13"/>
      <c r="AD28" s="14"/>
      <c r="AE28" s="14"/>
      <c r="AF28" s="14">
        <f t="shared" si="4"/>
        <v>0</v>
      </c>
      <c r="AG28" s="17">
        <v>13</v>
      </c>
      <c r="AH28" s="13"/>
      <c r="AI28" s="14"/>
      <c r="AJ28" s="14"/>
      <c r="AK28" s="14">
        <f t="shared" si="5"/>
        <v>0</v>
      </c>
      <c r="AL28" s="17">
        <v>13</v>
      </c>
      <c r="AM28" s="13"/>
      <c r="AN28" s="14"/>
      <c r="AO28" s="14"/>
      <c r="AP28" s="14">
        <f t="shared" si="6"/>
        <v>0</v>
      </c>
      <c r="AQ28" s="17">
        <v>13</v>
      </c>
      <c r="AR28" s="13"/>
      <c r="AS28" s="14"/>
      <c r="AT28" s="14"/>
      <c r="AU28" s="14">
        <f t="shared" si="7"/>
        <v>0</v>
      </c>
    </row>
    <row r="29" spans="1:47" s="2" customFormat="1" ht="90" customHeight="1">
      <c r="H29" s="17">
        <v>14</v>
      </c>
      <c r="I29" s="13"/>
      <c r="J29" s="14"/>
      <c r="K29" s="14"/>
      <c r="L29" s="14">
        <f t="shared" si="1"/>
        <v>0</v>
      </c>
      <c r="M29" s="17">
        <v>14</v>
      </c>
      <c r="N29" s="13"/>
      <c r="O29" s="14"/>
      <c r="P29" s="14"/>
      <c r="Q29" s="14">
        <f t="shared" si="0"/>
        <v>0</v>
      </c>
      <c r="R29" s="17">
        <v>14</v>
      </c>
      <c r="S29" s="13"/>
      <c r="T29" s="14"/>
      <c r="U29" s="14"/>
      <c r="V29" s="14">
        <f t="shared" si="2"/>
        <v>0</v>
      </c>
      <c r="W29" s="17">
        <v>14</v>
      </c>
      <c r="X29" s="13"/>
      <c r="Y29" s="14"/>
      <c r="Z29" s="14"/>
      <c r="AA29" s="14">
        <f t="shared" si="3"/>
        <v>0</v>
      </c>
      <c r="AB29" s="17">
        <v>14</v>
      </c>
      <c r="AC29" s="13"/>
      <c r="AD29" s="14"/>
      <c r="AE29" s="14"/>
      <c r="AF29" s="14">
        <f t="shared" si="4"/>
        <v>0</v>
      </c>
      <c r="AG29" s="17">
        <v>14</v>
      </c>
      <c r="AH29" s="13"/>
      <c r="AI29" s="14"/>
      <c r="AJ29" s="14"/>
      <c r="AK29" s="14">
        <f t="shared" si="5"/>
        <v>0</v>
      </c>
      <c r="AL29" s="17">
        <v>14</v>
      </c>
      <c r="AM29" s="13"/>
      <c r="AN29" s="14"/>
      <c r="AO29" s="14"/>
      <c r="AP29" s="14">
        <f t="shared" si="6"/>
        <v>0</v>
      </c>
      <c r="AQ29" s="17">
        <v>14</v>
      </c>
      <c r="AR29" s="13"/>
      <c r="AS29" s="14"/>
      <c r="AT29" s="12"/>
      <c r="AU29" s="14">
        <f t="shared" si="7"/>
        <v>0</v>
      </c>
    </row>
    <row r="30" spans="1:47" s="2" customFormat="1" ht="90" customHeight="1">
      <c r="H30" s="17">
        <v>15</v>
      </c>
      <c r="I30" s="13"/>
      <c r="J30" s="14"/>
      <c r="K30" s="14"/>
      <c r="L30" s="14">
        <f t="shared" si="1"/>
        <v>0</v>
      </c>
      <c r="M30" s="17">
        <v>15</v>
      </c>
      <c r="N30" s="13"/>
      <c r="O30" s="14"/>
      <c r="P30" s="14"/>
      <c r="Q30" s="14">
        <f t="shared" si="0"/>
        <v>0</v>
      </c>
      <c r="R30" s="17">
        <v>15</v>
      </c>
      <c r="S30" s="13"/>
      <c r="T30" s="14"/>
      <c r="U30" s="14"/>
      <c r="V30" s="14">
        <f t="shared" si="2"/>
        <v>0</v>
      </c>
      <c r="W30" s="17">
        <v>15</v>
      </c>
      <c r="X30" s="13"/>
      <c r="Y30" s="14"/>
      <c r="Z30" s="14"/>
      <c r="AA30" s="14">
        <f t="shared" si="3"/>
        <v>0</v>
      </c>
      <c r="AB30" s="17">
        <v>15</v>
      </c>
      <c r="AC30" s="13"/>
      <c r="AD30" s="14"/>
      <c r="AE30" s="14"/>
      <c r="AF30" s="14">
        <f t="shared" si="4"/>
        <v>0</v>
      </c>
      <c r="AG30" s="17">
        <v>15</v>
      </c>
      <c r="AH30" s="13"/>
      <c r="AI30" s="14"/>
      <c r="AJ30" s="14"/>
      <c r="AK30" s="14">
        <f t="shared" si="5"/>
        <v>0</v>
      </c>
      <c r="AL30" s="17">
        <v>15</v>
      </c>
      <c r="AM30" s="13"/>
      <c r="AN30" s="14"/>
      <c r="AO30" s="14"/>
      <c r="AP30" s="14">
        <f t="shared" si="6"/>
        <v>0</v>
      </c>
      <c r="AQ30" s="17">
        <v>15</v>
      </c>
      <c r="AR30" s="13"/>
      <c r="AS30" s="14"/>
      <c r="AT30" s="14"/>
      <c r="AU30" s="14">
        <f t="shared" si="7"/>
        <v>0</v>
      </c>
    </row>
    <row r="31" spans="1:47" s="2" customFormat="1" ht="90" customHeight="1">
      <c r="H31" s="17">
        <v>16</v>
      </c>
      <c r="I31" s="13"/>
      <c r="J31" s="14"/>
      <c r="K31" s="14"/>
      <c r="L31" s="14">
        <f t="shared" si="1"/>
        <v>0</v>
      </c>
      <c r="M31" s="17">
        <v>16</v>
      </c>
      <c r="N31" s="13"/>
      <c r="O31" s="14"/>
      <c r="P31" s="14"/>
      <c r="Q31" s="14">
        <f t="shared" si="0"/>
        <v>0</v>
      </c>
      <c r="R31" s="17">
        <v>16</v>
      </c>
      <c r="S31" s="13"/>
      <c r="T31" s="14"/>
      <c r="U31" s="14"/>
      <c r="V31" s="14">
        <f t="shared" si="2"/>
        <v>0</v>
      </c>
      <c r="W31" s="17">
        <v>16</v>
      </c>
      <c r="X31" s="13"/>
      <c r="Y31" s="14"/>
      <c r="Z31" s="14"/>
      <c r="AA31" s="14">
        <f t="shared" si="3"/>
        <v>0</v>
      </c>
      <c r="AB31" s="17">
        <v>16</v>
      </c>
      <c r="AC31" s="13"/>
      <c r="AD31" s="14"/>
      <c r="AE31" s="14"/>
      <c r="AF31" s="14">
        <f t="shared" si="4"/>
        <v>0</v>
      </c>
      <c r="AG31" s="17">
        <v>16</v>
      </c>
      <c r="AH31" s="13"/>
      <c r="AI31" s="14"/>
      <c r="AJ31" s="14"/>
      <c r="AK31" s="14">
        <f t="shared" si="5"/>
        <v>0</v>
      </c>
      <c r="AL31" s="17">
        <v>16</v>
      </c>
      <c r="AM31" s="13"/>
      <c r="AN31" s="14"/>
      <c r="AO31" s="14"/>
      <c r="AP31" s="14">
        <f t="shared" si="6"/>
        <v>0</v>
      </c>
      <c r="AQ31" s="17">
        <v>16</v>
      </c>
      <c r="AR31" s="13"/>
      <c r="AS31" s="14"/>
      <c r="AT31" s="14"/>
      <c r="AU31" s="14">
        <f t="shared" si="7"/>
        <v>0</v>
      </c>
    </row>
    <row r="32" spans="1:47" s="2" customFormat="1" ht="90" customHeight="1">
      <c r="H32" s="17">
        <v>17</v>
      </c>
      <c r="I32" s="13"/>
      <c r="J32" s="14"/>
      <c r="K32" s="14"/>
      <c r="L32" s="14">
        <f t="shared" si="1"/>
        <v>0</v>
      </c>
      <c r="M32" s="17">
        <v>17</v>
      </c>
      <c r="N32" s="13"/>
      <c r="O32" s="14"/>
      <c r="P32" s="14"/>
      <c r="Q32" s="14">
        <f t="shared" si="0"/>
        <v>0</v>
      </c>
      <c r="R32" s="17">
        <v>17</v>
      </c>
      <c r="S32" s="13"/>
      <c r="T32" s="14"/>
      <c r="U32" s="14"/>
      <c r="V32" s="14">
        <f t="shared" si="2"/>
        <v>0</v>
      </c>
      <c r="W32" s="17">
        <v>17</v>
      </c>
      <c r="X32" s="13"/>
      <c r="Y32" s="14"/>
      <c r="Z32" s="14"/>
      <c r="AA32" s="14">
        <f t="shared" si="3"/>
        <v>0</v>
      </c>
      <c r="AB32" s="17">
        <v>17</v>
      </c>
      <c r="AC32" s="13"/>
      <c r="AD32" s="14"/>
      <c r="AE32" s="14"/>
      <c r="AF32" s="14">
        <f t="shared" si="4"/>
        <v>0</v>
      </c>
      <c r="AG32" s="17">
        <v>17</v>
      </c>
      <c r="AH32" s="13"/>
      <c r="AI32" s="14"/>
      <c r="AJ32" s="14"/>
      <c r="AK32" s="14">
        <f t="shared" si="5"/>
        <v>0</v>
      </c>
      <c r="AL32" s="17">
        <v>17</v>
      </c>
      <c r="AM32" s="13"/>
      <c r="AN32" s="14"/>
      <c r="AO32" s="14"/>
      <c r="AP32" s="14">
        <f t="shared" si="6"/>
        <v>0</v>
      </c>
      <c r="AQ32" s="17">
        <v>17</v>
      </c>
      <c r="AR32" s="13"/>
      <c r="AS32" s="14"/>
      <c r="AT32" s="14"/>
      <c r="AU32" s="14">
        <f t="shared" si="7"/>
        <v>0</v>
      </c>
    </row>
    <row r="33" spans="8:47" s="2" customFormat="1" ht="90" customHeight="1">
      <c r="H33" s="17">
        <v>18</v>
      </c>
      <c r="I33" s="13"/>
      <c r="J33" s="14"/>
      <c r="K33" s="14"/>
      <c r="L33" s="14">
        <f t="shared" si="1"/>
        <v>0</v>
      </c>
      <c r="M33" s="17">
        <v>18</v>
      </c>
      <c r="N33" s="11"/>
      <c r="O33" s="12"/>
      <c r="P33" s="12"/>
      <c r="Q33" s="14">
        <f t="shared" si="0"/>
        <v>0</v>
      </c>
      <c r="R33" s="17">
        <v>18</v>
      </c>
      <c r="S33" s="13"/>
      <c r="T33" s="14"/>
      <c r="U33" s="14"/>
      <c r="V33" s="14">
        <f t="shared" si="2"/>
        <v>0</v>
      </c>
      <c r="W33" s="17">
        <v>18</v>
      </c>
      <c r="X33" s="13"/>
      <c r="Y33" s="14"/>
      <c r="Z33" s="14"/>
      <c r="AA33" s="14">
        <f t="shared" si="3"/>
        <v>0</v>
      </c>
      <c r="AB33" s="17">
        <v>18</v>
      </c>
      <c r="AC33" s="13"/>
      <c r="AD33" s="14"/>
      <c r="AE33" s="14"/>
      <c r="AF33" s="14">
        <f t="shared" si="4"/>
        <v>0</v>
      </c>
      <c r="AG33" s="17">
        <v>18</v>
      </c>
      <c r="AH33" s="13"/>
      <c r="AI33" s="14"/>
      <c r="AJ33" s="14"/>
      <c r="AK33" s="14">
        <f t="shared" si="5"/>
        <v>0</v>
      </c>
      <c r="AL33" s="17">
        <v>18</v>
      </c>
      <c r="AM33" s="13"/>
      <c r="AN33" s="14"/>
      <c r="AO33" s="14"/>
      <c r="AP33" s="14">
        <f t="shared" si="6"/>
        <v>0</v>
      </c>
      <c r="AQ33" s="17">
        <v>18</v>
      </c>
      <c r="AR33" s="13"/>
      <c r="AS33" s="14"/>
      <c r="AT33" s="14"/>
      <c r="AU33" s="14">
        <f t="shared" si="7"/>
        <v>0</v>
      </c>
    </row>
    <row r="34" spans="8:47" s="2" customFormat="1" ht="90" customHeight="1">
      <c r="H34" s="17">
        <v>19</v>
      </c>
      <c r="I34" s="13"/>
      <c r="J34" s="14"/>
      <c r="K34" s="14"/>
      <c r="L34" s="14">
        <f t="shared" si="1"/>
        <v>0</v>
      </c>
      <c r="M34" s="17">
        <v>19</v>
      </c>
      <c r="N34" s="11"/>
      <c r="O34" s="14"/>
      <c r="P34" s="14"/>
      <c r="Q34" s="14">
        <f t="shared" si="0"/>
        <v>0</v>
      </c>
      <c r="R34" s="17">
        <v>19</v>
      </c>
      <c r="S34" s="13"/>
      <c r="T34" s="14"/>
      <c r="U34" s="14"/>
      <c r="V34" s="14">
        <f t="shared" si="2"/>
        <v>0</v>
      </c>
      <c r="W34" s="17">
        <v>19</v>
      </c>
      <c r="X34" s="13"/>
      <c r="Y34" s="14"/>
      <c r="Z34" s="14"/>
      <c r="AA34" s="14">
        <f t="shared" si="3"/>
        <v>0</v>
      </c>
      <c r="AB34" s="17">
        <v>19</v>
      </c>
      <c r="AC34" s="13"/>
      <c r="AD34" s="14"/>
      <c r="AE34" s="14"/>
      <c r="AF34" s="14">
        <f t="shared" si="4"/>
        <v>0</v>
      </c>
      <c r="AG34" s="17">
        <v>19</v>
      </c>
      <c r="AH34" s="13"/>
      <c r="AI34" s="14"/>
      <c r="AJ34" s="14"/>
      <c r="AK34" s="14">
        <f t="shared" si="5"/>
        <v>0</v>
      </c>
      <c r="AL34" s="17">
        <v>19</v>
      </c>
      <c r="AM34" s="13"/>
      <c r="AN34" s="14"/>
      <c r="AO34" s="14"/>
      <c r="AP34" s="14">
        <f t="shared" si="6"/>
        <v>0</v>
      </c>
      <c r="AQ34" s="17">
        <v>19</v>
      </c>
      <c r="AR34" s="13"/>
      <c r="AS34" s="14"/>
      <c r="AT34" s="14"/>
      <c r="AU34" s="14">
        <f t="shared" si="7"/>
        <v>0</v>
      </c>
    </row>
    <row r="35" spans="8:47" s="2" customFormat="1" ht="90" customHeight="1">
      <c r="H35" s="17">
        <v>20</v>
      </c>
      <c r="I35" s="13"/>
      <c r="J35" s="14"/>
      <c r="K35" s="14"/>
      <c r="L35" s="14">
        <f t="shared" si="1"/>
        <v>0</v>
      </c>
      <c r="M35" s="17">
        <v>20</v>
      </c>
      <c r="N35" s="13"/>
      <c r="O35" s="14"/>
      <c r="P35" s="14"/>
      <c r="Q35" s="14">
        <f t="shared" si="0"/>
        <v>0</v>
      </c>
      <c r="R35" s="17">
        <v>20</v>
      </c>
      <c r="S35" s="13"/>
      <c r="T35" s="14"/>
      <c r="U35" s="14"/>
      <c r="V35" s="14">
        <f t="shared" si="2"/>
        <v>0</v>
      </c>
      <c r="W35" s="17">
        <v>20</v>
      </c>
      <c r="X35" s="13"/>
      <c r="Y35" s="14"/>
      <c r="Z35" s="14"/>
      <c r="AA35" s="14">
        <f t="shared" si="3"/>
        <v>0</v>
      </c>
      <c r="AB35" s="17">
        <v>20</v>
      </c>
      <c r="AC35" s="13"/>
      <c r="AD35" s="14"/>
      <c r="AE35" s="14"/>
      <c r="AF35" s="14">
        <f t="shared" si="4"/>
        <v>0</v>
      </c>
      <c r="AG35" s="17">
        <v>20</v>
      </c>
      <c r="AH35" s="13"/>
      <c r="AI35" s="14"/>
      <c r="AJ35" s="14"/>
      <c r="AK35" s="14">
        <f t="shared" si="5"/>
        <v>0</v>
      </c>
      <c r="AL35" s="17">
        <v>20</v>
      </c>
      <c r="AM35" s="13"/>
      <c r="AN35" s="14"/>
      <c r="AO35" s="14"/>
      <c r="AP35" s="14">
        <f t="shared" si="6"/>
        <v>0</v>
      </c>
      <c r="AQ35" s="17">
        <v>20</v>
      </c>
      <c r="AR35" s="13"/>
      <c r="AS35" s="14"/>
      <c r="AT35" s="14"/>
      <c r="AU35" s="14">
        <f t="shared" si="7"/>
        <v>0</v>
      </c>
    </row>
    <row r="36" spans="8:47" s="2" customFormat="1" ht="90" customHeight="1">
      <c r="H36" s="17">
        <v>21</v>
      </c>
      <c r="I36" s="13"/>
      <c r="J36" s="14"/>
      <c r="K36" s="14"/>
      <c r="L36" s="14">
        <f t="shared" si="1"/>
        <v>0</v>
      </c>
      <c r="M36" s="17">
        <v>21</v>
      </c>
      <c r="N36" s="13"/>
      <c r="O36" s="14"/>
      <c r="P36" s="14"/>
      <c r="Q36" s="14">
        <f t="shared" si="0"/>
        <v>0</v>
      </c>
      <c r="R36" s="17">
        <v>21</v>
      </c>
      <c r="S36" s="13"/>
      <c r="T36" s="14"/>
      <c r="U36" s="14"/>
      <c r="V36" s="14">
        <f t="shared" si="2"/>
        <v>0</v>
      </c>
      <c r="W36" s="17">
        <v>21</v>
      </c>
      <c r="X36" s="13"/>
      <c r="Y36" s="14"/>
      <c r="Z36" s="14"/>
      <c r="AA36" s="14">
        <f t="shared" si="3"/>
        <v>0</v>
      </c>
      <c r="AB36" s="17">
        <v>21</v>
      </c>
      <c r="AC36" s="13"/>
      <c r="AD36" s="14"/>
      <c r="AE36" s="14"/>
      <c r="AF36" s="14">
        <f t="shared" si="4"/>
        <v>0</v>
      </c>
      <c r="AG36" s="17">
        <v>21</v>
      </c>
      <c r="AH36" s="13"/>
      <c r="AI36" s="14"/>
      <c r="AJ36" s="14"/>
      <c r="AK36" s="14">
        <f t="shared" si="5"/>
        <v>0</v>
      </c>
      <c r="AL36" s="17">
        <v>21</v>
      </c>
      <c r="AM36" s="13"/>
      <c r="AN36" s="14"/>
      <c r="AO36" s="14"/>
      <c r="AP36" s="14">
        <f t="shared" si="6"/>
        <v>0</v>
      </c>
      <c r="AQ36" s="17">
        <v>21</v>
      </c>
      <c r="AR36" s="13"/>
      <c r="AS36" s="14"/>
      <c r="AT36" s="14"/>
      <c r="AU36" s="14">
        <f t="shared" si="7"/>
        <v>0</v>
      </c>
    </row>
    <row r="37" spans="8:47" s="2" customFormat="1" ht="90" customHeight="1">
      <c r="H37" s="17">
        <v>22</v>
      </c>
      <c r="I37" s="13"/>
      <c r="J37" s="14"/>
      <c r="K37" s="14"/>
      <c r="L37" s="14">
        <f t="shared" si="1"/>
        <v>0</v>
      </c>
      <c r="M37" s="17">
        <v>22</v>
      </c>
      <c r="N37" s="13"/>
      <c r="O37" s="14"/>
      <c r="P37" s="14"/>
      <c r="Q37" s="14">
        <f t="shared" si="0"/>
        <v>0</v>
      </c>
      <c r="R37" s="17">
        <v>22</v>
      </c>
      <c r="S37" s="13"/>
      <c r="T37" s="14"/>
      <c r="U37" s="14"/>
      <c r="V37" s="14">
        <f t="shared" si="2"/>
        <v>0</v>
      </c>
      <c r="W37" s="17">
        <v>22</v>
      </c>
      <c r="X37" s="13"/>
      <c r="Y37" s="14"/>
      <c r="Z37" s="14"/>
      <c r="AA37" s="14">
        <f t="shared" si="3"/>
        <v>0</v>
      </c>
      <c r="AB37" s="17">
        <v>22</v>
      </c>
      <c r="AC37" s="13"/>
      <c r="AD37" s="14"/>
      <c r="AE37" s="14"/>
      <c r="AF37" s="14">
        <f t="shared" si="4"/>
        <v>0</v>
      </c>
      <c r="AG37" s="17">
        <v>22</v>
      </c>
      <c r="AH37" s="13"/>
      <c r="AI37" s="14"/>
      <c r="AJ37" s="14"/>
      <c r="AK37" s="14">
        <f t="shared" si="5"/>
        <v>0</v>
      </c>
      <c r="AL37" s="17">
        <v>22</v>
      </c>
      <c r="AM37" s="13"/>
      <c r="AN37" s="14"/>
      <c r="AO37" s="14"/>
      <c r="AP37" s="14">
        <f t="shared" si="6"/>
        <v>0</v>
      </c>
      <c r="AQ37" s="17">
        <v>22</v>
      </c>
      <c r="AR37" s="13"/>
      <c r="AS37" s="14"/>
      <c r="AT37" s="14"/>
      <c r="AU37" s="14">
        <f t="shared" si="7"/>
        <v>0</v>
      </c>
    </row>
    <row r="38" spans="8:47" s="2" customFormat="1" ht="90" customHeight="1">
      <c r="H38" s="17">
        <v>23</v>
      </c>
      <c r="I38" s="13"/>
      <c r="J38" s="14"/>
      <c r="K38" s="14"/>
      <c r="L38" s="14">
        <f t="shared" si="1"/>
        <v>0</v>
      </c>
      <c r="M38" s="17">
        <v>23</v>
      </c>
      <c r="N38" s="13"/>
      <c r="O38" s="14"/>
      <c r="P38" s="14"/>
      <c r="Q38" s="14">
        <f t="shared" si="0"/>
        <v>0</v>
      </c>
      <c r="R38" s="17">
        <v>23</v>
      </c>
      <c r="S38" s="13"/>
      <c r="T38" s="14"/>
      <c r="U38" s="14"/>
      <c r="V38" s="14">
        <f t="shared" si="2"/>
        <v>0</v>
      </c>
      <c r="W38" s="17">
        <v>23</v>
      </c>
      <c r="X38" s="13"/>
      <c r="Y38" s="14"/>
      <c r="Z38" s="14"/>
      <c r="AA38" s="14">
        <f t="shared" si="3"/>
        <v>0</v>
      </c>
      <c r="AB38" s="17">
        <v>23</v>
      </c>
      <c r="AC38" s="13"/>
      <c r="AD38" s="14"/>
      <c r="AE38" s="14"/>
      <c r="AF38" s="14">
        <f t="shared" si="4"/>
        <v>0</v>
      </c>
      <c r="AG38" s="17">
        <v>23</v>
      </c>
      <c r="AH38" s="13"/>
      <c r="AI38" s="14"/>
      <c r="AJ38" s="14"/>
      <c r="AK38" s="14">
        <f t="shared" si="5"/>
        <v>0</v>
      </c>
      <c r="AL38" s="17">
        <v>23</v>
      </c>
      <c r="AM38" s="13"/>
      <c r="AN38" s="14"/>
      <c r="AO38" s="14"/>
      <c r="AP38" s="14">
        <f t="shared" si="6"/>
        <v>0</v>
      </c>
      <c r="AQ38" s="17">
        <v>23</v>
      </c>
      <c r="AR38" s="13"/>
      <c r="AS38" s="14"/>
      <c r="AT38" s="14"/>
      <c r="AU38" s="14">
        <f t="shared" si="7"/>
        <v>0</v>
      </c>
    </row>
    <row r="39" spans="8:47" s="2" customFormat="1" ht="90" customHeight="1">
      <c r="H39" s="17">
        <v>24</v>
      </c>
      <c r="I39" s="13"/>
      <c r="J39" s="14"/>
      <c r="K39" s="14"/>
      <c r="L39" s="14">
        <f t="shared" si="1"/>
        <v>0</v>
      </c>
      <c r="M39" s="17">
        <v>24</v>
      </c>
      <c r="N39" s="13"/>
      <c r="O39" s="14"/>
      <c r="P39" s="14"/>
      <c r="Q39" s="14">
        <f t="shared" si="0"/>
        <v>0</v>
      </c>
      <c r="R39" s="17">
        <v>24</v>
      </c>
      <c r="S39" s="13"/>
      <c r="T39" s="14"/>
      <c r="U39" s="14"/>
      <c r="V39" s="14">
        <f t="shared" si="2"/>
        <v>0</v>
      </c>
      <c r="W39" s="17">
        <v>24</v>
      </c>
      <c r="X39" s="13"/>
      <c r="Y39" s="14"/>
      <c r="Z39" s="14"/>
      <c r="AA39" s="14">
        <f t="shared" si="3"/>
        <v>0</v>
      </c>
      <c r="AB39" s="17">
        <v>24</v>
      </c>
      <c r="AC39" s="13"/>
      <c r="AD39" s="14"/>
      <c r="AE39" s="14"/>
      <c r="AF39" s="14">
        <f t="shared" si="4"/>
        <v>0</v>
      </c>
      <c r="AG39" s="17">
        <v>24</v>
      </c>
      <c r="AH39" s="13"/>
      <c r="AI39" s="14"/>
      <c r="AJ39" s="14"/>
      <c r="AK39" s="14">
        <f t="shared" si="5"/>
        <v>0</v>
      </c>
      <c r="AL39" s="17">
        <v>24</v>
      </c>
      <c r="AM39" s="13"/>
      <c r="AN39" s="14"/>
      <c r="AO39" s="14"/>
      <c r="AP39" s="14">
        <f t="shared" si="6"/>
        <v>0</v>
      </c>
      <c r="AQ39" s="17">
        <v>24</v>
      </c>
      <c r="AR39" s="13"/>
      <c r="AS39" s="14"/>
      <c r="AT39" s="14"/>
      <c r="AU39" s="14">
        <f t="shared" si="7"/>
        <v>0</v>
      </c>
    </row>
    <row r="40" spans="8:47" s="2" customFormat="1" ht="90" customHeight="1">
      <c r="H40" s="17">
        <v>25</v>
      </c>
      <c r="I40" s="13"/>
      <c r="J40" s="14"/>
      <c r="K40" s="14"/>
      <c r="L40" s="14">
        <f t="shared" si="1"/>
        <v>0</v>
      </c>
      <c r="M40" s="17">
        <v>25</v>
      </c>
      <c r="N40" s="13"/>
      <c r="O40" s="14"/>
      <c r="P40" s="14"/>
      <c r="Q40" s="14">
        <f t="shared" si="0"/>
        <v>0</v>
      </c>
      <c r="R40" s="17">
        <v>25</v>
      </c>
      <c r="S40" s="13"/>
      <c r="T40" s="14"/>
      <c r="U40" s="14"/>
      <c r="V40" s="14">
        <f t="shared" si="2"/>
        <v>0</v>
      </c>
      <c r="W40" s="17">
        <v>25</v>
      </c>
      <c r="X40" s="13"/>
      <c r="Y40" s="14"/>
      <c r="Z40" s="14"/>
      <c r="AA40" s="14">
        <f t="shared" si="3"/>
        <v>0</v>
      </c>
      <c r="AB40" s="17">
        <v>25</v>
      </c>
      <c r="AC40" s="13"/>
      <c r="AD40" s="14"/>
      <c r="AE40" s="14"/>
      <c r="AF40" s="14">
        <f t="shared" si="4"/>
        <v>0</v>
      </c>
      <c r="AG40" s="17">
        <v>25</v>
      </c>
      <c r="AH40" s="13"/>
      <c r="AI40" s="14"/>
      <c r="AJ40" s="14"/>
      <c r="AK40" s="14">
        <f t="shared" si="5"/>
        <v>0</v>
      </c>
      <c r="AL40" s="17">
        <v>25</v>
      </c>
      <c r="AM40" s="13"/>
      <c r="AN40" s="14"/>
      <c r="AO40" s="14"/>
      <c r="AP40" s="14">
        <f t="shared" si="6"/>
        <v>0</v>
      </c>
      <c r="AQ40" s="17">
        <v>25</v>
      </c>
      <c r="AR40" s="13"/>
      <c r="AS40" s="14"/>
      <c r="AT40" s="14"/>
      <c r="AU40" s="14">
        <f t="shared" si="7"/>
        <v>0</v>
      </c>
    </row>
    <row r="41" spans="8:47" s="2" customFormat="1" ht="90" customHeight="1">
      <c r="H41" s="17">
        <v>26</v>
      </c>
      <c r="I41" s="13"/>
      <c r="J41" s="14"/>
      <c r="K41" s="14"/>
      <c r="L41" s="14">
        <f t="shared" si="1"/>
        <v>0</v>
      </c>
      <c r="M41" s="17">
        <v>26</v>
      </c>
      <c r="N41" s="13"/>
      <c r="O41" s="14"/>
      <c r="P41" s="14"/>
      <c r="Q41" s="14">
        <f t="shared" si="0"/>
        <v>0</v>
      </c>
      <c r="R41" s="17">
        <v>26</v>
      </c>
      <c r="S41" s="13"/>
      <c r="T41" s="14"/>
      <c r="U41" s="14"/>
      <c r="V41" s="14">
        <f t="shared" si="2"/>
        <v>0</v>
      </c>
      <c r="W41" s="17">
        <v>26</v>
      </c>
      <c r="X41" s="13"/>
      <c r="Y41" s="14"/>
      <c r="Z41" s="14"/>
      <c r="AA41" s="14">
        <f t="shared" si="3"/>
        <v>0</v>
      </c>
      <c r="AB41" s="17">
        <v>26</v>
      </c>
      <c r="AC41" s="13"/>
      <c r="AD41" s="14"/>
      <c r="AE41" s="14"/>
      <c r="AF41" s="14">
        <f t="shared" si="4"/>
        <v>0</v>
      </c>
      <c r="AG41" s="17">
        <v>26</v>
      </c>
      <c r="AH41" s="13"/>
      <c r="AI41" s="14"/>
      <c r="AJ41" s="14"/>
      <c r="AK41" s="14">
        <f t="shared" si="5"/>
        <v>0</v>
      </c>
      <c r="AL41" s="17">
        <v>26</v>
      </c>
      <c r="AM41" s="13"/>
      <c r="AN41" s="14"/>
      <c r="AO41" s="14"/>
      <c r="AP41" s="14">
        <f t="shared" si="6"/>
        <v>0</v>
      </c>
      <c r="AQ41" s="17">
        <v>26</v>
      </c>
      <c r="AR41" s="13"/>
      <c r="AS41" s="14"/>
      <c r="AT41" s="14"/>
      <c r="AU41" s="14">
        <f t="shared" si="7"/>
        <v>0</v>
      </c>
    </row>
    <row r="42" spans="8:47" s="2" customFormat="1" ht="90" customHeight="1">
      <c r="H42" s="17">
        <v>27</v>
      </c>
      <c r="I42" s="13"/>
      <c r="J42" s="14"/>
      <c r="K42" s="14"/>
      <c r="L42" s="14">
        <f t="shared" si="1"/>
        <v>0</v>
      </c>
      <c r="M42" s="17">
        <v>27</v>
      </c>
      <c r="N42" s="13"/>
      <c r="O42" s="14"/>
      <c r="P42" s="14"/>
      <c r="Q42" s="14">
        <f t="shared" si="0"/>
        <v>0</v>
      </c>
      <c r="R42" s="17">
        <v>27</v>
      </c>
      <c r="S42" s="13"/>
      <c r="T42" s="14"/>
      <c r="U42" s="14"/>
      <c r="V42" s="14">
        <f t="shared" si="2"/>
        <v>0</v>
      </c>
      <c r="W42" s="17">
        <v>27</v>
      </c>
      <c r="X42" s="13"/>
      <c r="Y42" s="14"/>
      <c r="Z42" s="14"/>
      <c r="AA42" s="14">
        <f t="shared" si="3"/>
        <v>0</v>
      </c>
      <c r="AB42" s="17">
        <v>27</v>
      </c>
      <c r="AC42" s="13"/>
      <c r="AD42" s="14"/>
      <c r="AE42" s="14"/>
      <c r="AF42" s="14">
        <f t="shared" si="4"/>
        <v>0</v>
      </c>
      <c r="AG42" s="17">
        <v>27</v>
      </c>
      <c r="AH42" s="13"/>
      <c r="AI42" s="14"/>
      <c r="AJ42" s="14"/>
      <c r="AK42" s="14">
        <f t="shared" si="5"/>
        <v>0</v>
      </c>
      <c r="AL42" s="17">
        <v>27</v>
      </c>
      <c r="AM42" s="13"/>
      <c r="AN42" s="14"/>
      <c r="AO42" s="14"/>
      <c r="AP42" s="14">
        <f t="shared" si="6"/>
        <v>0</v>
      </c>
      <c r="AQ42" s="17">
        <v>27</v>
      </c>
      <c r="AR42" s="13"/>
      <c r="AS42" s="14"/>
      <c r="AT42" s="14"/>
      <c r="AU42" s="14">
        <f t="shared" si="7"/>
        <v>0</v>
      </c>
    </row>
    <row r="43" spans="8:47" s="2" customFormat="1" ht="90" customHeight="1">
      <c r="H43" s="17">
        <v>28</v>
      </c>
      <c r="I43" s="13"/>
      <c r="J43" s="14"/>
      <c r="K43" s="14"/>
      <c r="L43" s="14">
        <f t="shared" si="1"/>
        <v>0</v>
      </c>
      <c r="M43" s="17">
        <v>28</v>
      </c>
      <c r="N43" s="13"/>
      <c r="O43" s="14"/>
      <c r="P43" s="14"/>
      <c r="Q43" s="14">
        <f t="shared" si="0"/>
        <v>0</v>
      </c>
      <c r="R43" s="17">
        <v>28</v>
      </c>
      <c r="S43" s="13"/>
      <c r="T43" s="14"/>
      <c r="U43" s="14"/>
      <c r="V43" s="14">
        <f t="shared" si="2"/>
        <v>0</v>
      </c>
      <c r="W43" s="17">
        <v>28</v>
      </c>
      <c r="X43" s="13"/>
      <c r="Y43" s="14"/>
      <c r="Z43" s="14"/>
      <c r="AA43" s="14">
        <f t="shared" si="3"/>
        <v>0</v>
      </c>
      <c r="AB43" s="17">
        <v>28</v>
      </c>
      <c r="AC43" s="13"/>
      <c r="AD43" s="14"/>
      <c r="AE43" s="14"/>
      <c r="AF43" s="14">
        <f t="shared" si="4"/>
        <v>0</v>
      </c>
      <c r="AG43" s="17">
        <v>28</v>
      </c>
      <c r="AH43" s="13"/>
      <c r="AI43" s="14"/>
      <c r="AJ43" s="14"/>
      <c r="AK43" s="14">
        <f t="shared" si="5"/>
        <v>0</v>
      </c>
      <c r="AL43" s="17">
        <v>28</v>
      </c>
      <c r="AM43" s="13"/>
      <c r="AN43" s="14"/>
      <c r="AO43" s="14"/>
      <c r="AP43" s="14">
        <f t="shared" si="6"/>
        <v>0</v>
      </c>
      <c r="AQ43" s="17">
        <v>28</v>
      </c>
      <c r="AR43" s="13"/>
      <c r="AS43" s="14"/>
      <c r="AT43" s="14"/>
      <c r="AU43" s="14">
        <f t="shared" si="7"/>
        <v>0</v>
      </c>
    </row>
    <row r="44" spans="8:47" s="2" customFormat="1" ht="90" customHeight="1">
      <c r="H44" s="17">
        <v>29</v>
      </c>
      <c r="I44" s="13"/>
      <c r="J44" s="14"/>
      <c r="K44" s="14"/>
      <c r="L44" s="14">
        <f t="shared" si="1"/>
        <v>0</v>
      </c>
      <c r="M44" s="17">
        <v>29</v>
      </c>
      <c r="N44" s="13"/>
      <c r="O44" s="14"/>
      <c r="P44" s="14"/>
      <c r="Q44" s="14">
        <f t="shared" si="0"/>
        <v>0</v>
      </c>
      <c r="R44" s="17">
        <v>29</v>
      </c>
      <c r="S44" s="13"/>
      <c r="T44" s="14"/>
      <c r="U44" s="14"/>
      <c r="V44" s="14">
        <f t="shared" si="2"/>
        <v>0</v>
      </c>
      <c r="W44" s="17">
        <v>29</v>
      </c>
      <c r="X44" s="13"/>
      <c r="Y44" s="14"/>
      <c r="Z44" s="14"/>
      <c r="AA44" s="14">
        <f t="shared" si="3"/>
        <v>0</v>
      </c>
      <c r="AB44" s="17">
        <v>29</v>
      </c>
      <c r="AC44" s="13"/>
      <c r="AD44" s="14"/>
      <c r="AE44" s="14"/>
      <c r="AF44" s="14">
        <f t="shared" si="4"/>
        <v>0</v>
      </c>
      <c r="AG44" s="17">
        <v>29</v>
      </c>
      <c r="AH44" s="13"/>
      <c r="AI44" s="14"/>
      <c r="AJ44" s="14"/>
      <c r="AK44" s="14">
        <f t="shared" si="5"/>
        <v>0</v>
      </c>
      <c r="AL44" s="17">
        <v>29</v>
      </c>
      <c r="AM44" s="13"/>
      <c r="AN44" s="14"/>
      <c r="AO44" s="14"/>
      <c r="AP44" s="14">
        <f t="shared" si="6"/>
        <v>0</v>
      </c>
      <c r="AQ44" s="17">
        <v>29</v>
      </c>
      <c r="AR44" s="13"/>
      <c r="AS44" s="14"/>
      <c r="AT44" s="14"/>
      <c r="AU44" s="14">
        <f t="shared" si="7"/>
        <v>0</v>
      </c>
    </row>
    <row r="45" spans="8:47" s="2" customFormat="1" ht="90" customHeight="1">
      <c r="H45" s="17">
        <v>30</v>
      </c>
      <c r="I45" s="13"/>
      <c r="J45" s="14"/>
      <c r="K45" s="14"/>
      <c r="L45" s="14">
        <f t="shared" si="1"/>
        <v>0</v>
      </c>
      <c r="M45" s="17">
        <v>30</v>
      </c>
      <c r="N45" s="13"/>
      <c r="O45" s="14"/>
      <c r="P45" s="14"/>
      <c r="Q45" s="14">
        <f t="shared" si="0"/>
        <v>0</v>
      </c>
      <c r="R45" s="17">
        <v>30</v>
      </c>
      <c r="S45" s="13"/>
      <c r="T45" s="14"/>
      <c r="U45" s="14"/>
      <c r="V45" s="14">
        <f t="shared" si="2"/>
        <v>0</v>
      </c>
      <c r="W45" s="17">
        <v>30</v>
      </c>
      <c r="X45" s="13"/>
      <c r="Y45" s="14"/>
      <c r="Z45" s="14"/>
      <c r="AA45" s="14">
        <f t="shared" si="3"/>
        <v>0</v>
      </c>
      <c r="AB45" s="17">
        <v>30</v>
      </c>
      <c r="AC45" s="13"/>
      <c r="AD45" s="14"/>
      <c r="AE45" s="14"/>
      <c r="AF45" s="14">
        <f t="shared" si="4"/>
        <v>0</v>
      </c>
      <c r="AG45" s="17">
        <v>30</v>
      </c>
      <c r="AH45" s="13"/>
      <c r="AI45" s="14"/>
      <c r="AJ45" s="14"/>
      <c r="AK45" s="14">
        <f t="shared" si="5"/>
        <v>0</v>
      </c>
      <c r="AL45" s="17">
        <v>30</v>
      </c>
      <c r="AM45" s="13"/>
      <c r="AN45" s="14"/>
      <c r="AO45" s="14"/>
      <c r="AP45" s="14">
        <f t="shared" si="6"/>
        <v>0</v>
      </c>
      <c r="AQ45" s="17">
        <v>30</v>
      </c>
      <c r="AR45" s="13"/>
      <c r="AS45" s="14"/>
      <c r="AT45" s="14"/>
      <c r="AU45" s="14">
        <f t="shared" si="7"/>
        <v>0</v>
      </c>
    </row>
    <row r="46" spans="8:47" s="2" customFormat="1" ht="90" customHeight="1">
      <c r="H46" s="17">
        <v>31</v>
      </c>
      <c r="I46" s="13"/>
      <c r="J46" s="14"/>
      <c r="K46" s="14"/>
      <c r="L46" s="14">
        <f t="shared" si="1"/>
        <v>0</v>
      </c>
      <c r="M46" s="17">
        <v>31</v>
      </c>
      <c r="N46" s="13"/>
      <c r="O46" s="14"/>
      <c r="P46" s="14"/>
      <c r="Q46" s="14">
        <f t="shared" si="0"/>
        <v>0</v>
      </c>
      <c r="R46" s="17">
        <v>31</v>
      </c>
      <c r="S46" s="13"/>
      <c r="T46" s="14"/>
      <c r="U46" s="14"/>
      <c r="V46" s="14">
        <f t="shared" si="2"/>
        <v>0</v>
      </c>
      <c r="W46" s="17">
        <v>31</v>
      </c>
      <c r="X46" s="13"/>
      <c r="Y46" s="14"/>
      <c r="Z46" s="14"/>
      <c r="AA46" s="14">
        <f t="shared" si="3"/>
        <v>0</v>
      </c>
      <c r="AB46" s="17">
        <v>31</v>
      </c>
      <c r="AC46" s="13"/>
      <c r="AD46" s="14"/>
      <c r="AE46" s="14"/>
      <c r="AF46" s="14">
        <f t="shared" si="4"/>
        <v>0</v>
      </c>
      <c r="AG46" s="17">
        <v>31</v>
      </c>
      <c r="AH46" s="13"/>
      <c r="AI46" s="14"/>
      <c r="AJ46" s="14"/>
      <c r="AK46" s="14">
        <f t="shared" si="5"/>
        <v>0</v>
      </c>
      <c r="AL46" s="17">
        <v>31</v>
      </c>
      <c r="AM46" s="13"/>
      <c r="AN46" s="14"/>
      <c r="AO46" s="14"/>
      <c r="AP46" s="14">
        <f t="shared" si="6"/>
        <v>0</v>
      </c>
      <c r="AQ46" s="17">
        <v>31</v>
      </c>
      <c r="AR46" s="13"/>
      <c r="AS46" s="14"/>
      <c r="AT46" s="14"/>
      <c r="AU46" s="14">
        <f t="shared" si="7"/>
        <v>0</v>
      </c>
    </row>
    <row r="47" spans="8:47" s="2" customFormat="1" ht="90" customHeight="1">
      <c r="H47" s="17">
        <v>32</v>
      </c>
      <c r="I47" s="13"/>
      <c r="J47" s="14"/>
      <c r="K47" s="14"/>
      <c r="L47" s="14">
        <f t="shared" si="1"/>
        <v>0</v>
      </c>
      <c r="M47" s="17">
        <v>32</v>
      </c>
      <c r="N47" s="13"/>
      <c r="O47" s="14"/>
      <c r="P47" s="14"/>
      <c r="Q47" s="14">
        <f t="shared" si="0"/>
        <v>0</v>
      </c>
      <c r="R47" s="17">
        <v>32</v>
      </c>
      <c r="S47" s="13"/>
      <c r="T47" s="14"/>
      <c r="U47" s="14"/>
      <c r="V47" s="14">
        <f t="shared" si="2"/>
        <v>0</v>
      </c>
      <c r="W47" s="17">
        <v>32</v>
      </c>
      <c r="X47" s="13"/>
      <c r="Y47" s="14"/>
      <c r="Z47" s="14"/>
      <c r="AA47" s="14">
        <f t="shared" si="3"/>
        <v>0</v>
      </c>
      <c r="AB47" s="17">
        <v>32</v>
      </c>
      <c r="AC47" s="13"/>
      <c r="AD47" s="14"/>
      <c r="AE47" s="14"/>
      <c r="AF47" s="14">
        <f t="shared" si="4"/>
        <v>0</v>
      </c>
      <c r="AG47" s="17">
        <v>32</v>
      </c>
      <c r="AH47" s="13"/>
      <c r="AI47" s="14"/>
      <c r="AJ47" s="14"/>
      <c r="AK47" s="14">
        <f t="shared" si="5"/>
        <v>0</v>
      </c>
      <c r="AL47" s="17">
        <v>32</v>
      </c>
      <c r="AM47" s="13"/>
      <c r="AN47" s="14"/>
      <c r="AO47" s="14"/>
      <c r="AP47" s="14">
        <f t="shared" si="6"/>
        <v>0</v>
      </c>
      <c r="AQ47" s="17">
        <v>32</v>
      </c>
      <c r="AR47" s="13"/>
      <c r="AS47" s="14"/>
      <c r="AT47" s="14"/>
      <c r="AU47" s="14">
        <f t="shared" si="7"/>
        <v>0</v>
      </c>
    </row>
    <row r="48" spans="8:47" s="2" customFormat="1" ht="90" customHeight="1">
      <c r="H48" s="17">
        <v>33</v>
      </c>
      <c r="I48" s="13"/>
      <c r="J48" s="14"/>
      <c r="K48" s="14"/>
      <c r="L48" s="14">
        <f t="shared" si="1"/>
        <v>0</v>
      </c>
      <c r="M48" s="17">
        <v>33</v>
      </c>
      <c r="N48" s="13"/>
      <c r="O48" s="14"/>
      <c r="P48" s="14"/>
      <c r="Q48" s="14">
        <f t="shared" si="0"/>
        <v>0</v>
      </c>
      <c r="R48" s="17">
        <v>33</v>
      </c>
      <c r="S48" s="13"/>
      <c r="T48" s="14"/>
      <c r="U48" s="14"/>
      <c r="V48" s="14">
        <f t="shared" si="2"/>
        <v>0</v>
      </c>
      <c r="W48" s="17">
        <v>33</v>
      </c>
      <c r="X48" s="13"/>
      <c r="Y48" s="14"/>
      <c r="Z48" s="14"/>
      <c r="AA48" s="14">
        <f t="shared" si="3"/>
        <v>0</v>
      </c>
      <c r="AB48" s="17">
        <v>33</v>
      </c>
      <c r="AC48" s="13"/>
      <c r="AD48" s="14"/>
      <c r="AE48" s="14"/>
      <c r="AF48" s="14">
        <f t="shared" si="4"/>
        <v>0</v>
      </c>
      <c r="AG48" s="17">
        <v>33</v>
      </c>
      <c r="AH48" s="13"/>
      <c r="AI48" s="14"/>
      <c r="AJ48" s="14"/>
      <c r="AK48" s="14">
        <f t="shared" si="5"/>
        <v>0</v>
      </c>
      <c r="AL48" s="17">
        <v>33</v>
      </c>
      <c r="AM48" s="13"/>
      <c r="AN48" s="14"/>
      <c r="AO48" s="14"/>
      <c r="AP48" s="14">
        <f t="shared" si="6"/>
        <v>0</v>
      </c>
      <c r="AQ48" s="17">
        <v>33</v>
      </c>
      <c r="AR48" s="13"/>
      <c r="AS48" s="14"/>
      <c r="AT48" s="14"/>
      <c r="AU48" s="14">
        <f t="shared" si="7"/>
        <v>0</v>
      </c>
    </row>
    <row r="49" spans="3:51" s="2" customFormat="1" ht="90" customHeight="1">
      <c r="H49" s="17">
        <v>34</v>
      </c>
      <c r="I49" s="13"/>
      <c r="J49" s="14"/>
      <c r="K49" s="14"/>
      <c r="L49" s="14">
        <f t="shared" si="1"/>
        <v>0</v>
      </c>
      <c r="M49" s="17">
        <v>34</v>
      </c>
      <c r="N49" s="13"/>
      <c r="O49" s="14"/>
      <c r="P49" s="14"/>
      <c r="Q49" s="14">
        <f t="shared" si="0"/>
        <v>0</v>
      </c>
      <c r="R49" s="17">
        <v>34</v>
      </c>
      <c r="S49" s="13"/>
      <c r="T49" s="14"/>
      <c r="U49" s="14"/>
      <c r="V49" s="14">
        <f t="shared" si="2"/>
        <v>0</v>
      </c>
      <c r="W49" s="17">
        <v>34</v>
      </c>
      <c r="X49" s="13"/>
      <c r="Y49" s="14"/>
      <c r="Z49" s="14"/>
      <c r="AA49" s="14">
        <f t="shared" si="3"/>
        <v>0</v>
      </c>
      <c r="AB49" s="17">
        <v>34</v>
      </c>
      <c r="AC49" s="13"/>
      <c r="AD49" s="14"/>
      <c r="AE49" s="14"/>
      <c r="AF49" s="14">
        <f t="shared" si="4"/>
        <v>0</v>
      </c>
      <c r="AG49" s="17">
        <v>34</v>
      </c>
      <c r="AH49" s="13"/>
      <c r="AI49" s="14"/>
      <c r="AJ49" s="14"/>
      <c r="AK49" s="14">
        <f t="shared" si="5"/>
        <v>0</v>
      </c>
      <c r="AL49" s="17">
        <v>34</v>
      </c>
      <c r="AM49" s="13"/>
      <c r="AN49" s="14"/>
      <c r="AO49" s="14"/>
      <c r="AP49" s="14">
        <f t="shared" si="6"/>
        <v>0</v>
      </c>
      <c r="AQ49" s="17">
        <v>34</v>
      </c>
      <c r="AR49" s="13"/>
      <c r="AS49" s="14"/>
      <c r="AT49" s="14"/>
      <c r="AU49" s="14">
        <f t="shared" si="7"/>
        <v>0</v>
      </c>
    </row>
    <row r="50" spans="3:51" s="2" customFormat="1" ht="90" customHeight="1">
      <c r="H50" s="17">
        <v>35</v>
      </c>
      <c r="I50" s="13"/>
      <c r="J50" s="14"/>
      <c r="K50" s="14"/>
      <c r="L50" s="14">
        <f t="shared" si="1"/>
        <v>0</v>
      </c>
      <c r="M50" s="17">
        <v>35</v>
      </c>
      <c r="N50" s="13"/>
      <c r="O50" s="14"/>
      <c r="P50" s="14"/>
      <c r="Q50" s="14">
        <f t="shared" si="0"/>
        <v>0</v>
      </c>
      <c r="R50" s="17">
        <v>35</v>
      </c>
      <c r="S50" s="13"/>
      <c r="T50" s="14"/>
      <c r="U50" s="14"/>
      <c r="V50" s="14">
        <f t="shared" si="2"/>
        <v>0</v>
      </c>
      <c r="W50" s="17">
        <v>35</v>
      </c>
      <c r="X50" s="13"/>
      <c r="Y50" s="14"/>
      <c r="Z50" s="14"/>
      <c r="AA50" s="14">
        <f t="shared" si="3"/>
        <v>0</v>
      </c>
      <c r="AB50" s="17">
        <v>35</v>
      </c>
      <c r="AC50" s="13"/>
      <c r="AD50" s="14"/>
      <c r="AE50" s="14"/>
      <c r="AF50" s="14">
        <f t="shared" si="4"/>
        <v>0</v>
      </c>
      <c r="AG50" s="17">
        <v>35</v>
      </c>
      <c r="AH50" s="13"/>
      <c r="AI50" s="14"/>
      <c r="AJ50" s="14"/>
      <c r="AK50" s="14">
        <f t="shared" si="5"/>
        <v>0</v>
      </c>
      <c r="AL50" s="17">
        <v>35</v>
      </c>
      <c r="AM50" s="13"/>
      <c r="AN50" s="14"/>
      <c r="AO50" s="14"/>
      <c r="AP50" s="14">
        <f t="shared" si="6"/>
        <v>0</v>
      </c>
      <c r="AQ50" s="17">
        <v>35</v>
      </c>
      <c r="AR50" s="13"/>
      <c r="AS50" s="14"/>
      <c r="AT50" s="14"/>
      <c r="AU50" s="14">
        <f t="shared" si="7"/>
        <v>0</v>
      </c>
    </row>
    <row r="51" spans="3:51" s="2" customFormat="1" ht="90" customHeight="1">
      <c r="H51" s="17">
        <v>36</v>
      </c>
      <c r="I51" s="13"/>
      <c r="J51" s="14"/>
      <c r="K51" s="14"/>
      <c r="L51" s="14">
        <f t="shared" si="1"/>
        <v>0</v>
      </c>
      <c r="M51" s="17">
        <v>36</v>
      </c>
      <c r="N51" s="13"/>
      <c r="O51" s="14"/>
      <c r="P51" s="14"/>
      <c r="Q51" s="14">
        <f t="shared" si="0"/>
        <v>0</v>
      </c>
      <c r="R51" s="17">
        <v>36</v>
      </c>
      <c r="S51" s="13"/>
      <c r="T51" s="14"/>
      <c r="U51" s="14"/>
      <c r="V51" s="14">
        <f t="shared" si="2"/>
        <v>0</v>
      </c>
      <c r="W51" s="17">
        <v>36</v>
      </c>
      <c r="X51" s="13"/>
      <c r="Y51" s="14"/>
      <c r="Z51" s="14"/>
      <c r="AA51" s="14">
        <f t="shared" si="3"/>
        <v>0</v>
      </c>
      <c r="AB51" s="17">
        <v>36</v>
      </c>
      <c r="AC51" s="13"/>
      <c r="AD51" s="14"/>
      <c r="AE51" s="14"/>
      <c r="AF51" s="14">
        <f t="shared" si="4"/>
        <v>0</v>
      </c>
      <c r="AG51" s="17">
        <v>36</v>
      </c>
      <c r="AH51" s="13"/>
      <c r="AI51" s="14"/>
      <c r="AJ51" s="14"/>
      <c r="AK51" s="14">
        <f t="shared" si="5"/>
        <v>0</v>
      </c>
      <c r="AL51" s="17">
        <v>36</v>
      </c>
      <c r="AM51" s="13"/>
      <c r="AN51" s="14"/>
      <c r="AO51" s="14"/>
      <c r="AP51" s="14">
        <f t="shared" si="6"/>
        <v>0</v>
      </c>
      <c r="AQ51" s="17">
        <v>36</v>
      </c>
      <c r="AR51" s="13"/>
      <c r="AS51" s="14"/>
      <c r="AT51" s="14"/>
      <c r="AU51" s="14">
        <f t="shared" si="7"/>
        <v>0</v>
      </c>
    </row>
    <row r="52" spans="3:51" s="2" customFormat="1" ht="90" customHeight="1">
      <c r="H52" s="17">
        <v>37</v>
      </c>
      <c r="I52" s="13"/>
      <c r="J52" s="14"/>
      <c r="K52" s="14"/>
      <c r="L52" s="14">
        <f t="shared" si="1"/>
        <v>0</v>
      </c>
      <c r="M52" s="17">
        <v>37</v>
      </c>
      <c r="N52" s="13"/>
      <c r="O52" s="14"/>
      <c r="P52" s="14"/>
      <c r="Q52" s="14">
        <f t="shared" si="0"/>
        <v>0</v>
      </c>
      <c r="R52" s="17">
        <v>37</v>
      </c>
      <c r="S52" s="13"/>
      <c r="T52" s="14"/>
      <c r="U52" s="14"/>
      <c r="V52" s="14">
        <f t="shared" si="2"/>
        <v>0</v>
      </c>
      <c r="W52" s="17">
        <v>37</v>
      </c>
      <c r="X52" s="13"/>
      <c r="Y52" s="14"/>
      <c r="Z52" s="14"/>
      <c r="AA52" s="14">
        <f t="shared" si="3"/>
        <v>0</v>
      </c>
      <c r="AB52" s="17">
        <v>37</v>
      </c>
      <c r="AC52" s="13"/>
      <c r="AD52" s="14"/>
      <c r="AE52" s="14"/>
      <c r="AF52" s="14">
        <f t="shared" si="4"/>
        <v>0</v>
      </c>
      <c r="AG52" s="17">
        <v>37</v>
      </c>
      <c r="AH52" s="13"/>
      <c r="AI52" s="14"/>
      <c r="AJ52" s="14"/>
      <c r="AK52" s="14">
        <f t="shared" si="5"/>
        <v>0</v>
      </c>
      <c r="AL52" s="17">
        <v>37</v>
      </c>
      <c r="AM52" s="13"/>
      <c r="AN52" s="14"/>
      <c r="AO52" s="14"/>
      <c r="AP52" s="14">
        <f t="shared" si="6"/>
        <v>0</v>
      </c>
      <c r="AQ52" s="17">
        <v>37</v>
      </c>
      <c r="AR52" s="13"/>
      <c r="AS52" s="14"/>
      <c r="AT52" s="14"/>
      <c r="AU52" s="14">
        <f t="shared" si="7"/>
        <v>0</v>
      </c>
    </row>
    <row r="53" spans="3:51" s="2" customFormat="1" ht="90" customHeight="1">
      <c r="C53" s="18"/>
      <c r="D53" s="18"/>
      <c r="E53" s="18"/>
      <c r="F53" s="18"/>
      <c r="G53" s="18"/>
      <c r="H53" s="27">
        <v>38</v>
      </c>
      <c r="I53" s="13"/>
      <c r="J53" s="14"/>
      <c r="K53" s="14"/>
      <c r="L53" s="14">
        <f t="shared" ref="L53:L116" si="8">SUM(J53:K53)</f>
        <v>0</v>
      </c>
      <c r="M53" s="27">
        <v>38</v>
      </c>
      <c r="N53" s="13"/>
      <c r="O53" s="14"/>
      <c r="P53" s="14"/>
      <c r="Q53" s="14">
        <f t="shared" ref="Q53:Q116" si="9">SUM(O53:P53)</f>
        <v>0</v>
      </c>
      <c r="R53" s="27">
        <v>38</v>
      </c>
      <c r="S53" s="13"/>
      <c r="T53" s="14"/>
      <c r="U53" s="14"/>
      <c r="V53" s="14">
        <f t="shared" ref="V53:V116" si="10">SUM(T53:U53)</f>
        <v>0</v>
      </c>
      <c r="W53" s="27">
        <v>38</v>
      </c>
      <c r="X53" s="13"/>
      <c r="Y53" s="14"/>
      <c r="Z53" s="14"/>
      <c r="AA53" s="14">
        <f t="shared" ref="AA53:AA116" si="11">SUM(Y53:Z53)</f>
        <v>0</v>
      </c>
      <c r="AB53" s="27">
        <v>38</v>
      </c>
      <c r="AC53" s="13"/>
      <c r="AD53" s="14"/>
      <c r="AE53" s="14"/>
      <c r="AF53" s="14">
        <f t="shared" ref="AF53:AF116" si="12">SUM(AD53:AE53)</f>
        <v>0</v>
      </c>
      <c r="AG53" s="27">
        <v>38</v>
      </c>
      <c r="AH53" s="13"/>
      <c r="AI53" s="14"/>
      <c r="AJ53" s="14"/>
      <c r="AK53" s="14">
        <f t="shared" ref="AK53:AK116" si="13">SUM(AI53:AJ53)</f>
        <v>0</v>
      </c>
      <c r="AL53" s="27">
        <v>38</v>
      </c>
      <c r="AM53" s="13"/>
      <c r="AN53" s="14"/>
      <c r="AO53" s="14"/>
      <c r="AP53" s="14">
        <f t="shared" ref="AP53:AP116" si="14">SUM(AN53:AO53)</f>
        <v>0</v>
      </c>
      <c r="AQ53" s="27">
        <v>38</v>
      </c>
      <c r="AR53" s="13"/>
      <c r="AS53" s="14"/>
      <c r="AT53" s="14"/>
      <c r="AU53" s="14">
        <f t="shared" ref="AU53:AU116" si="15">SUM(AS53:AT53)</f>
        <v>0</v>
      </c>
      <c r="AV53" s="18"/>
      <c r="AW53" s="18"/>
    </row>
    <row r="54" spans="3:51" s="2" customFormat="1" ht="90" customHeight="1">
      <c r="C54" s="18"/>
      <c r="D54" s="18"/>
      <c r="E54" s="18"/>
      <c r="F54" s="18"/>
      <c r="G54" s="18"/>
      <c r="H54" s="27">
        <v>39</v>
      </c>
      <c r="I54" s="13"/>
      <c r="J54" s="14"/>
      <c r="K54" s="14"/>
      <c r="L54" s="14">
        <f t="shared" si="8"/>
        <v>0</v>
      </c>
      <c r="M54" s="27">
        <v>39</v>
      </c>
      <c r="N54" s="13"/>
      <c r="O54" s="14"/>
      <c r="P54" s="14"/>
      <c r="Q54" s="14">
        <f t="shared" si="9"/>
        <v>0</v>
      </c>
      <c r="R54" s="27">
        <v>39</v>
      </c>
      <c r="S54" s="13"/>
      <c r="T54" s="14"/>
      <c r="U54" s="14"/>
      <c r="V54" s="14">
        <f t="shared" si="10"/>
        <v>0</v>
      </c>
      <c r="W54" s="27">
        <v>39</v>
      </c>
      <c r="X54" s="13"/>
      <c r="Y54" s="14"/>
      <c r="Z54" s="14"/>
      <c r="AA54" s="14">
        <f t="shared" si="11"/>
        <v>0</v>
      </c>
      <c r="AB54" s="27">
        <v>39</v>
      </c>
      <c r="AC54" s="13"/>
      <c r="AD54" s="14"/>
      <c r="AE54" s="14"/>
      <c r="AF54" s="14">
        <f t="shared" si="12"/>
        <v>0</v>
      </c>
      <c r="AG54" s="27">
        <v>39</v>
      </c>
      <c r="AH54" s="13"/>
      <c r="AI54" s="14"/>
      <c r="AJ54" s="14"/>
      <c r="AK54" s="14">
        <f t="shared" si="13"/>
        <v>0</v>
      </c>
      <c r="AL54" s="27">
        <v>39</v>
      </c>
      <c r="AM54" s="13"/>
      <c r="AN54" s="14"/>
      <c r="AO54" s="14"/>
      <c r="AP54" s="14">
        <f t="shared" si="14"/>
        <v>0</v>
      </c>
      <c r="AQ54" s="27">
        <v>39</v>
      </c>
      <c r="AR54" s="13"/>
      <c r="AS54" s="14"/>
      <c r="AT54" s="14"/>
      <c r="AU54" s="14">
        <f t="shared" si="15"/>
        <v>0</v>
      </c>
      <c r="AV54" s="18"/>
      <c r="AW54" s="18"/>
      <c r="AX54" s="18"/>
      <c r="AY54" s="18"/>
    </row>
    <row r="55" spans="3:51" s="2" customFormat="1" ht="90" customHeight="1">
      <c r="C55" s="18"/>
      <c r="D55" s="18"/>
      <c r="E55" s="18"/>
      <c r="F55" s="18"/>
      <c r="G55" s="18"/>
      <c r="H55" s="27">
        <v>40</v>
      </c>
      <c r="I55" s="13"/>
      <c r="J55" s="14"/>
      <c r="K55" s="14"/>
      <c r="L55" s="14">
        <f t="shared" si="8"/>
        <v>0</v>
      </c>
      <c r="M55" s="27">
        <v>40</v>
      </c>
      <c r="N55" s="13"/>
      <c r="O55" s="14"/>
      <c r="P55" s="14"/>
      <c r="Q55" s="14">
        <f t="shared" si="9"/>
        <v>0</v>
      </c>
      <c r="R55" s="27">
        <v>40</v>
      </c>
      <c r="S55" s="13"/>
      <c r="T55" s="14"/>
      <c r="U55" s="14"/>
      <c r="V55" s="14">
        <f t="shared" si="10"/>
        <v>0</v>
      </c>
      <c r="W55" s="27">
        <v>40</v>
      </c>
      <c r="X55" s="13"/>
      <c r="Y55" s="14"/>
      <c r="Z55" s="14"/>
      <c r="AA55" s="14">
        <f t="shared" si="11"/>
        <v>0</v>
      </c>
      <c r="AB55" s="27">
        <v>40</v>
      </c>
      <c r="AC55" s="13"/>
      <c r="AD55" s="14"/>
      <c r="AE55" s="14"/>
      <c r="AF55" s="14">
        <f t="shared" si="12"/>
        <v>0</v>
      </c>
      <c r="AG55" s="27">
        <v>40</v>
      </c>
      <c r="AH55" s="13"/>
      <c r="AI55" s="14"/>
      <c r="AJ55" s="14"/>
      <c r="AK55" s="14">
        <f t="shared" si="13"/>
        <v>0</v>
      </c>
      <c r="AL55" s="27">
        <v>40</v>
      </c>
      <c r="AM55" s="13"/>
      <c r="AN55" s="14"/>
      <c r="AO55" s="14"/>
      <c r="AP55" s="14">
        <f t="shared" si="14"/>
        <v>0</v>
      </c>
      <c r="AQ55" s="27">
        <v>40</v>
      </c>
      <c r="AR55" s="13"/>
      <c r="AS55" s="14"/>
      <c r="AT55" s="14"/>
      <c r="AU55" s="14">
        <f t="shared" si="15"/>
        <v>0</v>
      </c>
      <c r="AV55" s="18"/>
      <c r="AW55" s="18"/>
      <c r="AX55" s="18"/>
      <c r="AY55" s="18"/>
    </row>
    <row r="56" spans="3:51" s="2" customFormat="1" ht="90" customHeight="1">
      <c r="C56" s="18"/>
      <c r="D56" s="18"/>
      <c r="E56" s="18"/>
      <c r="F56" s="18"/>
      <c r="G56" s="18"/>
      <c r="H56" s="27">
        <v>41</v>
      </c>
      <c r="I56" s="13"/>
      <c r="J56" s="14"/>
      <c r="K56" s="14"/>
      <c r="L56" s="14">
        <f t="shared" si="8"/>
        <v>0</v>
      </c>
      <c r="M56" s="27">
        <v>41</v>
      </c>
      <c r="N56" s="13"/>
      <c r="O56" s="14"/>
      <c r="P56" s="14"/>
      <c r="Q56" s="14">
        <f t="shared" si="9"/>
        <v>0</v>
      </c>
      <c r="R56" s="27">
        <v>41</v>
      </c>
      <c r="S56" s="13"/>
      <c r="T56" s="14"/>
      <c r="U56" s="14"/>
      <c r="V56" s="14">
        <f t="shared" si="10"/>
        <v>0</v>
      </c>
      <c r="W56" s="27">
        <v>41</v>
      </c>
      <c r="X56" s="13"/>
      <c r="Y56" s="14"/>
      <c r="Z56" s="14"/>
      <c r="AA56" s="14">
        <f t="shared" si="11"/>
        <v>0</v>
      </c>
      <c r="AB56" s="27">
        <v>41</v>
      </c>
      <c r="AC56" s="13"/>
      <c r="AD56" s="14"/>
      <c r="AE56" s="14"/>
      <c r="AF56" s="14">
        <f t="shared" si="12"/>
        <v>0</v>
      </c>
      <c r="AG56" s="27">
        <v>41</v>
      </c>
      <c r="AH56" s="13"/>
      <c r="AI56" s="14"/>
      <c r="AJ56" s="14"/>
      <c r="AK56" s="14">
        <f t="shared" si="13"/>
        <v>0</v>
      </c>
      <c r="AL56" s="27">
        <v>41</v>
      </c>
      <c r="AM56" s="13"/>
      <c r="AN56" s="14"/>
      <c r="AO56" s="14"/>
      <c r="AP56" s="14">
        <f t="shared" si="14"/>
        <v>0</v>
      </c>
      <c r="AQ56" s="27">
        <v>41</v>
      </c>
      <c r="AR56" s="13"/>
      <c r="AS56" s="14"/>
      <c r="AT56" s="14"/>
      <c r="AU56" s="14">
        <f t="shared" si="15"/>
        <v>0</v>
      </c>
      <c r="AV56" s="18"/>
      <c r="AW56" s="18"/>
      <c r="AX56" s="18"/>
      <c r="AY56" s="18"/>
    </row>
    <row r="57" spans="3:51" s="2" customFormat="1" ht="90" customHeight="1">
      <c r="C57" s="18"/>
      <c r="D57" s="18"/>
      <c r="E57" s="18"/>
      <c r="F57" s="18"/>
      <c r="G57" s="18"/>
      <c r="H57" s="27">
        <v>42</v>
      </c>
      <c r="I57" s="13"/>
      <c r="J57" s="14"/>
      <c r="K57" s="14"/>
      <c r="L57" s="14">
        <f t="shared" si="8"/>
        <v>0</v>
      </c>
      <c r="M57" s="27">
        <v>42</v>
      </c>
      <c r="N57" s="13"/>
      <c r="O57" s="14"/>
      <c r="P57" s="14"/>
      <c r="Q57" s="14">
        <f t="shared" si="9"/>
        <v>0</v>
      </c>
      <c r="R57" s="27">
        <v>42</v>
      </c>
      <c r="S57" s="13"/>
      <c r="T57" s="14"/>
      <c r="U57" s="14"/>
      <c r="V57" s="14">
        <f t="shared" si="10"/>
        <v>0</v>
      </c>
      <c r="W57" s="27">
        <v>42</v>
      </c>
      <c r="X57" s="13"/>
      <c r="Y57" s="14"/>
      <c r="Z57" s="14"/>
      <c r="AA57" s="14">
        <f t="shared" si="11"/>
        <v>0</v>
      </c>
      <c r="AB57" s="27">
        <v>42</v>
      </c>
      <c r="AC57" s="13"/>
      <c r="AD57" s="14"/>
      <c r="AE57" s="14"/>
      <c r="AF57" s="14">
        <f t="shared" si="12"/>
        <v>0</v>
      </c>
      <c r="AG57" s="27">
        <v>42</v>
      </c>
      <c r="AH57" s="13"/>
      <c r="AI57" s="14"/>
      <c r="AJ57" s="14"/>
      <c r="AK57" s="14">
        <f t="shared" si="13"/>
        <v>0</v>
      </c>
      <c r="AL57" s="27">
        <v>42</v>
      </c>
      <c r="AM57" s="13"/>
      <c r="AN57" s="14"/>
      <c r="AO57" s="14"/>
      <c r="AP57" s="14">
        <f t="shared" si="14"/>
        <v>0</v>
      </c>
      <c r="AQ57" s="27">
        <v>42</v>
      </c>
      <c r="AR57" s="13"/>
      <c r="AS57" s="14"/>
      <c r="AT57" s="14"/>
      <c r="AU57" s="14">
        <f t="shared" si="15"/>
        <v>0</v>
      </c>
      <c r="AV57" s="18"/>
      <c r="AW57" s="18"/>
      <c r="AX57" s="18"/>
      <c r="AY57" s="18"/>
    </row>
    <row r="58" spans="3:51" s="2" customFormat="1" ht="90" customHeight="1">
      <c r="C58" s="18"/>
      <c r="D58" s="18"/>
      <c r="E58" s="18"/>
      <c r="F58" s="18"/>
      <c r="G58" s="18"/>
      <c r="H58" s="27">
        <v>43</v>
      </c>
      <c r="I58" s="13"/>
      <c r="J58" s="14"/>
      <c r="K58" s="14"/>
      <c r="L58" s="14">
        <f t="shared" si="8"/>
        <v>0</v>
      </c>
      <c r="M58" s="27">
        <v>43</v>
      </c>
      <c r="N58" s="13"/>
      <c r="O58" s="14"/>
      <c r="P58" s="14"/>
      <c r="Q58" s="14">
        <f t="shared" si="9"/>
        <v>0</v>
      </c>
      <c r="R58" s="27">
        <v>43</v>
      </c>
      <c r="S58" s="13"/>
      <c r="T58" s="14"/>
      <c r="U58" s="14"/>
      <c r="V58" s="14">
        <f t="shared" si="10"/>
        <v>0</v>
      </c>
      <c r="W58" s="27">
        <v>43</v>
      </c>
      <c r="X58" s="13"/>
      <c r="Y58" s="14"/>
      <c r="Z58" s="14"/>
      <c r="AA58" s="14">
        <f t="shared" si="11"/>
        <v>0</v>
      </c>
      <c r="AB58" s="27">
        <v>43</v>
      </c>
      <c r="AC58" s="13"/>
      <c r="AD58" s="14"/>
      <c r="AE58" s="14"/>
      <c r="AF58" s="14">
        <f t="shared" si="12"/>
        <v>0</v>
      </c>
      <c r="AG58" s="27">
        <v>43</v>
      </c>
      <c r="AH58" s="13"/>
      <c r="AI58" s="14"/>
      <c r="AJ58" s="14"/>
      <c r="AK58" s="14">
        <f t="shared" si="13"/>
        <v>0</v>
      </c>
      <c r="AL58" s="27">
        <v>43</v>
      </c>
      <c r="AM58" s="13"/>
      <c r="AN58" s="14"/>
      <c r="AO58" s="14"/>
      <c r="AP58" s="14">
        <f t="shared" si="14"/>
        <v>0</v>
      </c>
      <c r="AQ58" s="27">
        <v>43</v>
      </c>
      <c r="AR58" s="13"/>
      <c r="AS58" s="14"/>
      <c r="AT58" s="14"/>
      <c r="AU58" s="14">
        <f t="shared" si="15"/>
        <v>0</v>
      </c>
      <c r="AV58" s="18"/>
      <c r="AW58" s="18"/>
      <c r="AX58" s="18"/>
      <c r="AY58" s="18"/>
    </row>
    <row r="59" spans="3:51" s="2" customFormat="1" ht="90" customHeight="1">
      <c r="C59" s="18"/>
      <c r="D59" s="18"/>
      <c r="E59" s="18"/>
      <c r="F59" s="18"/>
      <c r="G59" s="18"/>
      <c r="H59" s="27">
        <v>44</v>
      </c>
      <c r="I59" s="13"/>
      <c r="J59" s="14"/>
      <c r="K59" s="14"/>
      <c r="L59" s="14">
        <f t="shared" si="8"/>
        <v>0</v>
      </c>
      <c r="M59" s="27">
        <v>44</v>
      </c>
      <c r="N59" s="13"/>
      <c r="O59" s="14"/>
      <c r="P59" s="14"/>
      <c r="Q59" s="14">
        <f t="shared" si="9"/>
        <v>0</v>
      </c>
      <c r="R59" s="27">
        <v>44</v>
      </c>
      <c r="S59" s="13"/>
      <c r="T59" s="14"/>
      <c r="U59" s="14"/>
      <c r="V59" s="14">
        <f t="shared" si="10"/>
        <v>0</v>
      </c>
      <c r="W59" s="27">
        <v>44</v>
      </c>
      <c r="X59" s="13"/>
      <c r="Y59" s="14"/>
      <c r="Z59" s="14"/>
      <c r="AA59" s="14">
        <f t="shared" si="11"/>
        <v>0</v>
      </c>
      <c r="AB59" s="27">
        <v>44</v>
      </c>
      <c r="AC59" s="13"/>
      <c r="AD59" s="14"/>
      <c r="AE59" s="14"/>
      <c r="AF59" s="14">
        <f t="shared" si="12"/>
        <v>0</v>
      </c>
      <c r="AG59" s="27">
        <v>44</v>
      </c>
      <c r="AH59" s="13"/>
      <c r="AI59" s="14"/>
      <c r="AJ59" s="14"/>
      <c r="AK59" s="14">
        <f t="shared" si="13"/>
        <v>0</v>
      </c>
      <c r="AL59" s="27">
        <v>44</v>
      </c>
      <c r="AM59" s="13"/>
      <c r="AN59" s="14"/>
      <c r="AO59" s="14"/>
      <c r="AP59" s="14">
        <f t="shared" si="14"/>
        <v>0</v>
      </c>
      <c r="AQ59" s="27">
        <v>44</v>
      </c>
      <c r="AR59" s="13"/>
      <c r="AS59" s="14"/>
      <c r="AT59" s="14"/>
      <c r="AU59" s="14">
        <f t="shared" si="15"/>
        <v>0</v>
      </c>
      <c r="AV59" s="18"/>
      <c r="AW59" s="18"/>
      <c r="AX59" s="18"/>
      <c r="AY59" s="18"/>
    </row>
    <row r="60" spans="3:51" s="2" customFormat="1" ht="90" customHeight="1">
      <c r="D60" s="18"/>
      <c r="E60" s="18"/>
      <c r="F60" s="18"/>
      <c r="G60" s="18"/>
      <c r="H60" s="27">
        <v>45</v>
      </c>
      <c r="I60" s="13"/>
      <c r="J60" s="14"/>
      <c r="K60" s="14"/>
      <c r="L60" s="14">
        <f t="shared" si="8"/>
        <v>0</v>
      </c>
      <c r="M60" s="27">
        <v>45</v>
      </c>
      <c r="N60" s="13"/>
      <c r="O60" s="14"/>
      <c r="P60" s="14"/>
      <c r="Q60" s="14">
        <f t="shared" si="9"/>
        <v>0</v>
      </c>
      <c r="R60" s="27">
        <v>45</v>
      </c>
      <c r="S60" s="13"/>
      <c r="T60" s="14"/>
      <c r="U60" s="14"/>
      <c r="V60" s="14">
        <f t="shared" si="10"/>
        <v>0</v>
      </c>
      <c r="W60" s="27">
        <v>45</v>
      </c>
      <c r="X60" s="13"/>
      <c r="Y60" s="14"/>
      <c r="Z60" s="14"/>
      <c r="AA60" s="14">
        <f t="shared" si="11"/>
        <v>0</v>
      </c>
      <c r="AB60" s="27">
        <v>45</v>
      </c>
      <c r="AC60" s="13"/>
      <c r="AD60" s="14"/>
      <c r="AE60" s="14"/>
      <c r="AF60" s="14">
        <f t="shared" si="12"/>
        <v>0</v>
      </c>
      <c r="AG60" s="27">
        <v>45</v>
      </c>
      <c r="AH60" s="13"/>
      <c r="AI60" s="14"/>
      <c r="AJ60" s="14"/>
      <c r="AK60" s="14">
        <f t="shared" si="13"/>
        <v>0</v>
      </c>
      <c r="AL60" s="27">
        <v>45</v>
      </c>
      <c r="AM60" s="13"/>
      <c r="AN60" s="14"/>
      <c r="AO60" s="14"/>
      <c r="AP60" s="14">
        <f t="shared" si="14"/>
        <v>0</v>
      </c>
      <c r="AQ60" s="27">
        <v>45</v>
      </c>
      <c r="AR60" s="13"/>
      <c r="AS60" s="14"/>
      <c r="AT60" s="14"/>
      <c r="AU60" s="14">
        <f t="shared" si="15"/>
        <v>0</v>
      </c>
      <c r="AV60" s="18"/>
      <c r="AW60" s="18"/>
      <c r="AX60" s="18"/>
      <c r="AY60" s="18"/>
    </row>
    <row r="61" spans="3:51" s="2" customFormat="1" ht="90" customHeight="1">
      <c r="D61" s="18"/>
      <c r="E61" s="18"/>
      <c r="F61" s="18"/>
      <c r="G61" s="18"/>
      <c r="H61" s="27">
        <v>46</v>
      </c>
      <c r="I61" s="13"/>
      <c r="J61" s="14"/>
      <c r="K61" s="14"/>
      <c r="L61" s="14">
        <f t="shared" si="8"/>
        <v>0</v>
      </c>
      <c r="M61" s="27">
        <v>46</v>
      </c>
      <c r="N61" s="13"/>
      <c r="O61" s="14"/>
      <c r="P61" s="14"/>
      <c r="Q61" s="14">
        <f t="shared" si="9"/>
        <v>0</v>
      </c>
      <c r="R61" s="27">
        <v>46</v>
      </c>
      <c r="S61" s="13"/>
      <c r="T61" s="14"/>
      <c r="U61" s="14"/>
      <c r="V61" s="14">
        <f t="shared" si="10"/>
        <v>0</v>
      </c>
      <c r="W61" s="27">
        <v>46</v>
      </c>
      <c r="X61" s="13"/>
      <c r="Y61" s="14"/>
      <c r="Z61" s="14"/>
      <c r="AA61" s="14">
        <f t="shared" si="11"/>
        <v>0</v>
      </c>
      <c r="AB61" s="27">
        <v>46</v>
      </c>
      <c r="AC61" s="13"/>
      <c r="AD61" s="14"/>
      <c r="AE61" s="14"/>
      <c r="AF61" s="14">
        <f t="shared" si="12"/>
        <v>0</v>
      </c>
      <c r="AG61" s="27">
        <v>46</v>
      </c>
      <c r="AH61" s="13"/>
      <c r="AI61" s="14"/>
      <c r="AJ61" s="14"/>
      <c r="AK61" s="14">
        <f t="shared" si="13"/>
        <v>0</v>
      </c>
      <c r="AL61" s="27">
        <v>46</v>
      </c>
      <c r="AM61" s="13"/>
      <c r="AN61" s="14"/>
      <c r="AO61" s="14"/>
      <c r="AP61" s="14">
        <f t="shared" si="14"/>
        <v>0</v>
      </c>
      <c r="AQ61" s="27">
        <v>46</v>
      </c>
      <c r="AR61" s="13"/>
      <c r="AS61" s="14"/>
      <c r="AT61" s="14"/>
      <c r="AU61" s="14">
        <f t="shared" si="15"/>
        <v>0</v>
      </c>
      <c r="AV61" s="18"/>
      <c r="AW61" s="18"/>
      <c r="AX61" s="18"/>
      <c r="AY61" s="18"/>
    </row>
    <row r="62" spans="3:51" s="2" customFormat="1" ht="90" customHeight="1">
      <c r="D62" s="18"/>
      <c r="E62" s="18"/>
      <c r="F62" s="18"/>
      <c r="G62" s="18"/>
      <c r="H62" s="27">
        <v>47</v>
      </c>
      <c r="I62" s="13"/>
      <c r="J62" s="14"/>
      <c r="K62" s="14"/>
      <c r="L62" s="14">
        <f t="shared" si="8"/>
        <v>0</v>
      </c>
      <c r="M62" s="27">
        <v>47</v>
      </c>
      <c r="N62" s="13"/>
      <c r="O62" s="14"/>
      <c r="P62" s="14"/>
      <c r="Q62" s="14">
        <f t="shared" si="9"/>
        <v>0</v>
      </c>
      <c r="R62" s="27">
        <v>47</v>
      </c>
      <c r="S62" s="13"/>
      <c r="T62" s="14"/>
      <c r="U62" s="14"/>
      <c r="V62" s="14">
        <f t="shared" si="10"/>
        <v>0</v>
      </c>
      <c r="W62" s="27">
        <v>47</v>
      </c>
      <c r="X62" s="13"/>
      <c r="Y62" s="14"/>
      <c r="Z62" s="14"/>
      <c r="AA62" s="14">
        <f t="shared" si="11"/>
        <v>0</v>
      </c>
      <c r="AB62" s="27">
        <v>47</v>
      </c>
      <c r="AC62" s="13"/>
      <c r="AD62" s="14"/>
      <c r="AE62" s="14"/>
      <c r="AF62" s="14">
        <f t="shared" si="12"/>
        <v>0</v>
      </c>
      <c r="AG62" s="27">
        <v>47</v>
      </c>
      <c r="AH62" s="13"/>
      <c r="AI62" s="14"/>
      <c r="AJ62" s="14"/>
      <c r="AK62" s="14">
        <f t="shared" si="13"/>
        <v>0</v>
      </c>
      <c r="AL62" s="27">
        <v>47</v>
      </c>
      <c r="AM62" s="13"/>
      <c r="AN62" s="14"/>
      <c r="AO62" s="14"/>
      <c r="AP62" s="14">
        <f t="shared" si="14"/>
        <v>0</v>
      </c>
      <c r="AQ62" s="27">
        <v>47</v>
      </c>
      <c r="AR62" s="13"/>
      <c r="AS62" s="14"/>
      <c r="AT62" s="14"/>
      <c r="AU62" s="14">
        <f t="shared" si="15"/>
        <v>0</v>
      </c>
      <c r="AV62" s="18"/>
      <c r="AW62" s="18"/>
      <c r="AX62" s="18"/>
      <c r="AY62" s="18"/>
    </row>
    <row r="63" spans="3:51" s="2" customFormat="1" ht="90" customHeight="1">
      <c r="D63" s="18"/>
      <c r="E63" s="18"/>
      <c r="F63" s="18"/>
      <c r="G63" s="18"/>
      <c r="H63" s="27">
        <v>48</v>
      </c>
      <c r="I63" s="13"/>
      <c r="J63" s="14"/>
      <c r="K63" s="14"/>
      <c r="L63" s="14">
        <f t="shared" si="8"/>
        <v>0</v>
      </c>
      <c r="M63" s="27">
        <v>48</v>
      </c>
      <c r="N63" s="13"/>
      <c r="O63" s="14"/>
      <c r="P63" s="14"/>
      <c r="Q63" s="14">
        <f t="shared" si="9"/>
        <v>0</v>
      </c>
      <c r="R63" s="27">
        <v>48</v>
      </c>
      <c r="S63" s="13"/>
      <c r="T63" s="14"/>
      <c r="U63" s="14"/>
      <c r="V63" s="14">
        <f t="shared" si="10"/>
        <v>0</v>
      </c>
      <c r="W63" s="27">
        <v>48</v>
      </c>
      <c r="X63" s="13"/>
      <c r="Y63" s="14"/>
      <c r="Z63" s="14"/>
      <c r="AA63" s="14">
        <f t="shared" si="11"/>
        <v>0</v>
      </c>
      <c r="AB63" s="27">
        <v>48</v>
      </c>
      <c r="AC63" s="13"/>
      <c r="AD63" s="14"/>
      <c r="AE63" s="14"/>
      <c r="AF63" s="14">
        <f t="shared" si="12"/>
        <v>0</v>
      </c>
      <c r="AG63" s="27">
        <v>48</v>
      </c>
      <c r="AH63" s="13"/>
      <c r="AI63" s="14"/>
      <c r="AJ63" s="14"/>
      <c r="AK63" s="14">
        <f t="shared" si="13"/>
        <v>0</v>
      </c>
      <c r="AL63" s="27">
        <v>48</v>
      </c>
      <c r="AM63" s="13"/>
      <c r="AN63" s="14"/>
      <c r="AO63" s="14"/>
      <c r="AP63" s="14">
        <f t="shared" si="14"/>
        <v>0</v>
      </c>
      <c r="AQ63" s="27">
        <v>48</v>
      </c>
      <c r="AR63" s="13"/>
      <c r="AS63" s="14"/>
      <c r="AT63" s="14"/>
      <c r="AU63" s="14">
        <f t="shared" si="15"/>
        <v>0</v>
      </c>
      <c r="AV63" s="18"/>
      <c r="AW63" s="18"/>
      <c r="AX63" s="18"/>
      <c r="AY63" s="18"/>
    </row>
    <row r="64" spans="3:51" s="2" customFormat="1" ht="90" customHeight="1">
      <c r="D64" s="18"/>
      <c r="E64" s="18"/>
      <c r="F64" s="18"/>
      <c r="G64" s="18"/>
      <c r="H64" s="27">
        <v>49</v>
      </c>
      <c r="I64" s="13"/>
      <c r="J64" s="14"/>
      <c r="K64" s="14"/>
      <c r="L64" s="14">
        <f t="shared" si="8"/>
        <v>0</v>
      </c>
      <c r="M64" s="27">
        <v>49</v>
      </c>
      <c r="N64" s="13"/>
      <c r="O64" s="14"/>
      <c r="P64" s="14"/>
      <c r="Q64" s="14">
        <f t="shared" si="9"/>
        <v>0</v>
      </c>
      <c r="R64" s="27">
        <v>49</v>
      </c>
      <c r="S64" s="13"/>
      <c r="T64" s="14"/>
      <c r="U64" s="14"/>
      <c r="V64" s="14">
        <f t="shared" si="10"/>
        <v>0</v>
      </c>
      <c r="W64" s="27">
        <v>49</v>
      </c>
      <c r="X64" s="13"/>
      <c r="Y64" s="14"/>
      <c r="Z64" s="14"/>
      <c r="AA64" s="14">
        <f t="shared" si="11"/>
        <v>0</v>
      </c>
      <c r="AB64" s="27">
        <v>49</v>
      </c>
      <c r="AC64" s="13"/>
      <c r="AD64" s="14"/>
      <c r="AE64" s="14"/>
      <c r="AF64" s="14">
        <f t="shared" si="12"/>
        <v>0</v>
      </c>
      <c r="AG64" s="27">
        <v>49</v>
      </c>
      <c r="AH64" s="13"/>
      <c r="AI64" s="14"/>
      <c r="AJ64" s="14"/>
      <c r="AK64" s="14">
        <f t="shared" si="13"/>
        <v>0</v>
      </c>
      <c r="AL64" s="27">
        <v>49</v>
      </c>
      <c r="AM64" s="13"/>
      <c r="AN64" s="14"/>
      <c r="AO64" s="14"/>
      <c r="AP64" s="14">
        <f t="shared" si="14"/>
        <v>0</v>
      </c>
      <c r="AQ64" s="27">
        <v>49</v>
      </c>
      <c r="AR64" s="13"/>
      <c r="AS64" s="14"/>
      <c r="AT64" s="14"/>
      <c r="AU64" s="14">
        <f t="shared" si="15"/>
        <v>0</v>
      </c>
      <c r="AV64" s="18"/>
      <c r="AW64" s="18"/>
      <c r="AX64" s="18"/>
      <c r="AY64" s="18"/>
    </row>
    <row r="65" spans="4:51" s="2" customFormat="1" ht="90" customHeight="1">
      <c r="D65" s="18"/>
      <c r="E65" s="18"/>
      <c r="F65" s="18"/>
      <c r="G65" s="18"/>
      <c r="H65" s="27">
        <v>50</v>
      </c>
      <c r="I65" s="13"/>
      <c r="J65" s="14"/>
      <c r="K65" s="14"/>
      <c r="L65" s="14">
        <f t="shared" si="8"/>
        <v>0</v>
      </c>
      <c r="M65" s="27">
        <v>50</v>
      </c>
      <c r="N65" s="13"/>
      <c r="O65" s="14"/>
      <c r="P65" s="14"/>
      <c r="Q65" s="14">
        <f t="shared" si="9"/>
        <v>0</v>
      </c>
      <c r="R65" s="27">
        <v>50</v>
      </c>
      <c r="S65" s="13"/>
      <c r="T65" s="14"/>
      <c r="U65" s="14"/>
      <c r="V65" s="14">
        <f t="shared" si="10"/>
        <v>0</v>
      </c>
      <c r="W65" s="27">
        <v>50</v>
      </c>
      <c r="X65" s="13"/>
      <c r="Y65" s="14"/>
      <c r="Z65" s="14"/>
      <c r="AA65" s="14">
        <f t="shared" si="11"/>
        <v>0</v>
      </c>
      <c r="AB65" s="27">
        <v>50</v>
      </c>
      <c r="AC65" s="13"/>
      <c r="AD65" s="14"/>
      <c r="AE65" s="14"/>
      <c r="AF65" s="14">
        <f t="shared" si="12"/>
        <v>0</v>
      </c>
      <c r="AG65" s="27">
        <v>50</v>
      </c>
      <c r="AH65" s="13"/>
      <c r="AI65" s="14"/>
      <c r="AJ65" s="14"/>
      <c r="AK65" s="14">
        <f t="shared" si="13"/>
        <v>0</v>
      </c>
      <c r="AL65" s="27">
        <v>50</v>
      </c>
      <c r="AM65" s="13"/>
      <c r="AN65" s="14"/>
      <c r="AO65" s="14"/>
      <c r="AP65" s="14">
        <f t="shared" si="14"/>
        <v>0</v>
      </c>
      <c r="AQ65" s="27">
        <v>50</v>
      </c>
      <c r="AR65" s="13"/>
      <c r="AS65" s="14"/>
      <c r="AT65" s="14"/>
      <c r="AU65" s="14">
        <f t="shared" si="15"/>
        <v>0</v>
      </c>
      <c r="AV65" s="18"/>
      <c r="AW65" s="18"/>
      <c r="AX65" s="18"/>
      <c r="AY65" s="18"/>
    </row>
    <row r="66" spans="4:51" s="2" customFormat="1" ht="90" customHeight="1">
      <c r="D66" s="18"/>
      <c r="E66" s="18"/>
      <c r="F66" s="18"/>
      <c r="G66" s="18"/>
      <c r="H66" s="27">
        <v>51</v>
      </c>
      <c r="I66" s="13"/>
      <c r="J66" s="14"/>
      <c r="K66" s="14"/>
      <c r="L66" s="14">
        <f t="shared" si="8"/>
        <v>0</v>
      </c>
      <c r="M66" s="27">
        <v>51</v>
      </c>
      <c r="N66" s="13"/>
      <c r="O66" s="14"/>
      <c r="P66" s="14"/>
      <c r="Q66" s="14">
        <f t="shared" si="9"/>
        <v>0</v>
      </c>
      <c r="R66" s="27">
        <v>51</v>
      </c>
      <c r="S66" s="13"/>
      <c r="T66" s="14"/>
      <c r="U66" s="14"/>
      <c r="V66" s="14">
        <f t="shared" si="10"/>
        <v>0</v>
      </c>
      <c r="W66" s="27">
        <v>51</v>
      </c>
      <c r="X66" s="13"/>
      <c r="Y66" s="14"/>
      <c r="Z66" s="14"/>
      <c r="AA66" s="14">
        <f t="shared" si="11"/>
        <v>0</v>
      </c>
      <c r="AB66" s="27">
        <v>51</v>
      </c>
      <c r="AC66" s="13"/>
      <c r="AD66" s="14"/>
      <c r="AE66" s="14"/>
      <c r="AF66" s="14">
        <f t="shared" si="12"/>
        <v>0</v>
      </c>
      <c r="AG66" s="27">
        <v>51</v>
      </c>
      <c r="AH66" s="13"/>
      <c r="AI66" s="14"/>
      <c r="AJ66" s="14"/>
      <c r="AK66" s="14">
        <f t="shared" si="13"/>
        <v>0</v>
      </c>
      <c r="AL66" s="27">
        <v>51</v>
      </c>
      <c r="AM66" s="13"/>
      <c r="AN66" s="14"/>
      <c r="AO66" s="14"/>
      <c r="AP66" s="14">
        <f t="shared" si="14"/>
        <v>0</v>
      </c>
      <c r="AQ66" s="27">
        <v>51</v>
      </c>
      <c r="AR66" s="13"/>
      <c r="AS66" s="14"/>
      <c r="AT66" s="14"/>
      <c r="AU66" s="14">
        <f t="shared" si="15"/>
        <v>0</v>
      </c>
      <c r="AV66" s="18"/>
      <c r="AW66" s="18"/>
      <c r="AX66" s="18"/>
      <c r="AY66" s="18"/>
    </row>
    <row r="67" spans="4:51" s="2" customFormat="1" ht="90" customHeight="1">
      <c r="D67" s="18"/>
      <c r="E67" s="18"/>
      <c r="F67" s="18"/>
      <c r="G67" s="18"/>
      <c r="H67" s="27">
        <v>52</v>
      </c>
      <c r="I67" s="13"/>
      <c r="J67" s="14"/>
      <c r="K67" s="14"/>
      <c r="L67" s="14">
        <f t="shared" si="8"/>
        <v>0</v>
      </c>
      <c r="M67" s="27">
        <v>52</v>
      </c>
      <c r="N67" s="13"/>
      <c r="O67" s="14"/>
      <c r="P67" s="14"/>
      <c r="Q67" s="14">
        <f t="shared" si="9"/>
        <v>0</v>
      </c>
      <c r="R67" s="27">
        <v>52</v>
      </c>
      <c r="S67" s="13"/>
      <c r="T67" s="14"/>
      <c r="U67" s="14"/>
      <c r="V67" s="14">
        <f t="shared" si="10"/>
        <v>0</v>
      </c>
      <c r="W67" s="27">
        <v>52</v>
      </c>
      <c r="X67" s="13"/>
      <c r="Y67" s="14"/>
      <c r="Z67" s="14"/>
      <c r="AA67" s="14">
        <f t="shared" si="11"/>
        <v>0</v>
      </c>
      <c r="AB67" s="27">
        <v>52</v>
      </c>
      <c r="AC67" s="13"/>
      <c r="AD67" s="14"/>
      <c r="AE67" s="14"/>
      <c r="AF67" s="14">
        <f t="shared" si="12"/>
        <v>0</v>
      </c>
      <c r="AG67" s="27">
        <v>52</v>
      </c>
      <c r="AH67" s="13"/>
      <c r="AI67" s="14"/>
      <c r="AJ67" s="14"/>
      <c r="AK67" s="14">
        <f t="shared" si="13"/>
        <v>0</v>
      </c>
      <c r="AL67" s="27">
        <v>52</v>
      </c>
      <c r="AM67" s="13"/>
      <c r="AN67" s="14"/>
      <c r="AO67" s="14"/>
      <c r="AP67" s="14">
        <f t="shared" si="14"/>
        <v>0</v>
      </c>
      <c r="AQ67" s="27">
        <v>52</v>
      </c>
      <c r="AR67" s="13"/>
      <c r="AS67" s="14"/>
      <c r="AT67" s="14"/>
      <c r="AU67" s="14">
        <f t="shared" si="15"/>
        <v>0</v>
      </c>
      <c r="AV67" s="18"/>
      <c r="AW67" s="18"/>
      <c r="AX67" s="18"/>
      <c r="AY67" s="18"/>
    </row>
    <row r="68" spans="4:51" s="2" customFormat="1" ht="90" customHeight="1">
      <c r="D68" s="18"/>
      <c r="E68" s="18"/>
      <c r="F68" s="18"/>
      <c r="G68" s="18"/>
      <c r="H68" s="27">
        <v>53</v>
      </c>
      <c r="I68" s="13"/>
      <c r="J68" s="14"/>
      <c r="K68" s="14"/>
      <c r="L68" s="14">
        <f t="shared" si="8"/>
        <v>0</v>
      </c>
      <c r="M68" s="27">
        <v>53</v>
      </c>
      <c r="N68" s="13"/>
      <c r="O68" s="14"/>
      <c r="P68" s="14"/>
      <c r="Q68" s="14">
        <f t="shared" si="9"/>
        <v>0</v>
      </c>
      <c r="R68" s="27">
        <v>53</v>
      </c>
      <c r="S68" s="13"/>
      <c r="T68" s="14"/>
      <c r="U68" s="14"/>
      <c r="V68" s="14">
        <f t="shared" si="10"/>
        <v>0</v>
      </c>
      <c r="W68" s="27">
        <v>53</v>
      </c>
      <c r="X68" s="13"/>
      <c r="Y68" s="14"/>
      <c r="Z68" s="14"/>
      <c r="AA68" s="14">
        <f t="shared" si="11"/>
        <v>0</v>
      </c>
      <c r="AB68" s="27">
        <v>53</v>
      </c>
      <c r="AC68" s="13"/>
      <c r="AD68" s="14"/>
      <c r="AE68" s="14"/>
      <c r="AF68" s="14">
        <f t="shared" si="12"/>
        <v>0</v>
      </c>
      <c r="AG68" s="27">
        <v>53</v>
      </c>
      <c r="AH68" s="13"/>
      <c r="AI68" s="14"/>
      <c r="AJ68" s="14"/>
      <c r="AK68" s="14">
        <f t="shared" si="13"/>
        <v>0</v>
      </c>
      <c r="AL68" s="27">
        <v>53</v>
      </c>
      <c r="AM68" s="13"/>
      <c r="AN68" s="14"/>
      <c r="AO68" s="14"/>
      <c r="AP68" s="14">
        <f t="shared" si="14"/>
        <v>0</v>
      </c>
      <c r="AQ68" s="27">
        <v>53</v>
      </c>
      <c r="AR68" s="13"/>
      <c r="AS68" s="14"/>
      <c r="AT68" s="14"/>
      <c r="AU68" s="14">
        <f t="shared" si="15"/>
        <v>0</v>
      </c>
      <c r="AV68" s="18"/>
      <c r="AW68" s="18"/>
      <c r="AX68" s="18"/>
      <c r="AY68" s="18"/>
    </row>
    <row r="69" spans="4:51" s="2" customFormat="1" ht="90" customHeight="1">
      <c r="D69" s="18"/>
      <c r="E69" s="18"/>
      <c r="F69" s="18"/>
      <c r="G69" s="18"/>
      <c r="H69" s="27">
        <v>54</v>
      </c>
      <c r="I69" s="13"/>
      <c r="J69" s="14"/>
      <c r="K69" s="14"/>
      <c r="L69" s="14">
        <f t="shared" si="8"/>
        <v>0</v>
      </c>
      <c r="M69" s="27">
        <v>54</v>
      </c>
      <c r="N69" s="13"/>
      <c r="O69" s="14"/>
      <c r="P69" s="14"/>
      <c r="Q69" s="14">
        <f t="shared" si="9"/>
        <v>0</v>
      </c>
      <c r="R69" s="27">
        <v>54</v>
      </c>
      <c r="S69" s="13"/>
      <c r="T69" s="14"/>
      <c r="U69" s="14"/>
      <c r="V69" s="14">
        <f t="shared" si="10"/>
        <v>0</v>
      </c>
      <c r="W69" s="27">
        <v>54</v>
      </c>
      <c r="X69" s="13"/>
      <c r="Y69" s="14"/>
      <c r="Z69" s="14"/>
      <c r="AA69" s="14">
        <f t="shared" si="11"/>
        <v>0</v>
      </c>
      <c r="AB69" s="27">
        <v>54</v>
      </c>
      <c r="AC69" s="13"/>
      <c r="AD69" s="14"/>
      <c r="AE69" s="14"/>
      <c r="AF69" s="14">
        <f t="shared" si="12"/>
        <v>0</v>
      </c>
      <c r="AG69" s="27">
        <v>54</v>
      </c>
      <c r="AH69" s="13"/>
      <c r="AI69" s="14"/>
      <c r="AJ69" s="14"/>
      <c r="AK69" s="14">
        <f t="shared" si="13"/>
        <v>0</v>
      </c>
      <c r="AL69" s="27">
        <v>54</v>
      </c>
      <c r="AM69" s="13"/>
      <c r="AN69" s="14"/>
      <c r="AO69" s="14"/>
      <c r="AP69" s="14">
        <f t="shared" si="14"/>
        <v>0</v>
      </c>
      <c r="AQ69" s="27">
        <v>54</v>
      </c>
      <c r="AR69" s="13"/>
      <c r="AS69" s="14"/>
      <c r="AT69" s="14"/>
      <c r="AU69" s="14">
        <f t="shared" si="15"/>
        <v>0</v>
      </c>
      <c r="AV69" s="18"/>
      <c r="AW69" s="18"/>
      <c r="AX69" s="18"/>
      <c r="AY69" s="18"/>
    </row>
    <row r="70" spans="4:51" s="2" customFormat="1" ht="90" customHeight="1">
      <c r="D70" s="18"/>
      <c r="E70" s="18"/>
      <c r="F70" s="18"/>
      <c r="G70" s="18"/>
      <c r="H70" s="27">
        <v>55</v>
      </c>
      <c r="I70" s="13"/>
      <c r="J70" s="14"/>
      <c r="K70" s="14"/>
      <c r="L70" s="14">
        <f t="shared" si="8"/>
        <v>0</v>
      </c>
      <c r="M70" s="27">
        <v>55</v>
      </c>
      <c r="N70" s="13"/>
      <c r="O70" s="14"/>
      <c r="P70" s="14"/>
      <c r="Q70" s="14">
        <f t="shared" si="9"/>
        <v>0</v>
      </c>
      <c r="R70" s="27">
        <v>55</v>
      </c>
      <c r="S70" s="13"/>
      <c r="T70" s="14"/>
      <c r="U70" s="14"/>
      <c r="V70" s="14">
        <f t="shared" si="10"/>
        <v>0</v>
      </c>
      <c r="W70" s="27">
        <v>55</v>
      </c>
      <c r="X70" s="13"/>
      <c r="Y70" s="14"/>
      <c r="Z70" s="14"/>
      <c r="AA70" s="14">
        <f t="shared" si="11"/>
        <v>0</v>
      </c>
      <c r="AB70" s="27">
        <v>55</v>
      </c>
      <c r="AC70" s="13"/>
      <c r="AD70" s="14"/>
      <c r="AE70" s="14"/>
      <c r="AF70" s="14">
        <f t="shared" si="12"/>
        <v>0</v>
      </c>
      <c r="AG70" s="27">
        <v>55</v>
      </c>
      <c r="AH70" s="13"/>
      <c r="AI70" s="14"/>
      <c r="AJ70" s="14"/>
      <c r="AK70" s="14">
        <f t="shared" si="13"/>
        <v>0</v>
      </c>
      <c r="AL70" s="27">
        <v>55</v>
      </c>
      <c r="AM70" s="13"/>
      <c r="AN70" s="14"/>
      <c r="AO70" s="14"/>
      <c r="AP70" s="14">
        <f t="shared" si="14"/>
        <v>0</v>
      </c>
      <c r="AQ70" s="27">
        <v>55</v>
      </c>
      <c r="AR70" s="13"/>
      <c r="AS70" s="14"/>
      <c r="AT70" s="14"/>
      <c r="AU70" s="14">
        <f t="shared" si="15"/>
        <v>0</v>
      </c>
      <c r="AV70" s="18"/>
      <c r="AW70" s="18"/>
      <c r="AX70" s="18"/>
      <c r="AY70" s="18"/>
    </row>
    <row r="71" spans="4:51" s="2" customFormat="1" ht="90" customHeight="1">
      <c r="D71" s="18"/>
      <c r="E71" s="18"/>
      <c r="F71" s="18"/>
      <c r="G71" s="18"/>
      <c r="H71" s="27">
        <v>56</v>
      </c>
      <c r="I71" s="13"/>
      <c r="J71" s="14"/>
      <c r="K71" s="14"/>
      <c r="L71" s="14">
        <f t="shared" si="8"/>
        <v>0</v>
      </c>
      <c r="M71" s="27">
        <v>56</v>
      </c>
      <c r="N71" s="13"/>
      <c r="O71" s="14"/>
      <c r="P71" s="14"/>
      <c r="Q71" s="14">
        <f t="shared" si="9"/>
        <v>0</v>
      </c>
      <c r="R71" s="27">
        <v>56</v>
      </c>
      <c r="S71" s="13"/>
      <c r="T71" s="14"/>
      <c r="U71" s="14"/>
      <c r="V71" s="14">
        <f t="shared" si="10"/>
        <v>0</v>
      </c>
      <c r="W71" s="27">
        <v>56</v>
      </c>
      <c r="X71" s="13"/>
      <c r="Y71" s="14"/>
      <c r="Z71" s="14"/>
      <c r="AA71" s="14">
        <f t="shared" si="11"/>
        <v>0</v>
      </c>
      <c r="AB71" s="27">
        <v>56</v>
      </c>
      <c r="AC71" s="13"/>
      <c r="AD71" s="14"/>
      <c r="AE71" s="14"/>
      <c r="AF71" s="14">
        <f t="shared" si="12"/>
        <v>0</v>
      </c>
      <c r="AG71" s="27">
        <v>56</v>
      </c>
      <c r="AH71" s="13"/>
      <c r="AI71" s="14"/>
      <c r="AJ71" s="14"/>
      <c r="AK71" s="14">
        <f t="shared" si="13"/>
        <v>0</v>
      </c>
      <c r="AL71" s="27">
        <v>56</v>
      </c>
      <c r="AM71" s="13"/>
      <c r="AN71" s="14"/>
      <c r="AO71" s="14"/>
      <c r="AP71" s="14">
        <f t="shared" si="14"/>
        <v>0</v>
      </c>
      <c r="AQ71" s="27">
        <v>56</v>
      </c>
      <c r="AR71" s="13"/>
      <c r="AS71" s="14"/>
      <c r="AT71" s="14"/>
      <c r="AU71" s="14">
        <f t="shared" si="15"/>
        <v>0</v>
      </c>
      <c r="AV71" s="18"/>
      <c r="AW71" s="18"/>
      <c r="AX71" s="18"/>
      <c r="AY71" s="18"/>
    </row>
    <row r="72" spans="4:51" s="1" customFormat="1" ht="90" customHeight="1">
      <c r="D72" s="20"/>
      <c r="E72" s="20"/>
      <c r="F72" s="20"/>
      <c r="G72" s="20"/>
      <c r="H72" s="27">
        <v>57</v>
      </c>
      <c r="I72" s="13"/>
      <c r="J72" s="14"/>
      <c r="K72" s="14"/>
      <c r="L72" s="14">
        <f t="shared" si="8"/>
        <v>0</v>
      </c>
      <c r="M72" s="27">
        <v>57</v>
      </c>
      <c r="N72" s="13"/>
      <c r="O72" s="14"/>
      <c r="P72" s="14"/>
      <c r="Q72" s="14">
        <f t="shared" si="9"/>
        <v>0</v>
      </c>
      <c r="R72" s="27">
        <v>57</v>
      </c>
      <c r="S72" s="13"/>
      <c r="T72" s="14"/>
      <c r="U72" s="14"/>
      <c r="V72" s="14">
        <f t="shared" si="10"/>
        <v>0</v>
      </c>
      <c r="W72" s="27">
        <v>57</v>
      </c>
      <c r="X72" s="13"/>
      <c r="Y72" s="14"/>
      <c r="Z72" s="14"/>
      <c r="AA72" s="14">
        <f t="shared" si="11"/>
        <v>0</v>
      </c>
      <c r="AB72" s="27">
        <v>57</v>
      </c>
      <c r="AC72" s="13"/>
      <c r="AD72" s="14"/>
      <c r="AE72" s="14"/>
      <c r="AF72" s="14">
        <f t="shared" si="12"/>
        <v>0</v>
      </c>
      <c r="AG72" s="27">
        <v>57</v>
      </c>
      <c r="AH72" s="13"/>
      <c r="AI72" s="14"/>
      <c r="AJ72" s="14"/>
      <c r="AK72" s="14">
        <f t="shared" si="13"/>
        <v>0</v>
      </c>
      <c r="AL72" s="27">
        <v>57</v>
      </c>
      <c r="AM72" s="13"/>
      <c r="AN72" s="14"/>
      <c r="AO72" s="14"/>
      <c r="AP72" s="14">
        <f t="shared" si="14"/>
        <v>0</v>
      </c>
      <c r="AQ72" s="27">
        <v>57</v>
      </c>
      <c r="AR72" s="13"/>
      <c r="AS72" s="14"/>
      <c r="AT72" s="14"/>
      <c r="AU72" s="14">
        <f t="shared" si="15"/>
        <v>0</v>
      </c>
      <c r="AV72" s="20"/>
      <c r="AW72" s="20"/>
      <c r="AX72" s="20"/>
      <c r="AY72" s="20"/>
    </row>
    <row r="73" spans="4:51" s="1" customFormat="1" ht="90" customHeight="1">
      <c r="D73" s="20"/>
      <c r="E73" s="20"/>
      <c r="F73" s="20"/>
      <c r="G73" s="20"/>
      <c r="H73" s="27">
        <v>58</v>
      </c>
      <c r="I73" s="13"/>
      <c r="J73" s="14"/>
      <c r="K73" s="14"/>
      <c r="L73" s="14">
        <f t="shared" si="8"/>
        <v>0</v>
      </c>
      <c r="M73" s="27">
        <v>58</v>
      </c>
      <c r="N73" s="13"/>
      <c r="O73" s="14"/>
      <c r="P73" s="14"/>
      <c r="Q73" s="14">
        <f t="shared" si="9"/>
        <v>0</v>
      </c>
      <c r="R73" s="27">
        <v>58</v>
      </c>
      <c r="S73" s="13"/>
      <c r="T73" s="14"/>
      <c r="U73" s="14"/>
      <c r="V73" s="14">
        <f t="shared" si="10"/>
        <v>0</v>
      </c>
      <c r="W73" s="27">
        <v>58</v>
      </c>
      <c r="X73" s="13"/>
      <c r="Y73" s="14"/>
      <c r="Z73" s="14"/>
      <c r="AA73" s="14">
        <f t="shared" si="11"/>
        <v>0</v>
      </c>
      <c r="AB73" s="27">
        <v>58</v>
      </c>
      <c r="AC73" s="13"/>
      <c r="AD73" s="14"/>
      <c r="AE73" s="14"/>
      <c r="AF73" s="14">
        <f t="shared" si="12"/>
        <v>0</v>
      </c>
      <c r="AG73" s="27">
        <v>58</v>
      </c>
      <c r="AH73" s="13"/>
      <c r="AI73" s="14"/>
      <c r="AJ73" s="14"/>
      <c r="AK73" s="14">
        <f t="shared" si="13"/>
        <v>0</v>
      </c>
      <c r="AL73" s="27">
        <v>58</v>
      </c>
      <c r="AM73" s="13"/>
      <c r="AN73" s="14"/>
      <c r="AO73" s="14"/>
      <c r="AP73" s="14">
        <f t="shared" si="14"/>
        <v>0</v>
      </c>
      <c r="AQ73" s="27">
        <v>58</v>
      </c>
      <c r="AR73" s="13"/>
      <c r="AS73" s="14"/>
      <c r="AT73" s="14"/>
      <c r="AU73" s="14">
        <f t="shared" si="15"/>
        <v>0</v>
      </c>
      <c r="AV73" s="20"/>
      <c r="AW73" s="20"/>
      <c r="AX73" s="20"/>
      <c r="AY73" s="20"/>
    </row>
    <row r="74" spans="4:51" s="1" customFormat="1" ht="90" customHeight="1">
      <c r="D74" s="20"/>
      <c r="E74" s="20"/>
      <c r="F74" s="20"/>
      <c r="G74" s="20"/>
      <c r="H74" s="27">
        <v>59</v>
      </c>
      <c r="I74" s="13"/>
      <c r="J74" s="14"/>
      <c r="K74" s="14"/>
      <c r="L74" s="14">
        <f t="shared" si="8"/>
        <v>0</v>
      </c>
      <c r="M74" s="27">
        <v>59</v>
      </c>
      <c r="N74" s="13"/>
      <c r="O74" s="14"/>
      <c r="P74" s="14"/>
      <c r="Q74" s="14">
        <f t="shared" si="9"/>
        <v>0</v>
      </c>
      <c r="R74" s="27">
        <v>59</v>
      </c>
      <c r="S74" s="13"/>
      <c r="T74" s="14"/>
      <c r="U74" s="14"/>
      <c r="V74" s="14">
        <f t="shared" si="10"/>
        <v>0</v>
      </c>
      <c r="W74" s="27">
        <v>59</v>
      </c>
      <c r="X74" s="13"/>
      <c r="Y74" s="14"/>
      <c r="Z74" s="14"/>
      <c r="AA74" s="14">
        <f t="shared" si="11"/>
        <v>0</v>
      </c>
      <c r="AB74" s="27">
        <v>59</v>
      </c>
      <c r="AC74" s="13"/>
      <c r="AD74" s="14"/>
      <c r="AE74" s="14"/>
      <c r="AF74" s="14">
        <f t="shared" si="12"/>
        <v>0</v>
      </c>
      <c r="AG74" s="27">
        <v>59</v>
      </c>
      <c r="AH74" s="13"/>
      <c r="AI74" s="14"/>
      <c r="AJ74" s="14"/>
      <c r="AK74" s="14">
        <f t="shared" si="13"/>
        <v>0</v>
      </c>
      <c r="AL74" s="27">
        <v>59</v>
      </c>
      <c r="AM74" s="13"/>
      <c r="AN74" s="14"/>
      <c r="AO74" s="14"/>
      <c r="AP74" s="14">
        <f t="shared" si="14"/>
        <v>0</v>
      </c>
      <c r="AQ74" s="27">
        <v>59</v>
      </c>
      <c r="AR74" s="13"/>
      <c r="AS74" s="14"/>
      <c r="AT74" s="14"/>
      <c r="AU74" s="14">
        <f t="shared" si="15"/>
        <v>0</v>
      </c>
      <c r="AV74" s="20"/>
      <c r="AW74" s="20"/>
      <c r="AX74" s="20"/>
      <c r="AY74" s="20"/>
    </row>
    <row r="75" spans="4:51" s="1" customFormat="1" ht="90" customHeight="1">
      <c r="D75" s="20"/>
      <c r="E75" s="20"/>
      <c r="F75" s="20"/>
      <c r="G75" s="20"/>
      <c r="H75" s="27">
        <v>60</v>
      </c>
      <c r="I75" s="13"/>
      <c r="J75" s="14"/>
      <c r="K75" s="14"/>
      <c r="L75" s="14">
        <f t="shared" si="8"/>
        <v>0</v>
      </c>
      <c r="M75" s="27">
        <v>60</v>
      </c>
      <c r="N75" s="13"/>
      <c r="O75" s="14"/>
      <c r="P75" s="14"/>
      <c r="Q75" s="14">
        <f t="shared" si="9"/>
        <v>0</v>
      </c>
      <c r="R75" s="27">
        <v>60</v>
      </c>
      <c r="S75" s="13"/>
      <c r="T75" s="14"/>
      <c r="U75" s="14"/>
      <c r="V75" s="14">
        <f t="shared" si="10"/>
        <v>0</v>
      </c>
      <c r="W75" s="27">
        <v>60</v>
      </c>
      <c r="X75" s="13"/>
      <c r="Y75" s="14"/>
      <c r="Z75" s="14"/>
      <c r="AA75" s="14">
        <f t="shared" si="11"/>
        <v>0</v>
      </c>
      <c r="AB75" s="27">
        <v>60</v>
      </c>
      <c r="AC75" s="13"/>
      <c r="AD75" s="14"/>
      <c r="AE75" s="14"/>
      <c r="AF75" s="14">
        <f t="shared" si="12"/>
        <v>0</v>
      </c>
      <c r="AG75" s="27">
        <v>60</v>
      </c>
      <c r="AH75" s="13"/>
      <c r="AI75" s="14"/>
      <c r="AJ75" s="14"/>
      <c r="AK75" s="14">
        <f t="shared" si="13"/>
        <v>0</v>
      </c>
      <c r="AL75" s="27">
        <v>60</v>
      </c>
      <c r="AM75" s="13"/>
      <c r="AN75" s="14"/>
      <c r="AO75" s="14"/>
      <c r="AP75" s="14">
        <f t="shared" si="14"/>
        <v>0</v>
      </c>
      <c r="AQ75" s="27">
        <v>60</v>
      </c>
      <c r="AR75" s="13"/>
      <c r="AS75" s="14"/>
      <c r="AT75" s="14"/>
      <c r="AU75" s="14">
        <f t="shared" si="15"/>
        <v>0</v>
      </c>
      <c r="AV75" s="20"/>
      <c r="AW75" s="20"/>
      <c r="AX75" s="20"/>
      <c r="AY75" s="20"/>
    </row>
    <row r="76" spans="4:51" s="1" customFormat="1" ht="90" customHeight="1">
      <c r="D76" s="20"/>
      <c r="E76" s="20"/>
      <c r="F76" s="20"/>
      <c r="G76" s="20"/>
      <c r="H76" s="27">
        <v>61</v>
      </c>
      <c r="I76" s="13"/>
      <c r="J76" s="14"/>
      <c r="K76" s="14"/>
      <c r="L76" s="14">
        <f t="shared" si="8"/>
        <v>0</v>
      </c>
      <c r="M76" s="27">
        <v>61</v>
      </c>
      <c r="N76" s="13"/>
      <c r="O76" s="14"/>
      <c r="P76" s="14"/>
      <c r="Q76" s="14">
        <f t="shared" si="9"/>
        <v>0</v>
      </c>
      <c r="R76" s="27">
        <v>61</v>
      </c>
      <c r="S76" s="13"/>
      <c r="T76" s="14"/>
      <c r="U76" s="14"/>
      <c r="V76" s="14">
        <f t="shared" si="10"/>
        <v>0</v>
      </c>
      <c r="W76" s="27">
        <v>61</v>
      </c>
      <c r="X76" s="13"/>
      <c r="Y76" s="14"/>
      <c r="Z76" s="14"/>
      <c r="AA76" s="14">
        <f t="shared" si="11"/>
        <v>0</v>
      </c>
      <c r="AB76" s="27">
        <v>61</v>
      </c>
      <c r="AC76" s="13"/>
      <c r="AD76" s="14"/>
      <c r="AE76" s="14"/>
      <c r="AF76" s="14">
        <f t="shared" si="12"/>
        <v>0</v>
      </c>
      <c r="AG76" s="27">
        <v>61</v>
      </c>
      <c r="AH76" s="13"/>
      <c r="AI76" s="14"/>
      <c r="AJ76" s="14"/>
      <c r="AK76" s="14">
        <f t="shared" si="13"/>
        <v>0</v>
      </c>
      <c r="AL76" s="27">
        <v>61</v>
      </c>
      <c r="AM76" s="13"/>
      <c r="AN76" s="14"/>
      <c r="AO76" s="14"/>
      <c r="AP76" s="14">
        <f t="shared" si="14"/>
        <v>0</v>
      </c>
      <c r="AQ76" s="27">
        <v>61</v>
      </c>
      <c r="AR76" s="13"/>
      <c r="AS76" s="14"/>
      <c r="AT76" s="14"/>
      <c r="AU76" s="14">
        <f t="shared" si="15"/>
        <v>0</v>
      </c>
      <c r="AV76" s="20"/>
      <c r="AW76" s="20"/>
      <c r="AX76" s="20"/>
      <c r="AY76" s="20"/>
    </row>
    <row r="77" spans="4:51" s="1" customFormat="1" ht="90" customHeight="1">
      <c r="D77" s="20"/>
      <c r="E77" s="20"/>
      <c r="F77" s="20"/>
      <c r="G77" s="20"/>
      <c r="H77" s="27">
        <v>62</v>
      </c>
      <c r="I77" s="13"/>
      <c r="J77" s="14"/>
      <c r="K77" s="14"/>
      <c r="L77" s="14">
        <f t="shared" si="8"/>
        <v>0</v>
      </c>
      <c r="M77" s="27">
        <v>62</v>
      </c>
      <c r="N77" s="13"/>
      <c r="O77" s="14"/>
      <c r="P77" s="14"/>
      <c r="Q77" s="14">
        <f t="shared" si="9"/>
        <v>0</v>
      </c>
      <c r="R77" s="27">
        <v>62</v>
      </c>
      <c r="S77" s="13"/>
      <c r="T77" s="14"/>
      <c r="U77" s="14"/>
      <c r="V77" s="14">
        <f t="shared" si="10"/>
        <v>0</v>
      </c>
      <c r="W77" s="27">
        <v>62</v>
      </c>
      <c r="X77" s="13"/>
      <c r="Y77" s="14"/>
      <c r="Z77" s="14"/>
      <c r="AA77" s="14">
        <f t="shared" si="11"/>
        <v>0</v>
      </c>
      <c r="AB77" s="27">
        <v>62</v>
      </c>
      <c r="AC77" s="13"/>
      <c r="AD77" s="14"/>
      <c r="AE77" s="14"/>
      <c r="AF77" s="14">
        <f t="shared" si="12"/>
        <v>0</v>
      </c>
      <c r="AG77" s="27">
        <v>62</v>
      </c>
      <c r="AH77" s="13"/>
      <c r="AI77" s="14"/>
      <c r="AJ77" s="14"/>
      <c r="AK77" s="14">
        <f t="shared" si="13"/>
        <v>0</v>
      </c>
      <c r="AL77" s="27">
        <v>62</v>
      </c>
      <c r="AM77" s="13"/>
      <c r="AN77" s="14"/>
      <c r="AO77" s="14"/>
      <c r="AP77" s="14">
        <f t="shared" si="14"/>
        <v>0</v>
      </c>
      <c r="AQ77" s="27">
        <v>62</v>
      </c>
      <c r="AR77" s="13"/>
      <c r="AS77" s="14"/>
      <c r="AT77" s="14"/>
      <c r="AU77" s="14">
        <f t="shared" si="15"/>
        <v>0</v>
      </c>
      <c r="AV77" s="20"/>
      <c r="AW77" s="20"/>
      <c r="AX77" s="20"/>
      <c r="AY77" s="20"/>
    </row>
    <row r="78" spans="4:51" s="1" customFormat="1" ht="90" customHeight="1">
      <c r="D78" s="20"/>
      <c r="E78" s="20"/>
      <c r="F78" s="20"/>
      <c r="G78" s="20"/>
      <c r="H78" s="27">
        <v>63</v>
      </c>
      <c r="I78" s="13"/>
      <c r="J78" s="14"/>
      <c r="K78" s="14"/>
      <c r="L78" s="14">
        <f t="shared" si="8"/>
        <v>0</v>
      </c>
      <c r="M78" s="27">
        <v>63</v>
      </c>
      <c r="N78" s="13"/>
      <c r="O78" s="14"/>
      <c r="P78" s="14"/>
      <c r="Q78" s="14">
        <f t="shared" si="9"/>
        <v>0</v>
      </c>
      <c r="R78" s="27">
        <v>63</v>
      </c>
      <c r="S78" s="13"/>
      <c r="T78" s="14"/>
      <c r="U78" s="14"/>
      <c r="V78" s="14">
        <f t="shared" si="10"/>
        <v>0</v>
      </c>
      <c r="W78" s="27">
        <v>63</v>
      </c>
      <c r="X78" s="13"/>
      <c r="Y78" s="14"/>
      <c r="Z78" s="14"/>
      <c r="AA78" s="14">
        <f t="shared" si="11"/>
        <v>0</v>
      </c>
      <c r="AB78" s="27">
        <v>63</v>
      </c>
      <c r="AC78" s="13"/>
      <c r="AD78" s="14"/>
      <c r="AE78" s="14"/>
      <c r="AF78" s="14">
        <f t="shared" si="12"/>
        <v>0</v>
      </c>
      <c r="AG78" s="27">
        <v>63</v>
      </c>
      <c r="AH78" s="13"/>
      <c r="AI78" s="14"/>
      <c r="AJ78" s="14"/>
      <c r="AK78" s="14">
        <f t="shared" si="13"/>
        <v>0</v>
      </c>
      <c r="AL78" s="27">
        <v>63</v>
      </c>
      <c r="AM78" s="13"/>
      <c r="AN78" s="14"/>
      <c r="AO78" s="14"/>
      <c r="AP78" s="14">
        <f t="shared" si="14"/>
        <v>0</v>
      </c>
      <c r="AQ78" s="27">
        <v>63</v>
      </c>
      <c r="AR78" s="13"/>
      <c r="AS78" s="14"/>
      <c r="AT78" s="14"/>
      <c r="AU78" s="14">
        <f t="shared" si="15"/>
        <v>0</v>
      </c>
      <c r="AV78" s="20"/>
      <c r="AW78" s="20"/>
      <c r="AX78" s="20"/>
      <c r="AY78" s="20"/>
    </row>
    <row r="79" spans="4:51" s="1" customFormat="1" ht="90" customHeight="1">
      <c r="H79" s="27">
        <v>64</v>
      </c>
      <c r="I79" s="13"/>
      <c r="J79" s="14"/>
      <c r="K79" s="14"/>
      <c r="L79" s="14">
        <f t="shared" si="8"/>
        <v>0</v>
      </c>
      <c r="M79" s="27">
        <v>64</v>
      </c>
      <c r="N79" s="13"/>
      <c r="O79" s="14"/>
      <c r="P79" s="14"/>
      <c r="Q79" s="14">
        <f t="shared" si="9"/>
        <v>0</v>
      </c>
      <c r="R79" s="27">
        <v>64</v>
      </c>
      <c r="S79" s="13"/>
      <c r="T79" s="14"/>
      <c r="U79" s="14"/>
      <c r="V79" s="14">
        <f t="shared" si="10"/>
        <v>0</v>
      </c>
      <c r="W79" s="27">
        <v>64</v>
      </c>
      <c r="X79" s="13"/>
      <c r="Y79" s="14"/>
      <c r="Z79" s="14"/>
      <c r="AA79" s="14">
        <f t="shared" si="11"/>
        <v>0</v>
      </c>
      <c r="AB79" s="27">
        <v>64</v>
      </c>
      <c r="AC79" s="13"/>
      <c r="AD79" s="14"/>
      <c r="AE79" s="14"/>
      <c r="AF79" s="14">
        <f t="shared" si="12"/>
        <v>0</v>
      </c>
      <c r="AG79" s="27">
        <v>64</v>
      </c>
      <c r="AH79" s="13"/>
      <c r="AI79" s="14"/>
      <c r="AJ79" s="14"/>
      <c r="AK79" s="14">
        <f t="shared" si="13"/>
        <v>0</v>
      </c>
      <c r="AL79" s="27">
        <v>64</v>
      </c>
      <c r="AM79" s="13"/>
      <c r="AN79" s="14"/>
      <c r="AO79" s="14"/>
      <c r="AP79" s="14">
        <f t="shared" si="14"/>
        <v>0</v>
      </c>
      <c r="AQ79" s="27">
        <v>64</v>
      </c>
      <c r="AR79" s="13"/>
      <c r="AS79" s="14"/>
      <c r="AT79" s="14"/>
      <c r="AU79" s="14">
        <f t="shared" si="15"/>
        <v>0</v>
      </c>
    </row>
    <row r="80" spans="4:51" s="1" customFormat="1" ht="90" customHeight="1">
      <c r="H80" s="27">
        <v>65</v>
      </c>
      <c r="I80" s="13"/>
      <c r="J80" s="14"/>
      <c r="K80" s="14"/>
      <c r="L80" s="14">
        <f t="shared" si="8"/>
        <v>0</v>
      </c>
      <c r="M80" s="27">
        <v>65</v>
      </c>
      <c r="N80" s="13"/>
      <c r="O80" s="14"/>
      <c r="P80" s="14"/>
      <c r="Q80" s="14">
        <f t="shared" si="9"/>
        <v>0</v>
      </c>
      <c r="R80" s="27">
        <v>65</v>
      </c>
      <c r="S80" s="13"/>
      <c r="T80" s="14"/>
      <c r="U80" s="14"/>
      <c r="V80" s="14">
        <f t="shared" si="10"/>
        <v>0</v>
      </c>
      <c r="W80" s="27">
        <v>65</v>
      </c>
      <c r="X80" s="13"/>
      <c r="Y80" s="14"/>
      <c r="Z80" s="14"/>
      <c r="AA80" s="14">
        <f t="shared" si="11"/>
        <v>0</v>
      </c>
      <c r="AB80" s="27">
        <v>65</v>
      </c>
      <c r="AC80" s="13"/>
      <c r="AD80" s="14"/>
      <c r="AE80" s="14"/>
      <c r="AF80" s="14">
        <f t="shared" si="12"/>
        <v>0</v>
      </c>
      <c r="AG80" s="27">
        <v>65</v>
      </c>
      <c r="AH80" s="13"/>
      <c r="AI80" s="14"/>
      <c r="AJ80" s="14"/>
      <c r="AK80" s="14">
        <f t="shared" si="13"/>
        <v>0</v>
      </c>
      <c r="AL80" s="27">
        <v>65</v>
      </c>
      <c r="AM80" s="13"/>
      <c r="AN80" s="14"/>
      <c r="AO80" s="14"/>
      <c r="AP80" s="14">
        <f t="shared" si="14"/>
        <v>0</v>
      </c>
      <c r="AQ80" s="27">
        <v>65</v>
      </c>
      <c r="AR80" s="13"/>
      <c r="AS80" s="14"/>
      <c r="AT80" s="14"/>
      <c r="AU80" s="14">
        <f t="shared" si="15"/>
        <v>0</v>
      </c>
    </row>
    <row r="81" spans="8:47" s="1" customFormat="1" ht="90" customHeight="1">
      <c r="H81" s="27">
        <v>66</v>
      </c>
      <c r="I81" s="13"/>
      <c r="J81" s="14"/>
      <c r="K81" s="14"/>
      <c r="L81" s="14">
        <f t="shared" si="8"/>
        <v>0</v>
      </c>
      <c r="M81" s="27">
        <v>66</v>
      </c>
      <c r="N81" s="13"/>
      <c r="O81" s="14"/>
      <c r="P81" s="14"/>
      <c r="Q81" s="14">
        <f t="shared" si="9"/>
        <v>0</v>
      </c>
      <c r="R81" s="27">
        <v>66</v>
      </c>
      <c r="S81" s="13"/>
      <c r="T81" s="14"/>
      <c r="U81" s="14"/>
      <c r="V81" s="14">
        <f t="shared" si="10"/>
        <v>0</v>
      </c>
      <c r="W81" s="27">
        <v>66</v>
      </c>
      <c r="X81" s="13"/>
      <c r="Y81" s="14"/>
      <c r="Z81" s="14"/>
      <c r="AA81" s="14">
        <f t="shared" si="11"/>
        <v>0</v>
      </c>
      <c r="AB81" s="27">
        <v>66</v>
      </c>
      <c r="AC81" s="13"/>
      <c r="AD81" s="14"/>
      <c r="AE81" s="14"/>
      <c r="AF81" s="14">
        <f t="shared" si="12"/>
        <v>0</v>
      </c>
      <c r="AG81" s="27">
        <v>66</v>
      </c>
      <c r="AH81" s="13"/>
      <c r="AI81" s="14"/>
      <c r="AJ81" s="14"/>
      <c r="AK81" s="14">
        <f t="shared" si="13"/>
        <v>0</v>
      </c>
      <c r="AL81" s="27">
        <v>66</v>
      </c>
      <c r="AM81" s="13"/>
      <c r="AN81" s="14"/>
      <c r="AO81" s="14"/>
      <c r="AP81" s="14">
        <f t="shared" si="14"/>
        <v>0</v>
      </c>
      <c r="AQ81" s="27">
        <v>66</v>
      </c>
      <c r="AR81" s="13"/>
      <c r="AS81" s="14"/>
      <c r="AT81" s="14"/>
      <c r="AU81" s="14">
        <f t="shared" si="15"/>
        <v>0</v>
      </c>
    </row>
    <row r="82" spans="8:47" s="1" customFormat="1" ht="90" customHeight="1">
      <c r="H82" s="27">
        <v>67</v>
      </c>
      <c r="I82" s="13"/>
      <c r="J82" s="14"/>
      <c r="K82" s="14"/>
      <c r="L82" s="14">
        <f t="shared" si="8"/>
        <v>0</v>
      </c>
      <c r="M82" s="27">
        <v>67</v>
      </c>
      <c r="N82" s="13"/>
      <c r="O82" s="14"/>
      <c r="P82" s="14"/>
      <c r="Q82" s="14">
        <f t="shared" si="9"/>
        <v>0</v>
      </c>
      <c r="R82" s="27">
        <v>67</v>
      </c>
      <c r="S82" s="13"/>
      <c r="T82" s="14"/>
      <c r="U82" s="14"/>
      <c r="V82" s="14">
        <f t="shared" si="10"/>
        <v>0</v>
      </c>
      <c r="W82" s="27">
        <v>67</v>
      </c>
      <c r="X82" s="13"/>
      <c r="Y82" s="14"/>
      <c r="Z82" s="14"/>
      <c r="AA82" s="14">
        <f t="shared" si="11"/>
        <v>0</v>
      </c>
      <c r="AB82" s="27">
        <v>67</v>
      </c>
      <c r="AC82" s="13"/>
      <c r="AD82" s="14"/>
      <c r="AE82" s="14"/>
      <c r="AF82" s="14">
        <f t="shared" si="12"/>
        <v>0</v>
      </c>
      <c r="AG82" s="27">
        <v>67</v>
      </c>
      <c r="AH82" s="13"/>
      <c r="AI82" s="14"/>
      <c r="AJ82" s="14"/>
      <c r="AK82" s="14">
        <f t="shared" si="13"/>
        <v>0</v>
      </c>
      <c r="AL82" s="27">
        <v>67</v>
      </c>
      <c r="AM82" s="13"/>
      <c r="AN82" s="14"/>
      <c r="AO82" s="14"/>
      <c r="AP82" s="14">
        <f t="shared" si="14"/>
        <v>0</v>
      </c>
      <c r="AQ82" s="27">
        <v>67</v>
      </c>
      <c r="AR82" s="13"/>
      <c r="AS82" s="14"/>
      <c r="AT82" s="14"/>
      <c r="AU82" s="14">
        <f t="shared" si="15"/>
        <v>0</v>
      </c>
    </row>
    <row r="83" spans="8:47" s="1" customFormat="1" ht="90" customHeight="1">
      <c r="H83" s="27">
        <v>68</v>
      </c>
      <c r="I83" s="13"/>
      <c r="J83" s="14"/>
      <c r="K83" s="14"/>
      <c r="L83" s="14">
        <f t="shared" si="8"/>
        <v>0</v>
      </c>
      <c r="M83" s="27">
        <v>68</v>
      </c>
      <c r="N83" s="13"/>
      <c r="O83" s="14"/>
      <c r="P83" s="14"/>
      <c r="Q83" s="14">
        <f t="shared" si="9"/>
        <v>0</v>
      </c>
      <c r="R83" s="27">
        <v>68</v>
      </c>
      <c r="S83" s="13"/>
      <c r="T83" s="14"/>
      <c r="U83" s="14"/>
      <c r="V83" s="14">
        <f t="shared" si="10"/>
        <v>0</v>
      </c>
      <c r="W83" s="27">
        <v>68</v>
      </c>
      <c r="X83" s="13"/>
      <c r="Y83" s="14"/>
      <c r="Z83" s="14"/>
      <c r="AA83" s="14">
        <f t="shared" si="11"/>
        <v>0</v>
      </c>
      <c r="AB83" s="27">
        <v>68</v>
      </c>
      <c r="AC83" s="13"/>
      <c r="AD83" s="14"/>
      <c r="AE83" s="14"/>
      <c r="AF83" s="14">
        <f t="shared" si="12"/>
        <v>0</v>
      </c>
      <c r="AG83" s="27">
        <v>68</v>
      </c>
      <c r="AH83" s="13"/>
      <c r="AI83" s="14"/>
      <c r="AJ83" s="14"/>
      <c r="AK83" s="14">
        <f t="shared" si="13"/>
        <v>0</v>
      </c>
      <c r="AL83" s="27">
        <v>68</v>
      </c>
      <c r="AM83" s="13"/>
      <c r="AN83" s="14"/>
      <c r="AO83" s="14"/>
      <c r="AP83" s="14">
        <f t="shared" si="14"/>
        <v>0</v>
      </c>
      <c r="AQ83" s="27">
        <v>68</v>
      </c>
      <c r="AR83" s="13"/>
      <c r="AS83" s="14"/>
      <c r="AT83" s="14"/>
      <c r="AU83" s="14">
        <f t="shared" si="15"/>
        <v>0</v>
      </c>
    </row>
    <row r="84" spans="8:47" s="1" customFormat="1" ht="90" customHeight="1">
      <c r="H84" s="27">
        <v>69</v>
      </c>
      <c r="I84" s="13"/>
      <c r="J84" s="14"/>
      <c r="K84" s="14"/>
      <c r="L84" s="14">
        <f t="shared" si="8"/>
        <v>0</v>
      </c>
      <c r="M84" s="27">
        <v>69</v>
      </c>
      <c r="N84" s="13"/>
      <c r="O84" s="14"/>
      <c r="P84" s="14"/>
      <c r="Q84" s="14">
        <f t="shared" si="9"/>
        <v>0</v>
      </c>
      <c r="R84" s="27">
        <v>69</v>
      </c>
      <c r="S84" s="13"/>
      <c r="T84" s="14"/>
      <c r="U84" s="14"/>
      <c r="V84" s="14">
        <f t="shared" si="10"/>
        <v>0</v>
      </c>
      <c r="W84" s="27">
        <v>69</v>
      </c>
      <c r="X84" s="13"/>
      <c r="Y84" s="14"/>
      <c r="Z84" s="14"/>
      <c r="AA84" s="14">
        <f t="shared" si="11"/>
        <v>0</v>
      </c>
      <c r="AB84" s="27">
        <v>69</v>
      </c>
      <c r="AC84" s="13"/>
      <c r="AD84" s="14"/>
      <c r="AE84" s="14"/>
      <c r="AF84" s="14">
        <f t="shared" si="12"/>
        <v>0</v>
      </c>
      <c r="AG84" s="27">
        <v>69</v>
      </c>
      <c r="AH84" s="13"/>
      <c r="AI84" s="14"/>
      <c r="AJ84" s="14"/>
      <c r="AK84" s="14">
        <f t="shared" si="13"/>
        <v>0</v>
      </c>
      <c r="AL84" s="27">
        <v>69</v>
      </c>
      <c r="AM84" s="13"/>
      <c r="AN84" s="14"/>
      <c r="AO84" s="14"/>
      <c r="AP84" s="14">
        <f t="shared" si="14"/>
        <v>0</v>
      </c>
      <c r="AQ84" s="27">
        <v>69</v>
      </c>
      <c r="AR84" s="13"/>
      <c r="AS84" s="14"/>
      <c r="AT84" s="14"/>
      <c r="AU84" s="14">
        <f t="shared" si="15"/>
        <v>0</v>
      </c>
    </row>
    <row r="85" spans="8:47" s="1" customFormat="1" ht="90" customHeight="1">
      <c r="H85" s="27">
        <v>70</v>
      </c>
      <c r="I85" s="13"/>
      <c r="J85" s="14"/>
      <c r="K85" s="14"/>
      <c r="L85" s="14">
        <f t="shared" si="8"/>
        <v>0</v>
      </c>
      <c r="M85" s="27">
        <v>70</v>
      </c>
      <c r="N85" s="13"/>
      <c r="O85" s="14"/>
      <c r="P85" s="14"/>
      <c r="Q85" s="14">
        <f t="shared" si="9"/>
        <v>0</v>
      </c>
      <c r="R85" s="27">
        <v>70</v>
      </c>
      <c r="S85" s="13"/>
      <c r="T85" s="14"/>
      <c r="U85" s="14"/>
      <c r="V85" s="14">
        <f t="shared" si="10"/>
        <v>0</v>
      </c>
      <c r="W85" s="27">
        <v>70</v>
      </c>
      <c r="X85" s="13"/>
      <c r="Y85" s="14"/>
      <c r="Z85" s="14"/>
      <c r="AA85" s="14">
        <f t="shared" si="11"/>
        <v>0</v>
      </c>
      <c r="AB85" s="27">
        <v>70</v>
      </c>
      <c r="AC85" s="13"/>
      <c r="AD85" s="14"/>
      <c r="AE85" s="14"/>
      <c r="AF85" s="14">
        <f t="shared" si="12"/>
        <v>0</v>
      </c>
      <c r="AG85" s="27">
        <v>70</v>
      </c>
      <c r="AH85" s="13"/>
      <c r="AI85" s="14"/>
      <c r="AJ85" s="14"/>
      <c r="AK85" s="14">
        <f t="shared" si="13"/>
        <v>0</v>
      </c>
      <c r="AL85" s="27">
        <v>70</v>
      </c>
      <c r="AM85" s="13"/>
      <c r="AN85" s="14"/>
      <c r="AO85" s="14"/>
      <c r="AP85" s="14">
        <f t="shared" si="14"/>
        <v>0</v>
      </c>
      <c r="AQ85" s="27">
        <v>70</v>
      </c>
      <c r="AR85" s="13"/>
      <c r="AS85" s="14"/>
      <c r="AT85" s="14"/>
      <c r="AU85" s="14">
        <f t="shared" si="15"/>
        <v>0</v>
      </c>
    </row>
    <row r="86" spans="8:47" s="1" customFormat="1" ht="90" customHeight="1">
      <c r="H86" s="27">
        <v>71</v>
      </c>
      <c r="I86" s="13"/>
      <c r="J86" s="14"/>
      <c r="K86" s="14"/>
      <c r="L86" s="14">
        <f t="shared" si="8"/>
        <v>0</v>
      </c>
      <c r="M86" s="27">
        <v>71</v>
      </c>
      <c r="N86" s="13"/>
      <c r="O86" s="14"/>
      <c r="P86" s="14"/>
      <c r="Q86" s="14">
        <f t="shared" si="9"/>
        <v>0</v>
      </c>
      <c r="R86" s="27">
        <v>71</v>
      </c>
      <c r="S86" s="13"/>
      <c r="T86" s="14"/>
      <c r="U86" s="14"/>
      <c r="V86" s="14">
        <f t="shared" si="10"/>
        <v>0</v>
      </c>
      <c r="W86" s="27">
        <v>71</v>
      </c>
      <c r="X86" s="13"/>
      <c r="Y86" s="14"/>
      <c r="Z86" s="14"/>
      <c r="AA86" s="14">
        <f t="shared" si="11"/>
        <v>0</v>
      </c>
      <c r="AB86" s="27">
        <v>71</v>
      </c>
      <c r="AC86" s="13"/>
      <c r="AD86" s="14"/>
      <c r="AE86" s="14"/>
      <c r="AF86" s="14">
        <f t="shared" si="12"/>
        <v>0</v>
      </c>
      <c r="AG86" s="27">
        <v>71</v>
      </c>
      <c r="AH86" s="13"/>
      <c r="AI86" s="14"/>
      <c r="AJ86" s="14"/>
      <c r="AK86" s="14">
        <f t="shared" si="13"/>
        <v>0</v>
      </c>
      <c r="AL86" s="27">
        <v>71</v>
      </c>
      <c r="AM86" s="13"/>
      <c r="AN86" s="14"/>
      <c r="AO86" s="14"/>
      <c r="AP86" s="14">
        <f t="shared" si="14"/>
        <v>0</v>
      </c>
      <c r="AQ86" s="27">
        <v>71</v>
      </c>
      <c r="AR86" s="13"/>
      <c r="AS86" s="14"/>
      <c r="AT86" s="14"/>
      <c r="AU86" s="14">
        <f t="shared" si="15"/>
        <v>0</v>
      </c>
    </row>
    <row r="87" spans="8:47" s="1" customFormat="1" ht="90" customHeight="1">
      <c r="H87" s="27">
        <v>72</v>
      </c>
      <c r="I87" s="13"/>
      <c r="J87" s="14"/>
      <c r="K87" s="14"/>
      <c r="L87" s="14">
        <f t="shared" si="8"/>
        <v>0</v>
      </c>
      <c r="M87" s="27">
        <v>72</v>
      </c>
      <c r="N87" s="13"/>
      <c r="O87" s="14"/>
      <c r="P87" s="14"/>
      <c r="Q87" s="14">
        <f t="shared" si="9"/>
        <v>0</v>
      </c>
      <c r="R87" s="27">
        <v>72</v>
      </c>
      <c r="S87" s="13"/>
      <c r="T87" s="14"/>
      <c r="U87" s="14"/>
      <c r="V87" s="14">
        <f t="shared" si="10"/>
        <v>0</v>
      </c>
      <c r="W87" s="27">
        <v>72</v>
      </c>
      <c r="X87" s="13"/>
      <c r="Y87" s="14"/>
      <c r="Z87" s="14"/>
      <c r="AA87" s="14">
        <f t="shared" si="11"/>
        <v>0</v>
      </c>
      <c r="AB87" s="27">
        <v>72</v>
      </c>
      <c r="AC87" s="13"/>
      <c r="AD87" s="14"/>
      <c r="AE87" s="14"/>
      <c r="AF87" s="14">
        <f t="shared" si="12"/>
        <v>0</v>
      </c>
      <c r="AG87" s="27">
        <v>72</v>
      </c>
      <c r="AH87" s="13"/>
      <c r="AI87" s="14"/>
      <c r="AJ87" s="14"/>
      <c r="AK87" s="14">
        <f t="shared" si="13"/>
        <v>0</v>
      </c>
      <c r="AL87" s="27">
        <v>72</v>
      </c>
      <c r="AM87" s="13"/>
      <c r="AN87" s="14"/>
      <c r="AO87" s="14"/>
      <c r="AP87" s="14">
        <f t="shared" si="14"/>
        <v>0</v>
      </c>
      <c r="AQ87" s="27">
        <v>72</v>
      </c>
      <c r="AR87" s="13"/>
      <c r="AS87" s="14"/>
      <c r="AT87" s="14"/>
      <c r="AU87" s="14">
        <f t="shared" si="15"/>
        <v>0</v>
      </c>
    </row>
    <row r="88" spans="8:47" s="1" customFormat="1" ht="90" customHeight="1">
      <c r="H88" s="27">
        <v>73</v>
      </c>
      <c r="I88" s="13"/>
      <c r="J88" s="14"/>
      <c r="K88" s="14"/>
      <c r="L88" s="14">
        <f t="shared" si="8"/>
        <v>0</v>
      </c>
      <c r="M88" s="27">
        <v>73</v>
      </c>
      <c r="N88" s="13"/>
      <c r="O88" s="14"/>
      <c r="P88" s="14"/>
      <c r="Q88" s="14">
        <f t="shared" si="9"/>
        <v>0</v>
      </c>
      <c r="R88" s="27">
        <v>73</v>
      </c>
      <c r="S88" s="13"/>
      <c r="T88" s="14"/>
      <c r="U88" s="14"/>
      <c r="V88" s="14">
        <f t="shared" si="10"/>
        <v>0</v>
      </c>
      <c r="W88" s="27">
        <v>73</v>
      </c>
      <c r="X88" s="13"/>
      <c r="Y88" s="14"/>
      <c r="Z88" s="14"/>
      <c r="AA88" s="14">
        <f t="shared" si="11"/>
        <v>0</v>
      </c>
      <c r="AB88" s="27">
        <v>73</v>
      </c>
      <c r="AC88" s="13"/>
      <c r="AD88" s="14"/>
      <c r="AE88" s="14"/>
      <c r="AF88" s="14">
        <f t="shared" si="12"/>
        <v>0</v>
      </c>
      <c r="AG88" s="27">
        <v>73</v>
      </c>
      <c r="AH88" s="13"/>
      <c r="AI88" s="14"/>
      <c r="AJ88" s="14"/>
      <c r="AK88" s="14">
        <f t="shared" si="13"/>
        <v>0</v>
      </c>
      <c r="AL88" s="27">
        <v>73</v>
      </c>
      <c r="AM88" s="13"/>
      <c r="AN88" s="14"/>
      <c r="AO88" s="14"/>
      <c r="AP88" s="14">
        <f t="shared" si="14"/>
        <v>0</v>
      </c>
      <c r="AQ88" s="27">
        <v>73</v>
      </c>
      <c r="AR88" s="13"/>
      <c r="AS88" s="14"/>
      <c r="AT88" s="14"/>
      <c r="AU88" s="14">
        <f t="shared" si="15"/>
        <v>0</v>
      </c>
    </row>
    <row r="89" spans="8:47" s="1" customFormat="1" ht="90" customHeight="1">
      <c r="H89" s="27">
        <v>74</v>
      </c>
      <c r="I89" s="13"/>
      <c r="J89" s="14"/>
      <c r="K89" s="14"/>
      <c r="L89" s="14">
        <f t="shared" si="8"/>
        <v>0</v>
      </c>
      <c r="M89" s="27">
        <v>74</v>
      </c>
      <c r="N89" s="13"/>
      <c r="O89" s="14"/>
      <c r="P89" s="14"/>
      <c r="Q89" s="14">
        <f t="shared" si="9"/>
        <v>0</v>
      </c>
      <c r="R89" s="27">
        <v>74</v>
      </c>
      <c r="S89" s="13"/>
      <c r="T89" s="14"/>
      <c r="U89" s="14"/>
      <c r="V89" s="14">
        <f t="shared" si="10"/>
        <v>0</v>
      </c>
      <c r="W89" s="27">
        <v>74</v>
      </c>
      <c r="X89" s="13"/>
      <c r="Y89" s="14"/>
      <c r="Z89" s="14"/>
      <c r="AA89" s="14">
        <f t="shared" si="11"/>
        <v>0</v>
      </c>
      <c r="AB89" s="27">
        <v>74</v>
      </c>
      <c r="AC89" s="13"/>
      <c r="AD89" s="14"/>
      <c r="AE89" s="14"/>
      <c r="AF89" s="14">
        <f t="shared" si="12"/>
        <v>0</v>
      </c>
      <c r="AG89" s="27">
        <v>74</v>
      </c>
      <c r="AH89" s="13"/>
      <c r="AI89" s="14"/>
      <c r="AJ89" s="14"/>
      <c r="AK89" s="14">
        <f t="shared" si="13"/>
        <v>0</v>
      </c>
      <c r="AL89" s="27">
        <v>74</v>
      </c>
      <c r="AM89" s="13"/>
      <c r="AN89" s="14"/>
      <c r="AO89" s="14"/>
      <c r="AP89" s="14">
        <f t="shared" si="14"/>
        <v>0</v>
      </c>
      <c r="AQ89" s="27">
        <v>74</v>
      </c>
      <c r="AR89" s="13"/>
      <c r="AS89" s="14"/>
      <c r="AT89" s="14"/>
      <c r="AU89" s="14">
        <f t="shared" si="15"/>
        <v>0</v>
      </c>
    </row>
    <row r="90" spans="8:47" s="1" customFormat="1" ht="90" customHeight="1">
      <c r="H90" s="27">
        <v>75</v>
      </c>
      <c r="I90" s="13"/>
      <c r="J90" s="14"/>
      <c r="K90" s="14"/>
      <c r="L90" s="14">
        <f t="shared" si="8"/>
        <v>0</v>
      </c>
      <c r="M90" s="27">
        <v>75</v>
      </c>
      <c r="N90" s="13"/>
      <c r="O90" s="14"/>
      <c r="P90" s="14"/>
      <c r="Q90" s="14">
        <f t="shared" si="9"/>
        <v>0</v>
      </c>
      <c r="R90" s="27">
        <v>75</v>
      </c>
      <c r="S90" s="13"/>
      <c r="T90" s="14"/>
      <c r="U90" s="14"/>
      <c r="V90" s="14">
        <f t="shared" si="10"/>
        <v>0</v>
      </c>
      <c r="W90" s="27">
        <v>75</v>
      </c>
      <c r="X90" s="13"/>
      <c r="Y90" s="14"/>
      <c r="Z90" s="14"/>
      <c r="AA90" s="14">
        <f t="shared" si="11"/>
        <v>0</v>
      </c>
      <c r="AB90" s="27">
        <v>75</v>
      </c>
      <c r="AC90" s="13"/>
      <c r="AD90" s="14"/>
      <c r="AE90" s="14"/>
      <c r="AF90" s="14">
        <f t="shared" si="12"/>
        <v>0</v>
      </c>
      <c r="AG90" s="27">
        <v>75</v>
      </c>
      <c r="AH90" s="13"/>
      <c r="AI90" s="14"/>
      <c r="AJ90" s="14"/>
      <c r="AK90" s="14">
        <f t="shared" si="13"/>
        <v>0</v>
      </c>
      <c r="AL90" s="27">
        <v>75</v>
      </c>
      <c r="AM90" s="13"/>
      <c r="AN90" s="14"/>
      <c r="AO90" s="14"/>
      <c r="AP90" s="14">
        <f t="shared" si="14"/>
        <v>0</v>
      </c>
      <c r="AQ90" s="27">
        <v>75</v>
      </c>
      <c r="AR90" s="13"/>
      <c r="AS90" s="14"/>
      <c r="AT90" s="14"/>
      <c r="AU90" s="14">
        <f t="shared" si="15"/>
        <v>0</v>
      </c>
    </row>
    <row r="91" spans="8:47" s="1" customFormat="1" ht="90" customHeight="1">
      <c r="H91" s="27">
        <v>76</v>
      </c>
      <c r="I91" s="13"/>
      <c r="J91" s="14"/>
      <c r="K91" s="14"/>
      <c r="L91" s="14">
        <f t="shared" si="8"/>
        <v>0</v>
      </c>
      <c r="M91" s="27">
        <v>76</v>
      </c>
      <c r="N91" s="13"/>
      <c r="O91" s="14"/>
      <c r="P91" s="14"/>
      <c r="Q91" s="14">
        <f t="shared" si="9"/>
        <v>0</v>
      </c>
      <c r="R91" s="27">
        <v>76</v>
      </c>
      <c r="S91" s="13"/>
      <c r="T91" s="14"/>
      <c r="U91" s="14"/>
      <c r="V91" s="14">
        <f t="shared" si="10"/>
        <v>0</v>
      </c>
      <c r="W91" s="27">
        <v>76</v>
      </c>
      <c r="X91" s="13"/>
      <c r="Y91" s="14"/>
      <c r="Z91" s="14"/>
      <c r="AA91" s="14">
        <f t="shared" si="11"/>
        <v>0</v>
      </c>
      <c r="AB91" s="27">
        <v>76</v>
      </c>
      <c r="AC91" s="13"/>
      <c r="AD91" s="14"/>
      <c r="AE91" s="14"/>
      <c r="AF91" s="14">
        <f t="shared" si="12"/>
        <v>0</v>
      </c>
      <c r="AG91" s="27">
        <v>76</v>
      </c>
      <c r="AH91" s="13"/>
      <c r="AI91" s="14"/>
      <c r="AJ91" s="14"/>
      <c r="AK91" s="14">
        <f t="shared" si="13"/>
        <v>0</v>
      </c>
      <c r="AL91" s="27">
        <v>76</v>
      </c>
      <c r="AM91" s="13"/>
      <c r="AN91" s="14"/>
      <c r="AO91" s="14"/>
      <c r="AP91" s="14">
        <f t="shared" si="14"/>
        <v>0</v>
      </c>
      <c r="AQ91" s="27">
        <v>76</v>
      </c>
      <c r="AR91" s="13"/>
      <c r="AS91" s="14"/>
      <c r="AT91" s="14"/>
      <c r="AU91" s="14">
        <f t="shared" si="15"/>
        <v>0</v>
      </c>
    </row>
    <row r="92" spans="8:47" s="1" customFormat="1" ht="90" customHeight="1">
      <c r="H92" s="27">
        <v>77</v>
      </c>
      <c r="I92" s="13"/>
      <c r="J92" s="14"/>
      <c r="K92" s="14"/>
      <c r="L92" s="14">
        <f t="shared" si="8"/>
        <v>0</v>
      </c>
      <c r="M92" s="27">
        <v>77</v>
      </c>
      <c r="N92" s="13"/>
      <c r="O92" s="14"/>
      <c r="P92" s="14"/>
      <c r="Q92" s="14">
        <f t="shared" si="9"/>
        <v>0</v>
      </c>
      <c r="R92" s="27">
        <v>77</v>
      </c>
      <c r="S92" s="13"/>
      <c r="T92" s="14"/>
      <c r="U92" s="14"/>
      <c r="V92" s="14">
        <f t="shared" si="10"/>
        <v>0</v>
      </c>
      <c r="W92" s="27">
        <v>77</v>
      </c>
      <c r="X92" s="13"/>
      <c r="Y92" s="14"/>
      <c r="Z92" s="14"/>
      <c r="AA92" s="14">
        <f t="shared" si="11"/>
        <v>0</v>
      </c>
      <c r="AB92" s="27">
        <v>77</v>
      </c>
      <c r="AC92" s="13"/>
      <c r="AD92" s="14"/>
      <c r="AE92" s="14"/>
      <c r="AF92" s="14">
        <f t="shared" si="12"/>
        <v>0</v>
      </c>
      <c r="AG92" s="27">
        <v>77</v>
      </c>
      <c r="AH92" s="13"/>
      <c r="AI92" s="14"/>
      <c r="AJ92" s="14"/>
      <c r="AK92" s="14">
        <f t="shared" si="13"/>
        <v>0</v>
      </c>
      <c r="AL92" s="27">
        <v>77</v>
      </c>
      <c r="AM92" s="13"/>
      <c r="AN92" s="14"/>
      <c r="AO92" s="14"/>
      <c r="AP92" s="14">
        <f t="shared" si="14"/>
        <v>0</v>
      </c>
      <c r="AQ92" s="27">
        <v>77</v>
      </c>
      <c r="AR92" s="13"/>
      <c r="AS92" s="14"/>
      <c r="AT92" s="14"/>
      <c r="AU92" s="14">
        <f t="shared" si="15"/>
        <v>0</v>
      </c>
    </row>
    <row r="93" spans="8:47" s="1" customFormat="1" ht="90" customHeight="1">
      <c r="H93" s="27">
        <v>78</v>
      </c>
      <c r="I93" s="13"/>
      <c r="J93" s="14"/>
      <c r="K93" s="14"/>
      <c r="L93" s="14">
        <f t="shared" si="8"/>
        <v>0</v>
      </c>
      <c r="M93" s="27">
        <v>78</v>
      </c>
      <c r="N93" s="13"/>
      <c r="O93" s="14"/>
      <c r="P93" s="14"/>
      <c r="Q93" s="14">
        <f t="shared" si="9"/>
        <v>0</v>
      </c>
      <c r="R93" s="27">
        <v>78</v>
      </c>
      <c r="S93" s="13"/>
      <c r="T93" s="14"/>
      <c r="U93" s="14"/>
      <c r="V93" s="14">
        <f t="shared" si="10"/>
        <v>0</v>
      </c>
      <c r="W93" s="27">
        <v>78</v>
      </c>
      <c r="X93" s="13"/>
      <c r="Y93" s="14"/>
      <c r="Z93" s="14"/>
      <c r="AA93" s="14">
        <f t="shared" si="11"/>
        <v>0</v>
      </c>
      <c r="AB93" s="27">
        <v>78</v>
      </c>
      <c r="AC93" s="13"/>
      <c r="AD93" s="14"/>
      <c r="AE93" s="14"/>
      <c r="AF93" s="14">
        <f t="shared" si="12"/>
        <v>0</v>
      </c>
      <c r="AG93" s="27">
        <v>78</v>
      </c>
      <c r="AH93" s="13"/>
      <c r="AI93" s="14"/>
      <c r="AJ93" s="14"/>
      <c r="AK93" s="14">
        <f t="shared" si="13"/>
        <v>0</v>
      </c>
      <c r="AL93" s="27">
        <v>78</v>
      </c>
      <c r="AM93" s="13"/>
      <c r="AN93" s="14"/>
      <c r="AO93" s="14"/>
      <c r="AP93" s="14">
        <f t="shared" si="14"/>
        <v>0</v>
      </c>
      <c r="AQ93" s="27">
        <v>78</v>
      </c>
      <c r="AR93" s="13"/>
      <c r="AS93" s="14"/>
      <c r="AT93" s="14"/>
      <c r="AU93" s="14">
        <f t="shared" si="15"/>
        <v>0</v>
      </c>
    </row>
    <row r="94" spans="8:47" s="1" customFormat="1" ht="90" customHeight="1">
      <c r="H94" s="27">
        <v>79</v>
      </c>
      <c r="I94" s="13"/>
      <c r="J94" s="14"/>
      <c r="K94" s="14"/>
      <c r="L94" s="14">
        <f t="shared" si="8"/>
        <v>0</v>
      </c>
      <c r="M94" s="27">
        <v>79</v>
      </c>
      <c r="N94" s="13"/>
      <c r="O94" s="14"/>
      <c r="P94" s="14"/>
      <c r="Q94" s="14">
        <f t="shared" si="9"/>
        <v>0</v>
      </c>
      <c r="R94" s="27">
        <v>79</v>
      </c>
      <c r="S94" s="13"/>
      <c r="T94" s="14"/>
      <c r="U94" s="14"/>
      <c r="V94" s="14">
        <f t="shared" si="10"/>
        <v>0</v>
      </c>
      <c r="W94" s="27">
        <v>79</v>
      </c>
      <c r="X94" s="13"/>
      <c r="Y94" s="14"/>
      <c r="Z94" s="14"/>
      <c r="AA94" s="14">
        <f t="shared" si="11"/>
        <v>0</v>
      </c>
      <c r="AB94" s="27">
        <v>79</v>
      </c>
      <c r="AC94" s="13"/>
      <c r="AD94" s="14"/>
      <c r="AE94" s="14"/>
      <c r="AF94" s="14">
        <f t="shared" si="12"/>
        <v>0</v>
      </c>
      <c r="AG94" s="27">
        <v>79</v>
      </c>
      <c r="AH94" s="13"/>
      <c r="AI94" s="14"/>
      <c r="AJ94" s="14"/>
      <c r="AK94" s="14">
        <f t="shared" si="13"/>
        <v>0</v>
      </c>
      <c r="AL94" s="27">
        <v>79</v>
      </c>
      <c r="AM94" s="13"/>
      <c r="AN94" s="14"/>
      <c r="AO94" s="14"/>
      <c r="AP94" s="14">
        <f t="shared" si="14"/>
        <v>0</v>
      </c>
      <c r="AQ94" s="27">
        <v>79</v>
      </c>
      <c r="AR94" s="13"/>
      <c r="AS94" s="14"/>
      <c r="AT94" s="14"/>
      <c r="AU94" s="14">
        <f t="shared" si="15"/>
        <v>0</v>
      </c>
    </row>
    <row r="95" spans="8:47" s="1" customFormat="1" ht="90" customHeight="1">
      <c r="H95" s="27">
        <v>80</v>
      </c>
      <c r="I95" s="13"/>
      <c r="J95" s="14"/>
      <c r="K95" s="14"/>
      <c r="L95" s="14">
        <f t="shared" si="8"/>
        <v>0</v>
      </c>
      <c r="M95" s="27">
        <v>80</v>
      </c>
      <c r="N95" s="13"/>
      <c r="O95" s="14"/>
      <c r="P95" s="14"/>
      <c r="Q95" s="14">
        <f t="shared" si="9"/>
        <v>0</v>
      </c>
      <c r="R95" s="27">
        <v>80</v>
      </c>
      <c r="S95" s="13"/>
      <c r="T95" s="14"/>
      <c r="U95" s="14"/>
      <c r="V95" s="14">
        <f t="shared" si="10"/>
        <v>0</v>
      </c>
      <c r="W95" s="27">
        <v>80</v>
      </c>
      <c r="X95" s="13"/>
      <c r="Y95" s="14"/>
      <c r="Z95" s="14"/>
      <c r="AA95" s="14">
        <f t="shared" si="11"/>
        <v>0</v>
      </c>
      <c r="AB95" s="27">
        <v>80</v>
      </c>
      <c r="AC95" s="13"/>
      <c r="AD95" s="14"/>
      <c r="AE95" s="14"/>
      <c r="AF95" s="14">
        <f t="shared" si="12"/>
        <v>0</v>
      </c>
      <c r="AG95" s="27">
        <v>80</v>
      </c>
      <c r="AH95" s="13"/>
      <c r="AI95" s="14"/>
      <c r="AJ95" s="14"/>
      <c r="AK95" s="14">
        <f t="shared" si="13"/>
        <v>0</v>
      </c>
      <c r="AL95" s="27">
        <v>80</v>
      </c>
      <c r="AM95" s="13"/>
      <c r="AN95" s="14"/>
      <c r="AO95" s="14"/>
      <c r="AP95" s="14">
        <f t="shared" si="14"/>
        <v>0</v>
      </c>
      <c r="AQ95" s="27">
        <v>80</v>
      </c>
      <c r="AR95" s="13"/>
      <c r="AS95" s="14"/>
      <c r="AT95" s="14"/>
      <c r="AU95" s="14">
        <f t="shared" si="15"/>
        <v>0</v>
      </c>
    </row>
    <row r="96" spans="8:47" s="1" customFormat="1" ht="90" customHeight="1">
      <c r="H96" s="27">
        <v>81</v>
      </c>
      <c r="I96" s="13"/>
      <c r="J96" s="14"/>
      <c r="K96" s="14"/>
      <c r="L96" s="14">
        <f t="shared" si="8"/>
        <v>0</v>
      </c>
      <c r="M96" s="27">
        <v>81</v>
      </c>
      <c r="N96" s="13"/>
      <c r="O96" s="14"/>
      <c r="P96" s="14"/>
      <c r="Q96" s="14">
        <f t="shared" si="9"/>
        <v>0</v>
      </c>
      <c r="R96" s="27">
        <v>81</v>
      </c>
      <c r="S96" s="13"/>
      <c r="T96" s="14"/>
      <c r="U96" s="14"/>
      <c r="V96" s="14">
        <f t="shared" si="10"/>
        <v>0</v>
      </c>
      <c r="W96" s="27">
        <v>81</v>
      </c>
      <c r="X96" s="13"/>
      <c r="Y96" s="14"/>
      <c r="Z96" s="14"/>
      <c r="AA96" s="14">
        <f t="shared" si="11"/>
        <v>0</v>
      </c>
      <c r="AB96" s="27">
        <v>81</v>
      </c>
      <c r="AC96" s="13"/>
      <c r="AD96" s="14"/>
      <c r="AE96" s="14"/>
      <c r="AF96" s="14">
        <f t="shared" si="12"/>
        <v>0</v>
      </c>
      <c r="AG96" s="27">
        <v>81</v>
      </c>
      <c r="AH96" s="13"/>
      <c r="AI96" s="14"/>
      <c r="AJ96" s="14"/>
      <c r="AK96" s="14">
        <f t="shared" si="13"/>
        <v>0</v>
      </c>
      <c r="AL96" s="27">
        <v>81</v>
      </c>
      <c r="AM96" s="13"/>
      <c r="AN96" s="14"/>
      <c r="AO96" s="14"/>
      <c r="AP96" s="14">
        <f t="shared" si="14"/>
        <v>0</v>
      </c>
      <c r="AQ96" s="27">
        <v>81</v>
      </c>
      <c r="AR96" s="13"/>
      <c r="AS96" s="14"/>
      <c r="AT96" s="14"/>
      <c r="AU96" s="14">
        <f t="shared" si="15"/>
        <v>0</v>
      </c>
    </row>
    <row r="97" spans="8:47" s="1" customFormat="1" ht="90" customHeight="1">
      <c r="H97" s="27">
        <v>82</v>
      </c>
      <c r="I97" s="13"/>
      <c r="J97" s="14"/>
      <c r="K97" s="14"/>
      <c r="L97" s="14">
        <f t="shared" si="8"/>
        <v>0</v>
      </c>
      <c r="M97" s="27">
        <v>82</v>
      </c>
      <c r="N97" s="13"/>
      <c r="O97" s="14"/>
      <c r="P97" s="14"/>
      <c r="Q97" s="14">
        <f t="shared" si="9"/>
        <v>0</v>
      </c>
      <c r="R97" s="27">
        <v>82</v>
      </c>
      <c r="S97" s="13"/>
      <c r="T97" s="14"/>
      <c r="U97" s="14"/>
      <c r="V97" s="14">
        <f t="shared" si="10"/>
        <v>0</v>
      </c>
      <c r="W97" s="27">
        <v>82</v>
      </c>
      <c r="X97" s="13"/>
      <c r="Y97" s="14"/>
      <c r="Z97" s="14"/>
      <c r="AA97" s="14">
        <f t="shared" si="11"/>
        <v>0</v>
      </c>
      <c r="AB97" s="27">
        <v>82</v>
      </c>
      <c r="AC97" s="13"/>
      <c r="AD97" s="14"/>
      <c r="AE97" s="14"/>
      <c r="AF97" s="14">
        <f t="shared" si="12"/>
        <v>0</v>
      </c>
      <c r="AG97" s="27">
        <v>82</v>
      </c>
      <c r="AH97" s="13"/>
      <c r="AI97" s="14"/>
      <c r="AJ97" s="14"/>
      <c r="AK97" s="14">
        <f t="shared" si="13"/>
        <v>0</v>
      </c>
      <c r="AL97" s="27">
        <v>82</v>
      </c>
      <c r="AM97" s="13"/>
      <c r="AN97" s="14"/>
      <c r="AO97" s="14"/>
      <c r="AP97" s="14">
        <f t="shared" si="14"/>
        <v>0</v>
      </c>
      <c r="AQ97" s="27">
        <v>82</v>
      </c>
      <c r="AR97" s="13"/>
      <c r="AS97" s="14"/>
      <c r="AT97" s="14"/>
      <c r="AU97" s="14">
        <f t="shared" si="15"/>
        <v>0</v>
      </c>
    </row>
    <row r="98" spans="8:47" s="1" customFormat="1" ht="90" customHeight="1">
      <c r="H98" s="27">
        <v>83</v>
      </c>
      <c r="I98" s="13"/>
      <c r="J98" s="14"/>
      <c r="K98" s="14"/>
      <c r="L98" s="14">
        <f t="shared" si="8"/>
        <v>0</v>
      </c>
      <c r="M98" s="27">
        <v>83</v>
      </c>
      <c r="N98" s="13"/>
      <c r="O98" s="14"/>
      <c r="P98" s="14"/>
      <c r="Q98" s="14">
        <f t="shared" si="9"/>
        <v>0</v>
      </c>
      <c r="R98" s="27">
        <v>83</v>
      </c>
      <c r="S98" s="13"/>
      <c r="T98" s="14"/>
      <c r="U98" s="14"/>
      <c r="V98" s="14">
        <f t="shared" si="10"/>
        <v>0</v>
      </c>
      <c r="W98" s="27">
        <v>83</v>
      </c>
      <c r="X98" s="13"/>
      <c r="Y98" s="14"/>
      <c r="Z98" s="14"/>
      <c r="AA98" s="14">
        <f t="shared" si="11"/>
        <v>0</v>
      </c>
      <c r="AB98" s="27">
        <v>83</v>
      </c>
      <c r="AC98" s="13"/>
      <c r="AD98" s="14"/>
      <c r="AE98" s="14"/>
      <c r="AF98" s="14">
        <f t="shared" si="12"/>
        <v>0</v>
      </c>
      <c r="AG98" s="27">
        <v>83</v>
      </c>
      <c r="AH98" s="13"/>
      <c r="AI98" s="14"/>
      <c r="AJ98" s="14"/>
      <c r="AK98" s="14">
        <f t="shared" si="13"/>
        <v>0</v>
      </c>
      <c r="AL98" s="27">
        <v>83</v>
      </c>
      <c r="AM98" s="13"/>
      <c r="AN98" s="14"/>
      <c r="AO98" s="14"/>
      <c r="AP98" s="14">
        <f t="shared" si="14"/>
        <v>0</v>
      </c>
      <c r="AQ98" s="27">
        <v>83</v>
      </c>
      <c r="AR98" s="13"/>
      <c r="AS98" s="14"/>
      <c r="AT98" s="14"/>
      <c r="AU98" s="14">
        <f t="shared" si="15"/>
        <v>0</v>
      </c>
    </row>
    <row r="99" spans="8:47" s="1" customFormat="1" ht="90" customHeight="1">
      <c r="H99" s="27">
        <v>84</v>
      </c>
      <c r="I99" s="13"/>
      <c r="J99" s="14"/>
      <c r="K99" s="14"/>
      <c r="L99" s="14">
        <f t="shared" si="8"/>
        <v>0</v>
      </c>
      <c r="M99" s="27">
        <v>84</v>
      </c>
      <c r="N99" s="13"/>
      <c r="O99" s="14"/>
      <c r="P99" s="14"/>
      <c r="Q99" s="14">
        <f t="shared" si="9"/>
        <v>0</v>
      </c>
      <c r="R99" s="27">
        <v>84</v>
      </c>
      <c r="S99" s="13"/>
      <c r="T99" s="14"/>
      <c r="U99" s="14"/>
      <c r="V99" s="14">
        <f t="shared" si="10"/>
        <v>0</v>
      </c>
      <c r="W99" s="27">
        <v>84</v>
      </c>
      <c r="X99" s="13"/>
      <c r="Y99" s="14"/>
      <c r="Z99" s="14"/>
      <c r="AA99" s="14">
        <f t="shared" si="11"/>
        <v>0</v>
      </c>
      <c r="AB99" s="27">
        <v>84</v>
      </c>
      <c r="AC99" s="13"/>
      <c r="AD99" s="14"/>
      <c r="AE99" s="14"/>
      <c r="AF99" s="14">
        <f t="shared" si="12"/>
        <v>0</v>
      </c>
      <c r="AG99" s="27">
        <v>84</v>
      </c>
      <c r="AH99" s="13"/>
      <c r="AI99" s="14"/>
      <c r="AJ99" s="14"/>
      <c r="AK99" s="14">
        <f t="shared" si="13"/>
        <v>0</v>
      </c>
      <c r="AL99" s="27">
        <v>84</v>
      </c>
      <c r="AM99" s="13"/>
      <c r="AN99" s="14"/>
      <c r="AO99" s="14"/>
      <c r="AP99" s="14">
        <f t="shared" si="14"/>
        <v>0</v>
      </c>
      <c r="AQ99" s="27">
        <v>84</v>
      </c>
      <c r="AR99" s="13"/>
      <c r="AS99" s="14"/>
      <c r="AT99" s="14"/>
      <c r="AU99" s="14">
        <f t="shared" si="15"/>
        <v>0</v>
      </c>
    </row>
    <row r="100" spans="8:47" s="1" customFormat="1" ht="90" customHeight="1">
      <c r="H100" s="27">
        <v>85</v>
      </c>
      <c r="I100" s="13"/>
      <c r="J100" s="14"/>
      <c r="K100" s="14"/>
      <c r="L100" s="14">
        <f t="shared" si="8"/>
        <v>0</v>
      </c>
      <c r="M100" s="27">
        <v>85</v>
      </c>
      <c r="N100" s="13"/>
      <c r="O100" s="14"/>
      <c r="P100" s="14"/>
      <c r="Q100" s="14">
        <f t="shared" si="9"/>
        <v>0</v>
      </c>
      <c r="R100" s="27">
        <v>85</v>
      </c>
      <c r="S100" s="13"/>
      <c r="T100" s="14"/>
      <c r="U100" s="14"/>
      <c r="V100" s="14">
        <f t="shared" si="10"/>
        <v>0</v>
      </c>
      <c r="W100" s="27">
        <v>85</v>
      </c>
      <c r="X100" s="13"/>
      <c r="Y100" s="14"/>
      <c r="Z100" s="14"/>
      <c r="AA100" s="14">
        <f t="shared" si="11"/>
        <v>0</v>
      </c>
      <c r="AB100" s="27">
        <v>85</v>
      </c>
      <c r="AC100" s="13"/>
      <c r="AD100" s="14"/>
      <c r="AE100" s="14"/>
      <c r="AF100" s="14">
        <f t="shared" si="12"/>
        <v>0</v>
      </c>
      <c r="AG100" s="27">
        <v>85</v>
      </c>
      <c r="AH100" s="13"/>
      <c r="AI100" s="14"/>
      <c r="AJ100" s="14"/>
      <c r="AK100" s="14">
        <f t="shared" si="13"/>
        <v>0</v>
      </c>
      <c r="AL100" s="27">
        <v>85</v>
      </c>
      <c r="AM100" s="13"/>
      <c r="AN100" s="14"/>
      <c r="AO100" s="14"/>
      <c r="AP100" s="14">
        <f t="shared" si="14"/>
        <v>0</v>
      </c>
      <c r="AQ100" s="27">
        <v>85</v>
      </c>
      <c r="AR100" s="13"/>
      <c r="AS100" s="14"/>
      <c r="AT100" s="14"/>
      <c r="AU100" s="14">
        <f t="shared" si="15"/>
        <v>0</v>
      </c>
    </row>
    <row r="101" spans="8:47" s="1" customFormat="1" ht="90" customHeight="1">
      <c r="H101" s="27">
        <v>86</v>
      </c>
      <c r="I101" s="13"/>
      <c r="J101" s="14"/>
      <c r="K101" s="14"/>
      <c r="L101" s="14">
        <f t="shared" si="8"/>
        <v>0</v>
      </c>
      <c r="M101" s="27">
        <v>86</v>
      </c>
      <c r="N101" s="13"/>
      <c r="O101" s="14"/>
      <c r="P101" s="14"/>
      <c r="Q101" s="14">
        <f t="shared" si="9"/>
        <v>0</v>
      </c>
      <c r="R101" s="27">
        <v>86</v>
      </c>
      <c r="S101" s="13"/>
      <c r="T101" s="14"/>
      <c r="U101" s="14"/>
      <c r="V101" s="14">
        <f t="shared" si="10"/>
        <v>0</v>
      </c>
      <c r="W101" s="27">
        <v>86</v>
      </c>
      <c r="X101" s="13"/>
      <c r="Y101" s="14"/>
      <c r="Z101" s="14"/>
      <c r="AA101" s="14">
        <f t="shared" si="11"/>
        <v>0</v>
      </c>
      <c r="AB101" s="27">
        <v>86</v>
      </c>
      <c r="AC101" s="13"/>
      <c r="AD101" s="14"/>
      <c r="AE101" s="14"/>
      <c r="AF101" s="14">
        <f t="shared" si="12"/>
        <v>0</v>
      </c>
      <c r="AG101" s="27">
        <v>86</v>
      </c>
      <c r="AH101" s="13"/>
      <c r="AI101" s="14"/>
      <c r="AJ101" s="14"/>
      <c r="AK101" s="14">
        <f t="shared" si="13"/>
        <v>0</v>
      </c>
      <c r="AL101" s="27">
        <v>86</v>
      </c>
      <c r="AM101" s="13"/>
      <c r="AN101" s="14"/>
      <c r="AO101" s="14"/>
      <c r="AP101" s="14">
        <f t="shared" si="14"/>
        <v>0</v>
      </c>
      <c r="AQ101" s="27">
        <v>86</v>
      </c>
      <c r="AR101" s="13"/>
      <c r="AS101" s="14"/>
      <c r="AT101" s="14"/>
      <c r="AU101" s="14">
        <f t="shared" si="15"/>
        <v>0</v>
      </c>
    </row>
    <row r="102" spans="8:47" s="1" customFormat="1" ht="90" customHeight="1">
      <c r="H102" s="27">
        <v>87</v>
      </c>
      <c r="I102" s="13"/>
      <c r="J102" s="14"/>
      <c r="K102" s="14"/>
      <c r="L102" s="14">
        <f t="shared" si="8"/>
        <v>0</v>
      </c>
      <c r="M102" s="27">
        <v>87</v>
      </c>
      <c r="N102" s="13"/>
      <c r="O102" s="14"/>
      <c r="P102" s="14"/>
      <c r="Q102" s="14">
        <f t="shared" si="9"/>
        <v>0</v>
      </c>
      <c r="R102" s="27">
        <v>87</v>
      </c>
      <c r="S102" s="13"/>
      <c r="T102" s="14"/>
      <c r="U102" s="14"/>
      <c r="V102" s="14">
        <f t="shared" si="10"/>
        <v>0</v>
      </c>
      <c r="W102" s="27">
        <v>87</v>
      </c>
      <c r="X102" s="13"/>
      <c r="Y102" s="14"/>
      <c r="Z102" s="14"/>
      <c r="AA102" s="14">
        <f t="shared" si="11"/>
        <v>0</v>
      </c>
      <c r="AB102" s="27">
        <v>87</v>
      </c>
      <c r="AC102" s="13"/>
      <c r="AD102" s="14"/>
      <c r="AE102" s="14"/>
      <c r="AF102" s="14">
        <f t="shared" si="12"/>
        <v>0</v>
      </c>
      <c r="AG102" s="27">
        <v>87</v>
      </c>
      <c r="AH102" s="13"/>
      <c r="AI102" s="14"/>
      <c r="AJ102" s="14"/>
      <c r="AK102" s="14">
        <f t="shared" si="13"/>
        <v>0</v>
      </c>
      <c r="AL102" s="27">
        <v>87</v>
      </c>
      <c r="AM102" s="13"/>
      <c r="AN102" s="14"/>
      <c r="AO102" s="14"/>
      <c r="AP102" s="14">
        <f t="shared" si="14"/>
        <v>0</v>
      </c>
      <c r="AQ102" s="27">
        <v>87</v>
      </c>
      <c r="AR102" s="13"/>
      <c r="AS102" s="14"/>
      <c r="AT102" s="14"/>
      <c r="AU102" s="14">
        <f t="shared" si="15"/>
        <v>0</v>
      </c>
    </row>
    <row r="103" spans="8:47" s="1" customFormat="1" ht="90" customHeight="1">
      <c r="H103" s="27">
        <v>88</v>
      </c>
      <c r="I103" s="13"/>
      <c r="J103" s="14"/>
      <c r="K103" s="14"/>
      <c r="L103" s="14">
        <f t="shared" si="8"/>
        <v>0</v>
      </c>
      <c r="M103" s="27">
        <v>88</v>
      </c>
      <c r="N103" s="13"/>
      <c r="O103" s="14"/>
      <c r="P103" s="14"/>
      <c r="Q103" s="14">
        <f t="shared" si="9"/>
        <v>0</v>
      </c>
      <c r="R103" s="27">
        <v>88</v>
      </c>
      <c r="S103" s="13"/>
      <c r="T103" s="14"/>
      <c r="U103" s="14"/>
      <c r="V103" s="14">
        <f t="shared" si="10"/>
        <v>0</v>
      </c>
      <c r="W103" s="27">
        <v>88</v>
      </c>
      <c r="X103" s="13"/>
      <c r="Y103" s="14"/>
      <c r="Z103" s="14"/>
      <c r="AA103" s="14">
        <f t="shared" si="11"/>
        <v>0</v>
      </c>
      <c r="AB103" s="27">
        <v>88</v>
      </c>
      <c r="AC103" s="13"/>
      <c r="AD103" s="14"/>
      <c r="AE103" s="14"/>
      <c r="AF103" s="14">
        <f t="shared" si="12"/>
        <v>0</v>
      </c>
      <c r="AG103" s="27">
        <v>88</v>
      </c>
      <c r="AH103" s="13"/>
      <c r="AI103" s="14"/>
      <c r="AJ103" s="14"/>
      <c r="AK103" s="14">
        <f t="shared" si="13"/>
        <v>0</v>
      </c>
      <c r="AL103" s="27">
        <v>88</v>
      </c>
      <c r="AM103" s="13"/>
      <c r="AN103" s="14"/>
      <c r="AO103" s="14"/>
      <c r="AP103" s="14">
        <f t="shared" si="14"/>
        <v>0</v>
      </c>
      <c r="AQ103" s="27">
        <v>88</v>
      </c>
      <c r="AR103" s="13"/>
      <c r="AS103" s="14"/>
      <c r="AT103" s="14"/>
      <c r="AU103" s="14">
        <f t="shared" si="15"/>
        <v>0</v>
      </c>
    </row>
    <row r="104" spans="8:47" s="1" customFormat="1" ht="90" customHeight="1">
      <c r="H104" s="27">
        <v>89</v>
      </c>
      <c r="I104" s="13"/>
      <c r="J104" s="14"/>
      <c r="K104" s="14"/>
      <c r="L104" s="14">
        <f t="shared" si="8"/>
        <v>0</v>
      </c>
      <c r="M104" s="27">
        <v>89</v>
      </c>
      <c r="N104" s="13"/>
      <c r="O104" s="14"/>
      <c r="P104" s="14"/>
      <c r="Q104" s="14">
        <f t="shared" si="9"/>
        <v>0</v>
      </c>
      <c r="R104" s="27">
        <v>89</v>
      </c>
      <c r="S104" s="13"/>
      <c r="T104" s="14"/>
      <c r="U104" s="14"/>
      <c r="V104" s="14">
        <f t="shared" si="10"/>
        <v>0</v>
      </c>
      <c r="W104" s="27">
        <v>89</v>
      </c>
      <c r="X104" s="13"/>
      <c r="Y104" s="14"/>
      <c r="Z104" s="14"/>
      <c r="AA104" s="14">
        <f t="shared" si="11"/>
        <v>0</v>
      </c>
      <c r="AB104" s="27">
        <v>89</v>
      </c>
      <c r="AC104" s="13"/>
      <c r="AD104" s="14"/>
      <c r="AE104" s="14"/>
      <c r="AF104" s="14">
        <f t="shared" si="12"/>
        <v>0</v>
      </c>
      <c r="AG104" s="27">
        <v>89</v>
      </c>
      <c r="AH104" s="13"/>
      <c r="AI104" s="14"/>
      <c r="AJ104" s="14"/>
      <c r="AK104" s="14">
        <f t="shared" si="13"/>
        <v>0</v>
      </c>
      <c r="AL104" s="27">
        <v>89</v>
      </c>
      <c r="AM104" s="13"/>
      <c r="AN104" s="14"/>
      <c r="AO104" s="14"/>
      <c r="AP104" s="14">
        <f t="shared" si="14"/>
        <v>0</v>
      </c>
      <c r="AQ104" s="27">
        <v>89</v>
      </c>
      <c r="AR104" s="13"/>
      <c r="AS104" s="14"/>
      <c r="AT104" s="14"/>
      <c r="AU104" s="14">
        <f t="shared" si="15"/>
        <v>0</v>
      </c>
    </row>
    <row r="105" spans="8:47" s="1" customFormat="1" ht="90" customHeight="1">
      <c r="H105" s="27">
        <v>90</v>
      </c>
      <c r="I105" s="13"/>
      <c r="J105" s="14"/>
      <c r="K105" s="14"/>
      <c r="L105" s="14">
        <f t="shared" si="8"/>
        <v>0</v>
      </c>
      <c r="M105" s="27">
        <v>90</v>
      </c>
      <c r="N105" s="13"/>
      <c r="O105" s="14"/>
      <c r="P105" s="14"/>
      <c r="Q105" s="14">
        <f t="shared" si="9"/>
        <v>0</v>
      </c>
      <c r="R105" s="27">
        <v>90</v>
      </c>
      <c r="S105" s="13"/>
      <c r="T105" s="14"/>
      <c r="U105" s="14"/>
      <c r="V105" s="14">
        <f t="shared" si="10"/>
        <v>0</v>
      </c>
      <c r="W105" s="27">
        <v>90</v>
      </c>
      <c r="X105" s="13"/>
      <c r="Y105" s="14"/>
      <c r="Z105" s="14"/>
      <c r="AA105" s="14">
        <f t="shared" si="11"/>
        <v>0</v>
      </c>
      <c r="AB105" s="27">
        <v>90</v>
      </c>
      <c r="AC105" s="13"/>
      <c r="AD105" s="14"/>
      <c r="AE105" s="14"/>
      <c r="AF105" s="14">
        <f t="shared" si="12"/>
        <v>0</v>
      </c>
      <c r="AG105" s="27">
        <v>90</v>
      </c>
      <c r="AH105" s="13"/>
      <c r="AI105" s="14"/>
      <c r="AJ105" s="14"/>
      <c r="AK105" s="14">
        <f t="shared" si="13"/>
        <v>0</v>
      </c>
      <c r="AL105" s="27">
        <v>90</v>
      </c>
      <c r="AM105" s="13"/>
      <c r="AN105" s="14"/>
      <c r="AO105" s="14"/>
      <c r="AP105" s="14">
        <f t="shared" si="14"/>
        <v>0</v>
      </c>
      <c r="AQ105" s="27">
        <v>90</v>
      </c>
      <c r="AR105" s="13"/>
      <c r="AS105" s="14"/>
      <c r="AT105" s="14"/>
      <c r="AU105" s="14">
        <f t="shared" si="15"/>
        <v>0</v>
      </c>
    </row>
    <row r="106" spans="8:47" s="1" customFormat="1" ht="90" customHeight="1">
      <c r="H106" s="27">
        <v>91</v>
      </c>
      <c r="I106" s="13"/>
      <c r="J106" s="14"/>
      <c r="K106" s="14"/>
      <c r="L106" s="14">
        <f t="shared" si="8"/>
        <v>0</v>
      </c>
      <c r="M106" s="27">
        <v>91</v>
      </c>
      <c r="N106" s="13"/>
      <c r="O106" s="14"/>
      <c r="P106" s="14"/>
      <c r="Q106" s="14">
        <f t="shared" si="9"/>
        <v>0</v>
      </c>
      <c r="R106" s="27">
        <v>91</v>
      </c>
      <c r="S106" s="13"/>
      <c r="T106" s="14"/>
      <c r="U106" s="14"/>
      <c r="V106" s="14">
        <f t="shared" si="10"/>
        <v>0</v>
      </c>
      <c r="W106" s="27">
        <v>91</v>
      </c>
      <c r="X106" s="13"/>
      <c r="Y106" s="14"/>
      <c r="Z106" s="14"/>
      <c r="AA106" s="14">
        <f t="shared" si="11"/>
        <v>0</v>
      </c>
      <c r="AB106" s="27">
        <v>91</v>
      </c>
      <c r="AC106" s="13"/>
      <c r="AD106" s="14"/>
      <c r="AE106" s="14"/>
      <c r="AF106" s="14">
        <f t="shared" si="12"/>
        <v>0</v>
      </c>
      <c r="AG106" s="27">
        <v>91</v>
      </c>
      <c r="AH106" s="13"/>
      <c r="AI106" s="14"/>
      <c r="AJ106" s="14"/>
      <c r="AK106" s="14">
        <f t="shared" si="13"/>
        <v>0</v>
      </c>
      <c r="AL106" s="27">
        <v>91</v>
      </c>
      <c r="AM106" s="13"/>
      <c r="AN106" s="14"/>
      <c r="AO106" s="14"/>
      <c r="AP106" s="14">
        <f t="shared" si="14"/>
        <v>0</v>
      </c>
      <c r="AQ106" s="27">
        <v>91</v>
      </c>
      <c r="AR106" s="13"/>
      <c r="AS106" s="14"/>
      <c r="AT106" s="14"/>
      <c r="AU106" s="14">
        <f t="shared" si="15"/>
        <v>0</v>
      </c>
    </row>
    <row r="107" spans="8:47" s="1" customFormat="1" ht="90" customHeight="1">
      <c r="H107" s="27">
        <v>92</v>
      </c>
      <c r="I107" s="13"/>
      <c r="J107" s="14"/>
      <c r="K107" s="14"/>
      <c r="L107" s="14">
        <f t="shared" si="8"/>
        <v>0</v>
      </c>
      <c r="M107" s="27">
        <v>92</v>
      </c>
      <c r="N107" s="13"/>
      <c r="O107" s="14"/>
      <c r="P107" s="14"/>
      <c r="Q107" s="14">
        <f t="shared" si="9"/>
        <v>0</v>
      </c>
      <c r="R107" s="27">
        <v>92</v>
      </c>
      <c r="S107" s="13"/>
      <c r="T107" s="14"/>
      <c r="U107" s="14"/>
      <c r="V107" s="14">
        <f t="shared" si="10"/>
        <v>0</v>
      </c>
      <c r="W107" s="27">
        <v>92</v>
      </c>
      <c r="X107" s="13"/>
      <c r="Y107" s="14"/>
      <c r="Z107" s="14"/>
      <c r="AA107" s="14">
        <f t="shared" si="11"/>
        <v>0</v>
      </c>
      <c r="AB107" s="27">
        <v>92</v>
      </c>
      <c r="AC107" s="13"/>
      <c r="AD107" s="14"/>
      <c r="AE107" s="14"/>
      <c r="AF107" s="14">
        <f t="shared" si="12"/>
        <v>0</v>
      </c>
      <c r="AG107" s="27">
        <v>92</v>
      </c>
      <c r="AH107" s="13"/>
      <c r="AI107" s="14"/>
      <c r="AJ107" s="14"/>
      <c r="AK107" s="14">
        <f t="shared" si="13"/>
        <v>0</v>
      </c>
      <c r="AL107" s="27">
        <v>92</v>
      </c>
      <c r="AM107" s="13"/>
      <c r="AN107" s="14"/>
      <c r="AO107" s="14"/>
      <c r="AP107" s="14">
        <f t="shared" si="14"/>
        <v>0</v>
      </c>
      <c r="AQ107" s="27">
        <v>92</v>
      </c>
      <c r="AR107" s="13"/>
      <c r="AS107" s="14"/>
      <c r="AT107" s="14"/>
      <c r="AU107" s="14">
        <f t="shared" si="15"/>
        <v>0</v>
      </c>
    </row>
    <row r="108" spans="8:47" s="1" customFormat="1" ht="90" customHeight="1">
      <c r="H108" s="27">
        <v>93</v>
      </c>
      <c r="I108" s="13"/>
      <c r="J108" s="14"/>
      <c r="K108" s="14"/>
      <c r="L108" s="14">
        <f t="shared" si="8"/>
        <v>0</v>
      </c>
      <c r="M108" s="27">
        <v>93</v>
      </c>
      <c r="N108" s="13"/>
      <c r="O108" s="14"/>
      <c r="P108" s="14"/>
      <c r="Q108" s="14">
        <f t="shared" si="9"/>
        <v>0</v>
      </c>
      <c r="R108" s="27">
        <v>93</v>
      </c>
      <c r="S108" s="13"/>
      <c r="T108" s="14"/>
      <c r="U108" s="14"/>
      <c r="V108" s="14">
        <f t="shared" si="10"/>
        <v>0</v>
      </c>
      <c r="W108" s="27">
        <v>93</v>
      </c>
      <c r="X108" s="13"/>
      <c r="Y108" s="14"/>
      <c r="Z108" s="14"/>
      <c r="AA108" s="14">
        <f t="shared" si="11"/>
        <v>0</v>
      </c>
      <c r="AB108" s="27">
        <v>93</v>
      </c>
      <c r="AC108" s="13"/>
      <c r="AD108" s="14"/>
      <c r="AE108" s="14"/>
      <c r="AF108" s="14">
        <f t="shared" si="12"/>
        <v>0</v>
      </c>
      <c r="AG108" s="27">
        <v>93</v>
      </c>
      <c r="AH108" s="13"/>
      <c r="AI108" s="14"/>
      <c r="AJ108" s="14"/>
      <c r="AK108" s="14">
        <f t="shared" si="13"/>
        <v>0</v>
      </c>
      <c r="AL108" s="27">
        <v>93</v>
      </c>
      <c r="AM108" s="13"/>
      <c r="AN108" s="14"/>
      <c r="AO108" s="14"/>
      <c r="AP108" s="14">
        <f t="shared" si="14"/>
        <v>0</v>
      </c>
      <c r="AQ108" s="27">
        <v>93</v>
      </c>
      <c r="AR108" s="13"/>
      <c r="AS108" s="14"/>
      <c r="AT108" s="14"/>
      <c r="AU108" s="14">
        <f t="shared" si="15"/>
        <v>0</v>
      </c>
    </row>
    <row r="109" spans="8:47" s="1" customFormat="1" ht="90" customHeight="1">
      <c r="H109" s="27">
        <v>94</v>
      </c>
      <c r="I109" s="13"/>
      <c r="J109" s="14"/>
      <c r="K109" s="14"/>
      <c r="L109" s="14">
        <f t="shared" si="8"/>
        <v>0</v>
      </c>
      <c r="M109" s="27">
        <v>94</v>
      </c>
      <c r="N109" s="13"/>
      <c r="O109" s="14"/>
      <c r="P109" s="14"/>
      <c r="Q109" s="14">
        <f t="shared" si="9"/>
        <v>0</v>
      </c>
      <c r="R109" s="27">
        <v>94</v>
      </c>
      <c r="S109" s="13"/>
      <c r="T109" s="14"/>
      <c r="U109" s="14"/>
      <c r="V109" s="14">
        <f t="shared" si="10"/>
        <v>0</v>
      </c>
      <c r="W109" s="27">
        <v>94</v>
      </c>
      <c r="X109" s="13"/>
      <c r="Y109" s="14"/>
      <c r="Z109" s="14"/>
      <c r="AA109" s="14">
        <f t="shared" si="11"/>
        <v>0</v>
      </c>
      <c r="AB109" s="27">
        <v>94</v>
      </c>
      <c r="AC109" s="13"/>
      <c r="AD109" s="14"/>
      <c r="AE109" s="14"/>
      <c r="AF109" s="14">
        <f t="shared" si="12"/>
        <v>0</v>
      </c>
      <c r="AG109" s="27">
        <v>94</v>
      </c>
      <c r="AH109" s="13"/>
      <c r="AI109" s="14"/>
      <c r="AJ109" s="14"/>
      <c r="AK109" s="14">
        <f t="shared" si="13"/>
        <v>0</v>
      </c>
      <c r="AL109" s="27">
        <v>94</v>
      </c>
      <c r="AM109" s="13"/>
      <c r="AN109" s="14"/>
      <c r="AO109" s="14"/>
      <c r="AP109" s="14">
        <f t="shared" si="14"/>
        <v>0</v>
      </c>
      <c r="AQ109" s="27">
        <v>94</v>
      </c>
      <c r="AR109" s="13"/>
      <c r="AS109" s="14"/>
      <c r="AT109" s="14"/>
      <c r="AU109" s="14">
        <f t="shared" si="15"/>
        <v>0</v>
      </c>
    </row>
    <row r="110" spans="8:47" s="1" customFormat="1" ht="90" customHeight="1">
      <c r="H110" s="27">
        <v>95</v>
      </c>
      <c r="I110" s="13"/>
      <c r="J110" s="14"/>
      <c r="K110" s="14"/>
      <c r="L110" s="14">
        <f t="shared" si="8"/>
        <v>0</v>
      </c>
      <c r="M110" s="27">
        <v>95</v>
      </c>
      <c r="N110" s="13"/>
      <c r="O110" s="14"/>
      <c r="P110" s="14"/>
      <c r="Q110" s="14">
        <f t="shared" si="9"/>
        <v>0</v>
      </c>
      <c r="R110" s="27">
        <v>95</v>
      </c>
      <c r="S110" s="13"/>
      <c r="T110" s="14"/>
      <c r="U110" s="14"/>
      <c r="V110" s="14">
        <f t="shared" si="10"/>
        <v>0</v>
      </c>
      <c r="W110" s="27">
        <v>95</v>
      </c>
      <c r="X110" s="13"/>
      <c r="Y110" s="14"/>
      <c r="Z110" s="14"/>
      <c r="AA110" s="14">
        <f t="shared" si="11"/>
        <v>0</v>
      </c>
      <c r="AB110" s="27">
        <v>95</v>
      </c>
      <c r="AC110" s="13"/>
      <c r="AD110" s="14"/>
      <c r="AE110" s="14"/>
      <c r="AF110" s="14">
        <f t="shared" si="12"/>
        <v>0</v>
      </c>
      <c r="AG110" s="27">
        <v>95</v>
      </c>
      <c r="AH110" s="13"/>
      <c r="AI110" s="14"/>
      <c r="AJ110" s="14"/>
      <c r="AK110" s="14">
        <f t="shared" si="13"/>
        <v>0</v>
      </c>
      <c r="AL110" s="27">
        <v>95</v>
      </c>
      <c r="AM110" s="13"/>
      <c r="AN110" s="14"/>
      <c r="AO110" s="14"/>
      <c r="AP110" s="14">
        <f t="shared" si="14"/>
        <v>0</v>
      </c>
      <c r="AQ110" s="27">
        <v>95</v>
      </c>
      <c r="AR110" s="13"/>
      <c r="AS110" s="14"/>
      <c r="AT110" s="14"/>
      <c r="AU110" s="14">
        <f t="shared" si="15"/>
        <v>0</v>
      </c>
    </row>
    <row r="111" spans="8:47" s="1" customFormat="1" ht="90" customHeight="1">
      <c r="H111" s="27">
        <v>96</v>
      </c>
      <c r="I111" s="13"/>
      <c r="J111" s="14"/>
      <c r="K111" s="14"/>
      <c r="L111" s="14">
        <f t="shared" si="8"/>
        <v>0</v>
      </c>
      <c r="M111" s="27">
        <v>96</v>
      </c>
      <c r="N111" s="13"/>
      <c r="O111" s="14"/>
      <c r="P111" s="14"/>
      <c r="Q111" s="14">
        <f t="shared" si="9"/>
        <v>0</v>
      </c>
      <c r="R111" s="27">
        <v>96</v>
      </c>
      <c r="S111" s="13"/>
      <c r="T111" s="14"/>
      <c r="U111" s="14"/>
      <c r="V111" s="14">
        <f t="shared" si="10"/>
        <v>0</v>
      </c>
      <c r="W111" s="27">
        <v>96</v>
      </c>
      <c r="X111" s="13"/>
      <c r="Y111" s="14"/>
      <c r="Z111" s="14"/>
      <c r="AA111" s="14">
        <f t="shared" si="11"/>
        <v>0</v>
      </c>
      <c r="AB111" s="27">
        <v>96</v>
      </c>
      <c r="AC111" s="13"/>
      <c r="AD111" s="14"/>
      <c r="AE111" s="14"/>
      <c r="AF111" s="14">
        <f t="shared" si="12"/>
        <v>0</v>
      </c>
      <c r="AG111" s="27">
        <v>96</v>
      </c>
      <c r="AH111" s="13"/>
      <c r="AI111" s="14"/>
      <c r="AJ111" s="14"/>
      <c r="AK111" s="14">
        <f t="shared" si="13"/>
        <v>0</v>
      </c>
      <c r="AL111" s="27">
        <v>96</v>
      </c>
      <c r="AM111" s="13"/>
      <c r="AN111" s="14"/>
      <c r="AO111" s="14"/>
      <c r="AP111" s="14">
        <f t="shared" si="14"/>
        <v>0</v>
      </c>
      <c r="AQ111" s="27">
        <v>96</v>
      </c>
      <c r="AR111" s="13"/>
      <c r="AS111" s="14"/>
      <c r="AT111" s="14"/>
      <c r="AU111" s="14">
        <f t="shared" si="15"/>
        <v>0</v>
      </c>
    </row>
    <row r="112" spans="8:47" s="1" customFormat="1" ht="90" customHeight="1">
      <c r="H112" s="27">
        <v>97</v>
      </c>
      <c r="I112" s="13"/>
      <c r="J112" s="14"/>
      <c r="K112" s="14"/>
      <c r="L112" s="14">
        <f t="shared" si="8"/>
        <v>0</v>
      </c>
      <c r="M112" s="27">
        <v>97</v>
      </c>
      <c r="N112" s="13"/>
      <c r="O112" s="14"/>
      <c r="P112" s="14"/>
      <c r="Q112" s="14">
        <f t="shared" si="9"/>
        <v>0</v>
      </c>
      <c r="R112" s="27">
        <v>97</v>
      </c>
      <c r="S112" s="13"/>
      <c r="T112" s="14"/>
      <c r="U112" s="14"/>
      <c r="V112" s="14">
        <f t="shared" si="10"/>
        <v>0</v>
      </c>
      <c r="W112" s="27">
        <v>97</v>
      </c>
      <c r="X112" s="13"/>
      <c r="Y112" s="14"/>
      <c r="Z112" s="14"/>
      <c r="AA112" s="14">
        <f t="shared" si="11"/>
        <v>0</v>
      </c>
      <c r="AB112" s="27">
        <v>97</v>
      </c>
      <c r="AC112" s="13"/>
      <c r="AD112" s="14"/>
      <c r="AE112" s="14"/>
      <c r="AF112" s="14">
        <f t="shared" si="12"/>
        <v>0</v>
      </c>
      <c r="AG112" s="27">
        <v>97</v>
      </c>
      <c r="AH112" s="13"/>
      <c r="AI112" s="14"/>
      <c r="AJ112" s="14"/>
      <c r="AK112" s="14">
        <f t="shared" si="13"/>
        <v>0</v>
      </c>
      <c r="AL112" s="27">
        <v>97</v>
      </c>
      <c r="AM112" s="13"/>
      <c r="AN112" s="14"/>
      <c r="AO112" s="14"/>
      <c r="AP112" s="14">
        <f t="shared" si="14"/>
        <v>0</v>
      </c>
      <c r="AQ112" s="27">
        <v>97</v>
      </c>
      <c r="AR112" s="13"/>
      <c r="AS112" s="14"/>
      <c r="AT112" s="14"/>
      <c r="AU112" s="14">
        <f t="shared" si="15"/>
        <v>0</v>
      </c>
    </row>
    <row r="113" spans="8:47" s="1" customFormat="1" ht="90" customHeight="1">
      <c r="H113" s="27">
        <v>98</v>
      </c>
      <c r="I113" s="13"/>
      <c r="J113" s="14"/>
      <c r="K113" s="14"/>
      <c r="L113" s="14">
        <f t="shared" si="8"/>
        <v>0</v>
      </c>
      <c r="M113" s="27">
        <v>98</v>
      </c>
      <c r="N113" s="13"/>
      <c r="O113" s="14"/>
      <c r="P113" s="14"/>
      <c r="Q113" s="14">
        <f t="shared" si="9"/>
        <v>0</v>
      </c>
      <c r="R113" s="27">
        <v>98</v>
      </c>
      <c r="S113" s="13"/>
      <c r="T113" s="14"/>
      <c r="U113" s="14"/>
      <c r="V113" s="14">
        <f t="shared" si="10"/>
        <v>0</v>
      </c>
      <c r="W113" s="27">
        <v>98</v>
      </c>
      <c r="X113" s="13"/>
      <c r="Y113" s="14"/>
      <c r="Z113" s="14"/>
      <c r="AA113" s="14">
        <f t="shared" si="11"/>
        <v>0</v>
      </c>
      <c r="AB113" s="27">
        <v>98</v>
      </c>
      <c r="AC113" s="13"/>
      <c r="AD113" s="14"/>
      <c r="AE113" s="14"/>
      <c r="AF113" s="14">
        <f t="shared" si="12"/>
        <v>0</v>
      </c>
      <c r="AG113" s="27">
        <v>98</v>
      </c>
      <c r="AH113" s="13"/>
      <c r="AI113" s="14"/>
      <c r="AJ113" s="14"/>
      <c r="AK113" s="14">
        <f t="shared" si="13"/>
        <v>0</v>
      </c>
      <c r="AL113" s="27">
        <v>98</v>
      </c>
      <c r="AM113" s="13"/>
      <c r="AN113" s="14"/>
      <c r="AO113" s="14"/>
      <c r="AP113" s="14">
        <f t="shared" si="14"/>
        <v>0</v>
      </c>
      <c r="AQ113" s="27">
        <v>98</v>
      </c>
      <c r="AR113" s="13"/>
      <c r="AS113" s="14"/>
      <c r="AT113" s="14"/>
      <c r="AU113" s="14">
        <f t="shared" si="15"/>
        <v>0</v>
      </c>
    </row>
    <row r="114" spans="8:47" s="1" customFormat="1" ht="90" customHeight="1">
      <c r="H114" s="27">
        <v>99</v>
      </c>
      <c r="I114" s="13"/>
      <c r="J114" s="14"/>
      <c r="K114" s="14"/>
      <c r="L114" s="14">
        <f t="shared" si="8"/>
        <v>0</v>
      </c>
      <c r="M114" s="27">
        <v>99</v>
      </c>
      <c r="N114" s="13"/>
      <c r="O114" s="14"/>
      <c r="P114" s="14"/>
      <c r="Q114" s="14">
        <f t="shared" si="9"/>
        <v>0</v>
      </c>
      <c r="R114" s="27">
        <v>99</v>
      </c>
      <c r="S114" s="13"/>
      <c r="T114" s="14"/>
      <c r="U114" s="14"/>
      <c r="V114" s="14">
        <f t="shared" si="10"/>
        <v>0</v>
      </c>
      <c r="W114" s="27">
        <v>99</v>
      </c>
      <c r="X114" s="13"/>
      <c r="Y114" s="14"/>
      <c r="Z114" s="14"/>
      <c r="AA114" s="14">
        <f t="shared" si="11"/>
        <v>0</v>
      </c>
      <c r="AB114" s="27">
        <v>99</v>
      </c>
      <c r="AC114" s="13"/>
      <c r="AD114" s="14"/>
      <c r="AE114" s="14"/>
      <c r="AF114" s="14">
        <f t="shared" si="12"/>
        <v>0</v>
      </c>
      <c r="AG114" s="27">
        <v>99</v>
      </c>
      <c r="AH114" s="13"/>
      <c r="AI114" s="14"/>
      <c r="AJ114" s="14"/>
      <c r="AK114" s="14">
        <f t="shared" si="13"/>
        <v>0</v>
      </c>
      <c r="AL114" s="27">
        <v>99</v>
      </c>
      <c r="AM114" s="13"/>
      <c r="AN114" s="14"/>
      <c r="AO114" s="14"/>
      <c r="AP114" s="14">
        <f t="shared" si="14"/>
        <v>0</v>
      </c>
      <c r="AQ114" s="27">
        <v>99</v>
      </c>
      <c r="AR114" s="13"/>
      <c r="AS114" s="14"/>
      <c r="AT114" s="14"/>
      <c r="AU114" s="14">
        <f t="shared" si="15"/>
        <v>0</v>
      </c>
    </row>
    <row r="115" spans="8:47" s="1" customFormat="1" ht="90" customHeight="1">
      <c r="H115" s="27">
        <v>100</v>
      </c>
      <c r="I115" s="13"/>
      <c r="J115" s="14"/>
      <c r="K115" s="14"/>
      <c r="L115" s="14">
        <f t="shared" si="8"/>
        <v>0</v>
      </c>
      <c r="M115" s="27">
        <v>100</v>
      </c>
      <c r="N115" s="13"/>
      <c r="O115" s="14"/>
      <c r="P115" s="14"/>
      <c r="Q115" s="14">
        <f t="shared" si="9"/>
        <v>0</v>
      </c>
      <c r="R115" s="27">
        <v>100</v>
      </c>
      <c r="S115" s="13"/>
      <c r="T115" s="14"/>
      <c r="U115" s="14"/>
      <c r="V115" s="14">
        <f t="shared" si="10"/>
        <v>0</v>
      </c>
      <c r="W115" s="27">
        <v>100</v>
      </c>
      <c r="X115" s="13"/>
      <c r="Y115" s="14"/>
      <c r="Z115" s="14"/>
      <c r="AA115" s="14">
        <f t="shared" si="11"/>
        <v>0</v>
      </c>
      <c r="AB115" s="27">
        <v>100</v>
      </c>
      <c r="AC115" s="13"/>
      <c r="AD115" s="14"/>
      <c r="AE115" s="14"/>
      <c r="AF115" s="14">
        <f t="shared" si="12"/>
        <v>0</v>
      </c>
      <c r="AG115" s="27">
        <v>100</v>
      </c>
      <c r="AH115" s="13"/>
      <c r="AI115" s="14"/>
      <c r="AJ115" s="14"/>
      <c r="AK115" s="14">
        <f t="shared" si="13"/>
        <v>0</v>
      </c>
      <c r="AL115" s="27">
        <v>100</v>
      </c>
      <c r="AM115" s="13"/>
      <c r="AN115" s="14"/>
      <c r="AO115" s="14"/>
      <c r="AP115" s="14">
        <f t="shared" si="14"/>
        <v>0</v>
      </c>
      <c r="AQ115" s="27">
        <v>100</v>
      </c>
      <c r="AR115" s="13"/>
      <c r="AS115" s="14"/>
      <c r="AT115" s="14"/>
      <c r="AU115" s="14">
        <f t="shared" si="15"/>
        <v>0</v>
      </c>
    </row>
    <row r="116" spans="8:47" s="1" customFormat="1" ht="90" customHeight="1">
      <c r="H116" s="27">
        <v>101</v>
      </c>
      <c r="I116" s="13"/>
      <c r="J116" s="14"/>
      <c r="K116" s="14"/>
      <c r="L116" s="14">
        <f t="shared" si="8"/>
        <v>0</v>
      </c>
      <c r="M116" s="27">
        <v>101</v>
      </c>
      <c r="N116" s="13"/>
      <c r="O116" s="14"/>
      <c r="P116" s="14"/>
      <c r="Q116" s="14">
        <f t="shared" si="9"/>
        <v>0</v>
      </c>
      <c r="R116" s="27">
        <v>101</v>
      </c>
      <c r="S116" s="13"/>
      <c r="T116" s="14"/>
      <c r="U116" s="14"/>
      <c r="V116" s="14">
        <f t="shared" si="10"/>
        <v>0</v>
      </c>
      <c r="W116" s="27">
        <v>101</v>
      </c>
      <c r="X116" s="13"/>
      <c r="Y116" s="14"/>
      <c r="Z116" s="14"/>
      <c r="AA116" s="14">
        <f t="shared" si="11"/>
        <v>0</v>
      </c>
      <c r="AB116" s="27">
        <v>101</v>
      </c>
      <c r="AC116" s="13"/>
      <c r="AD116" s="14"/>
      <c r="AE116" s="14"/>
      <c r="AF116" s="14">
        <f t="shared" si="12"/>
        <v>0</v>
      </c>
      <c r="AG116" s="27">
        <v>101</v>
      </c>
      <c r="AH116" s="13"/>
      <c r="AI116" s="14"/>
      <c r="AJ116" s="14"/>
      <c r="AK116" s="14">
        <f t="shared" si="13"/>
        <v>0</v>
      </c>
      <c r="AL116" s="27">
        <v>101</v>
      </c>
      <c r="AM116" s="13"/>
      <c r="AN116" s="14"/>
      <c r="AO116" s="14"/>
      <c r="AP116" s="14">
        <f t="shared" si="14"/>
        <v>0</v>
      </c>
      <c r="AQ116" s="27">
        <v>101</v>
      </c>
      <c r="AR116" s="13"/>
      <c r="AS116" s="14"/>
      <c r="AT116" s="14"/>
      <c r="AU116" s="14">
        <f t="shared" si="15"/>
        <v>0</v>
      </c>
    </row>
    <row r="117" spans="8:47" s="1" customFormat="1" ht="90" customHeight="1">
      <c r="H117" s="27">
        <v>102</v>
      </c>
      <c r="I117" s="13"/>
      <c r="J117" s="14"/>
      <c r="K117" s="14"/>
      <c r="L117" s="14">
        <f t="shared" ref="L117:L165" si="16">SUM(J117:K117)</f>
        <v>0</v>
      </c>
      <c r="M117" s="27">
        <v>102</v>
      </c>
      <c r="N117" s="13"/>
      <c r="O117" s="14"/>
      <c r="P117" s="14"/>
      <c r="Q117" s="14">
        <f t="shared" ref="Q117:Q165" si="17">SUM(O117:P117)</f>
        <v>0</v>
      </c>
      <c r="R117" s="27">
        <v>102</v>
      </c>
      <c r="S117" s="13"/>
      <c r="T117" s="14"/>
      <c r="U117" s="14"/>
      <c r="V117" s="14">
        <f t="shared" ref="V117:V165" si="18">SUM(T117:U117)</f>
        <v>0</v>
      </c>
      <c r="W117" s="27">
        <v>102</v>
      </c>
      <c r="X117" s="13"/>
      <c r="Y117" s="14"/>
      <c r="Z117" s="14"/>
      <c r="AA117" s="14">
        <f t="shared" ref="AA117:AA165" si="19">SUM(Y117:Z117)</f>
        <v>0</v>
      </c>
      <c r="AB117" s="27">
        <v>102</v>
      </c>
      <c r="AC117" s="13"/>
      <c r="AD117" s="14"/>
      <c r="AE117" s="14"/>
      <c r="AF117" s="14">
        <f t="shared" ref="AF117:AF165" si="20">SUM(AD117:AE117)</f>
        <v>0</v>
      </c>
      <c r="AG117" s="27">
        <v>102</v>
      </c>
      <c r="AH117" s="13"/>
      <c r="AI117" s="14"/>
      <c r="AJ117" s="14"/>
      <c r="AK117" s="14">
        <f t="shared" ref="AK117:AK165" si="21">SUM(AI117:AJ117)</f>
        <v>0</v>
      </c>
      <c r="AL117" s="27">
        <v>102</v>
      </c>
      <c r="AM117" s="13"/>
      <c r="AN117" s="14"/>
      <c r="AO117" s="14"/>
      <c r="AP117" s="14">
        <f t="shared" ref="AP117:AP165" si="22">SUM(AN117:AO117)</f>
        <v>0</v>
      </c>
      <c r="AQ117" s="27">
        <v>102</v>
      </c>
      <c r="AR117" s="13"/>
      <c r="AS117" s="14"/>
      <c r="AT117" s="14"/>
      <c r="AU117" s="14">
        <f t="shared" ref="AU117:AU165" si="23">SUM(AS117:AT117)</f>
        <v>0</v>
      </c>
    </row>
    <row r="118" spans="8:47" s="1" customFormat="1" ht="90" customHeight="1">
      <c r="H118" s="27">
        <v>103</v>
      </c>
      <c r="I118" s="13"/>
      <c r="J118" s="14"/>
      <c r="K118" s="14"/>
      <c r="L118" s="14">
        <f t="shared" si="16"/>
        <v>0</v>
      </c>
      <c r="M118" s="27">
        <v>103</v>
      </c>
      <c r="N118" s="13"/>
      <c r="O118" s="14"/>
      <c r="P118" s="14"/>
      <c r="Q118" s="14">
        <f t="shared" si="17"/>
        <v>0</v>
      </c>
      <c r="R118" s="27">
        <v>103</v>
      </c>
      <c r="S118" s="13"/>
      <c r="T118" s="14"/>
      <c r="U118" s="14"/>
      <c r="V118" s="14">
        <f t="shared" si="18"/>
        <v>0</v>
      </c>
      <c r="W118" s="27">
        <v>103</v>
      </c>
      <c r="X118" s="13"/>
      <c r="Y118" s="14"/>
      <c r="Z118" s="14"/>
      <c r="AA118" s="14">
        <f t="shared" si="19"/>
        <v>0</v>
      </c>
      <c r="AB118" s="27">
        <v>103</v>
      </c>
      <c r="AC118" s="13"/>
      <c r="AD118" s="14"/>
      <c r="AE118" s="14"/>
      <c r="AF118" s="14">
        <f t="shared" si="20"/>
        <v>0</v>
      </c>
      <c r="AG118" s="27">
        <v>103</v>
      </c>
      <c r="AH118" s="13"/>
      <c r="AI118" s="14"/>
      <c r="AJ118" s="14"/>
      <c r="AK118" s="14">
        <f t="shared" si="21"/>
        <v>0</v>
      </c>
      <c r="AL118" s="27">
        <v>103</v>
      </c>
      <c r="AM118" s="13"/>
      <c r="AN118" s="14"/>
      <c r="AO118" s="14"/>
      <c r="AP118" s="14">
        <f t="shared" si="22"/>
        <v>0</v>
      </c>
      <c r="AQ118" s="27">
        <v>103</v>
      </c>
      <c r="AR118" s="13"/>
      <c r="AS118" s="14"/>
      <c r="AT118" s="14"/>
      <c r="AU118" s="14">
        <f t="shared" si="23"/>
        <v>0</v>
      </c>
    </row>
    <row r="119" spans="8:47" s="1" customFormat="1" ht="90" customHeight="1">
      <c r="H119" s="27">
        <v>104</v>
      </c>
      <c r="I119" s="13"/>
      <c r="J119" s="14"/>
      <c r="K119" s="14"/>
      <c r="L119" s="14">
        <f t="shared" si="16"/>
        <v>0</v>
      </c>
      <c r="M119" s="27">
        <v>104</v>
      </c>
      <c r="N119" s="13"/>
      <c r="O119" s="14"/>
      <c r="P119" s="14"/>
      <c r="Q119" s="14">
        <f t="shared" si="17"/>
        <v>0</v>
      </c>
      <c r="R119" s="27">
        <v>104</v>
      </c>
      <c r="S119" s="13"/>
      <c r="T119" s="14"/>
      <c r="U119" s="14"/>
      <c r="V119" s="14">
        <f t="shared" si="18"/>
        <v>0</v>
      </c>
      <c r="W119" s="27">
        <v>104</v>
      </c>
      <c r="X119" s="13"/>
      <c r="Y119" s="14"/>
      <c r="Z119" s="14"/>
      <c r="AA119" s="14">
        <f t="shared" si="19"/>
        <v>0</v>
      </c>
      <c r="AB119" s="27">
        <v>104</v>
      </c>
      <c r="AC119" s="13"/>
      <c r="AD119" s="14"/>
      <c r="AE119" s="14"/>
      <c r="AF119" s="14">
        <f t="shared" si="20"/>
        <v>0</v>
      </c>
      <c r="AG119" s="27">
        <v>104</v>
      </c>
      <c r="AH119" s="13"/>
      <c r="AI119" s="14"/>
      <c r="AJ119" s="14"/>
      <c r="AK119" s="14">
        <f t="shared" si="21"/>
        <v>0</v>
      </c>
      <c r="AL119" s="27">
        <v>104</v>
      </c>
      <c r="AM119" s="13"/>
      <c r="AN119" s="14"/>
      <c r="AO119" s="14"/>
      <c r="AP119" s="14">
        <f t="shared" si="22"/>
        <v>0</v>
      </c>
      <c r="AQ119" s="27">
        <v>104</v>
      </c>
      <c r="AR119" s="13"/>
      <c r="AS119" s="14"/>
      <c r="AT119" s="14"/>
      <c r="AU119" s="14">
        <f t="shared" si="23"/>
        <v>0</v>
      </c>
    </row>
    <row r="120" spans="8:47" s="1" customFormat="1" ht="90" customHeight="1">
      <c r="H120" s="27">
        <v>105</v>
      </c>
      <c r="I120" s="13"/>
      <c r="J120" s="14"/>
      <c r="K120" s="14"/>
      <c r="L120" s="14">
        <f t="shared" si="16"/>
        <v>0</v>
      </c>
      <c r="M120" s="27">
        <v>105</v>
      </c>
      <c r="N120" s="13"/>
      <c r="O120" s="14"/>
      <c r="P120" s="14"/>
      <c r="Q120" s="14">
        <f t="shared" si="17"/>
        <v>0</v>
      </c>
      <c r="R120" s="27">
        <v>105</v>
      </c>
      <c r="S120" s="13"/>
      <c r="T120" s="14"/>
      <c r="U120" s="14"/>
      <c r="V120" s="14">
        <f t="shared" si="18"/>
        <v>0</v>
      </c>
      <c r="W120" s="27">
        <v>105</v>
      </c>
      <c r="X120" s="13"/>
      <c r="Y120" s="14"/>
      <c r="Z120" s="14"/>
      <c r="AA120" s="14">
        <f t="shared" si="19"/>
        <v>0</v>
      </c>
      <c r="AB120" s="27">
        <v>105</v>
      </c>
      <c r="AC120" s="13"/>
      <c r="AD120" s="14"/>
      <c r="AE120" s="14"/>
      <c r="AF120" s="14">
        <f t="shared" si="20"/>
        <v>0</v>
      </c>
      <c r="AG120" s="27">
        <v>105</v>
      </c>
      <c r="AH120" s="13"/>
      <c r="AI120" s="14"/>
      <c r="AJ120" s="14"/>
      <c r="AK120" s="14">
        <f t="shared" si="21"/>
        <v>0</v>
      </c>
      <c r="AL120" s="27">
        <v>105</v>
      </c>
      <c r="AM120" s="13"/>
      <c r="AN120" s="14"/>
      <c r="AO120" s="14"/>
      <c r="AP120" s="14">
        <f t="shared" si="22"/>
        <v>0</v>
      </c>
      <c r="AQ120" s="27">
        <v>105</v>
      </c>
      <c r="AR120" s="13"/>
      <c r="AS120" s="14"/>
      <c r="AT120" s="14"/>
      <c r="AU120" s="14">
        <f t="shared" si="23"/>
        <v>0</v>
      </c>
    </row>
    <row r="121" spans="8:47" s="1" customFormat="1" ht="90" customHeight="1">
      <c r="H121" s="27">
        <v>106</v>
      </c>
      <c r="I121" s="13"/>
      <c r="J121" s="14"/>
      <c r="K121" s="14"/>
      <c r="L121" s="14">
        <f t="shared" si="16"/>
        <v>0</v>
      </c>
      <c r="M121" s="27">
        <v>106</v>
      </c>
      <c r="N121" s="13"/>
      <c r="O121" s="14"/>
      <c r="P121" s="14"/>
      <c r="Q121" s="14">
        <f t="shared" si="17"/>
        <v>0</v>
      </c>
      <c r="R121" s="27">
        <v>106</v>
      </c>
      <c r="S121" s="13"/>
      <c r="T121" s="14"/>
      <c r="U121" s="14"/>
      <c r="V121" s="14">
        <f t="shared" si="18"/>
        <v>0</v>
      </c>
      <c r="W121" s="27">
        <v>106</v>
      </c>
      <c r="X121" s="13"/>
      <c r="Y121" s="14"/>
      <c r="Z121" s="14"/>
      <c r="AA121" s="14">
        <f t="shared" si="19"/>
        <v>0</v>
      </c>
      <c r="AB121" s="27">
        <v>106</v>
      </c>
      <c r="AC121" s="13"/>
      <c r="AD121" s="14"/>
      <c r="AE121" s="14"/>
      <c r="AF121" s="14">
        <f t="shared" si="20"/>
        <v>0</v>
      </c>
      <c r="AG121" s="27">
        <v>106</v>
      </c>
      <c r="AH121" s="13"/>
      <c r="AI121" s="14"/>
      <c r="AJ121" s="14"/>
      <c r="AK121" s="14">
        <f t="shared" si="21"/>
        <v>0</v>
      </c>
      <c r="AL121" s="27">
        <v>106</v>
      </c>
      <c r="AM121" s="13"/>
      <c r="AN121" s="14"/>
      <c r="AO121" s="14"/>
      <c r="AP121" s="14">
        <f t="shared" si="22"/>
        <v>0</v>
      </c>
      <c r="AQ121" s="27">
        <v>106</v>
      </c>
      <c r="AR121" s="13"/>
      <c r="AS121" s="14"/>
      <c r="AT121" s="14"/>
      <c r="AU121" s="14">
        <f t="shared" si="23"/>
        <v>0</v>
      </c>
    </row>
    <row r="122" spans="8:47" s="1" customFormat="1" ht="90" customHeight="1">
      <c r="H122" s="27">
        <v>107</v>
      </c>
      <c r="I122" s="13"/>
      <c r="J122" s="14"/>
      <c r="K122" s="14"/>
      <c r="L122" s="14">
        <f t="shared" si="16"/>
        <v>0</v>
      </c>
      <c r="M122" s="27">
        <v>107</v>
      </c>
      <c r="N122" s="13"/>
      <c r="O122" s="14"/>
      <c r="P122" s="14"/>
      <c r="Q122" s="14">
        <f t="shared" si="17"/>
        <v>0</v>
      </c>
      <c r="R122" s="27">
        <v>107</v>
      </c>
      <c r="S122" s="13"/>
      <c r="T122" s="14"/>
      <c r="U122" s="14"/>
      <c r="V122" s="14">
        <f t="shared" si="18"/>
        <v>0</v>
      </c>
      <c r="W122" s="27">
        <v>107</v>
      </c>
      <c r="X122" s="13"/>
      <c r="Y122" s="14"/>
      <c r="Z122" s="14"/>
      <c r="AA122" s="14">
        <f t="shared" si="19"/>
        <v>0</v>
      </c>
      <c r="AB122" s="27">
        <v>107</v>
      </c>
      <c r="AC122" s="13"/>
      <c r="AD122" s="14"/>
      <c r="AE122" s="14"/>
      <c r="AF122" s="14">
        <f t="shared" si="20"/>
        <v>0</v>
      </c>
      <c r="AG122" s="27">
        <v>107</v>
      </c>
      <c r="AH122" s="13"/>
      <c r="AI122" s="14"/>
      <c r="AJ122" s="14"/>
      <c r="AK122" s="14">
        <f t="shared" si="21"/>
        <v>0</v>
      </c>
      <c r="AL122" s="27">
        <v>107</v>
      </c>
      <c r="AM122" s="13"/>
      <c r="AN122" s="14"/>
      <c r="AO122" s="14"/>
      <c r="AP122" s="14">
        <f t="shared" si="22"/>
        <v>0</v>
      </c>
      <c r="AQ122" s="27">
        <v>107</v>
      </c>
      <c r="AR122" s="13"/>
      <c r="AS122" s="14"/>
      <c r="AT122" s="14"/>
      <c r="AU122" s="14">
        <f t="shared" si="23"/>
        <v>0</v>
      </c>
    </row>
    <row r="123" spans="8:47" s="1" customFormat="1" ht="90" customHeight="1">
      <c r="H123" s="27">
        <v>108</v>
      </c>
      <c r="I123" s="13"/>
      <c r="J123" s="14"/>
      <c r="K123" s="14"/>
      <c r="L123" s="14">
        <f t="shared" si="16"/>
        <v>0</v>
      </c>
      <c r="M123" s="27">
        <v>108</v>
      </c>
      <c r="N123" s="13"/>
      <c r="O123" s="14"/>
      <c r="P123" s="14"/>
      <c r="Q123" s="14">
        <f t="shared" si="17"/>
        <v>0</v>
      </c>
      <c r="R123" s="27">
        <v>108</v>
      </c>
      <c r="S123" s="13"/>
      <c r="T123" s="14"/>
      <c r="U123" s="14"/>
      <c r="V123" s="14">
        <f t="shared" si="18"/>
        <v>0</v>
      </c>
      <c r="W123" s="27">
        <v>108</v>
      </c>
      <c r="X123" s="13"/>
      <c r="Y123" s="14"/>
      <c r="Z123" s="14"/>
      <c r="AA123" s="14">
        <f t="shared" si="19"/>
        <v>0</v>
      </c>
      <c r="AB123" s="27">
        <v>108</v>
      </c>
      <c r="AC123" s="13"/>
      <c r="AD123" s="14"/>
      <c r="AE123" s="14"/>
      <c r="AF123" s="14">
        <f t="shared" si="20"/>
        <v>0</v>
      </c>
      <c r="AG123" s="27">
        <v>108</v>
      </c>
      <c r="AH123" s="13"/>
      <c r="AI123" s="14"/>
      <c r="AJ123" s="14"/>
      <c r="AK123" s="14">
        <f t="shared" si="21"/>
        <v>0</v>
      </c>
      <c r="AL123" s="27">
        <v>108</v>
      </c>
      <c r="AM123" s="13"/>
      <c r="AN123" s="14"/>
      <c r="AO123" s="14"/>
      <c r="AP123" s="14">
        <f t="shared" si="22"/>
        <v>0</v>
      </c>
      <c r="AQ123" s="27">
        <v>108</v>
      </c>
      <c r="AR123" s="13"/>
      <c r="AS123" s="14"/>
      <c r="AT123" s="14"/>
      <c r="AU123" s="14">
        <f t="shared" si="23"/>
        <v>0</v>
      </c>
    </row>
    <row r="124" spans="8:47" s="1" customFormat="1" ht="90" customHeight="1">
      <c r="H124" s="27">
        <v>109</v>
      </c>
      <c r="I124" s="13"/>
      <c r="J124" s="14"/>
      <c r="K124" s="14"/>
      <c r="L124" s="14">
        <f t="shared" si="16"/>
        <v>0</v>
      </c>
      <c r="M124" s="27">
        <v>109</v>
      </c>
      <c r="N124" s="13"/>
      <c r="O124" s="14"/>
      <c r="P124" s="14"/>
      <c r="Q124" s="14">
        <f t="shared" si="17"/>
        <v>0</v>
      </c>
      <c r="R124" s="27">
        <v>109</v>
      </c>
      <c r="S124" s="13"/>
      <c r="T124" s="14"/>
      <c r="U124" s="14"/>
      <c r="V124" s="14">
        <f t="shared" si="18"/>
        <v>0</v>
      </c>
      <c r="W124" s="27">
        <v>109</v>
      </c>
      <c r="X124" s="13"/>
      <c r="Y124" s="14"/>
      <c r="Z124" s="14"/>
      <c r="AA124" s="14">
        <f t="shared" si="19"/>
        <v>0</v>
      </c>
      <c r="AB124" s="27">
        <v>109</v>
      </c>
      <c r="AC124" s="13"/>
      <c r="AD124" s="14"/>
      <c r="AE124" s="14"/>
      <c r="AF124" s="14">
        <f t="shared" si="20"/>
        <v>0</v>
      </c>
      <c r="AG124" s="27">
        <v>109</v>
      </c>
      <c r="AH124" s="13"/>
      <c r="AI124" s="14"/>
      <c r="AJ124" s="14"/>
      <c r="AK124" s="14">
        <f t="shared" si="21"/>
        <v>0</v>
      </c>
      <c r="AL124" s="27">
        <v>109</v>
      </c>
      <c r="AM124" s="13"/>
      <c r="AN124" s="14"/>
      <c r="AO124" s="14"/>
      <c r="AP124" s="14">
        <f t="shared" si="22"/>
        <v>0</v>
      </c>
      <c r="AQ124" s="27">
        <v>109</v>
      </c>
      <c r="AR124" s="13"/>
      <c r="AS124" s="14"/>
      <c r="AT124" s="14"/>
      <c r="AU124" s="14">
        <f t="shared" si="23"/>
        <v>0</v>
      </c>
    </row>
    <row r="125" spans="8:47" s="1" customFormat="1" ht="90" customHeight="1">
      <c r="H125" s="27">
        <v>110</v>
      </c>
      <c r="I125" s="13"/>
      <c r="J125" s="14"/>
      <c r="K125" s="14"/>
      <c r="L125" s="14">
        <f t="shared" si="16"/>
        <v>0</v>
      </c>
      <c r="M125" s="27">
        <v>110</v>
      </c>
      <c r="N125" s="13"/>
      <c r="O125" s="14"/>
      <c r="P125" s="14"/>
      <c r="Q125" s="14">
        <f t="shared" si="17"/>
        <v>0</v>
      </c>
      <c r="R125" s="27">
        <v>110</v>
      </c>
      <c r="S125" s="13"/>
      <c r="T125" s="14"/>
      <c r="U125" s="14"/>
      <c r="V125" s="14">
        <f t="shared" si="18"/>
        <v>0</v>
      </c>
      <c r="W125" s="27">
        <v>110</v>
      </c>
      <c r="X125" s="13"/>
      <c r="Y125" s="14"/>
      <c r="Z125" s="14"/>
      <c r="AA125" s="14">
        <f t="shared" si="19"/>
        <v>0</v>
      </c>
      <c r="AB125" s="27">
        <v>110</v>
      </c>
      <c r="AC125" s="13"/>
      <c r="AD125" s="14"/>
      <c r="AE125" s="14"/>
      <c r="AF125" s="14">
        <f t="shared" si="20"/>
        <v>0</v>
      </c>
      <c r="AG125" s="27">
        <v>110</v>
      </c>
      <c r="AH125" s="13"/>
      <c r="AI125" s="14"/>
      <c r="AJ125" s="14"/>
      <c r="AK125" s="14">
        <f t="shared" si="21"/>
        <v>0</v>
      </c>
      <c r="AL125" s="27">
        <v>110</v>
      </c>
      <c r="AM125" s="13"/>
      <c r="AN125" s="14"/>
      <c r="AO125" s="14"/>
      <c r="AP125" s="14">
        <f t="shared" si="22"/>
        <v>0</v>
      </c>
      <c r="AQ125" s="27">
        <v>110</v>
      </c>
      <c r="AR125" s="13"/>
      <c r="AS125" s="14"/>
      <c r="AT125" s="14"/>
      <c r="AU125" s="14">
        <f t="shared" si="23"/>
        <v>0</v>
      </c>
    </row>
    <row r="126" spans="8:47" s="1" customFormat="1" ht="90" customHeight="1">
      <c r="H126" s="27">
        <v>111</v>
      </c>
      <c r="I126" s="13"/>
      <c r="J126" s="14"/>
      <c r="K126" s="14"/>
      <c r="L126" s="14">
        <f t="shared" si="16"/>
        <v>0</v>
      </c>
      <c r="M126" s="27">
        <v>111</v>
      </c>
      <c r="N126" s="13"/>
      <c r="O126" s="14"/>
      <c r="P126" s="14"/>
      <c r="Q126" s="14">
        <f t="shared" si="17"/>
        <v>0</v>
      </c>
      <c r="R126" s="27">
        <v>111</v>
      </c>
      <c r="S126" s="13"/>
      <c r="T126" s="14"/>
      <c r="U126" s="14"/>
      <c r="V126" s="14">
        <f t="shared" si="18"/>
        <v>0</v>
      </c>
      <c r="W126" s="27">
        <v>111</v>
      </c>
      <c r="X126" s="13"/>
      <c r="Y126" s="14"/>
      <c r="Z126" s="14"/>
      <c r="AA126" s="14">
        <f t="shared" si="19"/>
        <v>0</v>
      </c>
      <c r="AB126" s="27">
        <v>111</v>
      </c>
      <c r="AC126" s="13"/>
      <c r="AD126" s="14"/>
      <c r="AE126" s="14"/>
      <c r="AF126" s="14">
        <f t="shared" si="20"/>
        <v>0</v>
      </c>
      <c r="AG126" s="27">
        <v>111</v>
      </c>
      <c r="AH126" s="13"/>
      <c r="AI126" s="14"/>
      <c r="AJ126" s="14"/>
      <c r="AK126" s="14">
        <f t="shared" si="21"/>
        <v>0</v>
      </c>
      <c r="AL126" s="27">
        <v>111</v>
      </c>
      <c r="AM126" s="13"/>
      <c r="AN126" s="14"/>
      <c r="AO126" s="14"/>
      <c r="AP126" s="14">
        <f t="shared" si="22"/>
        <v>0</v>
      </c>
      <c r="AQ126" s="27">
        <v>111</v>
      </c>
      <c r="AR126" s="13"/>
      <c r="AS126" s="14"/>
      <c r="AT126" s="14"/>
      <c r="AU126" s="14">
        <f t="shared" si="23"/>
        <v>0</v>
      </c>
    </row>
    <row r="127" spans="8:47" s="1" customFormat="1" ht="90" customHeight="1">
      <c r="H127" s="27">
        <v>112</v>
      </c>
      <c r="I127" s="13"/>
      <c r="J127" s="14"/>
      <c r="K127" s="14"/>
      <c r="L127" s="14">
        <f t="shared" si="16"/>
        <v>0</v>
      </c>
      <c r="M127" s="27">
        <v>112</v>
      </c>
      <c r="N127" s="13"/>
      <c r="O127" s="14"/>
      <c r="P127" s="14"/>
      <c r="Q127" s="14">
        <f t="shared" si="17"/>
        <v>0</v>
      </c>
      <c r="R127" s="27">
        <v>112</v>
      </c>
      <c r="S127" s="13"/>
      <c r="T127" s="14"/>
      <c r="U127" s="14"/>
      <c r="V127" s="14">
        <f t="shared" si="18"/>
        <v>0</v>
      </c>
      <c r="W127" s="27">
        <v>112</v>
      </c>
      <c r="X127" s="13"/>
      <c r="Y127" s="14"/>
      <c r="Z127" s="14"/>
      <c r="AA127" s="14">
        <f t="shared" si="19"/>
        <v>0</v>
      </c>
      <c r="AB127" s="27">
        <v>112</v>
      </c>
      <c r="AC127" s="13"/>
      <c r="AD127" s="14"/>
      <c r="AE127" s="14"/>
      <c r="AF127" s="14">
        <f t="shared" si="20"/>
        <v>0</v>
      </c>
      <c r="AG127" s="27">
        <v>112</v>
      </c>
      <c r="AH127" s="13"/>
      <c r="AI127" s="14"/>
      <c r="AJ127" s="14"/>
      <c r="AK127" s="14">
        <f t="shared" si="21"/>
        <v>0</v>
      </c>
      <c r="AL127" s="27">
        <v>112</v>
      </c>
      <c r="AM127" s="13"/>
      <c r="AN127" s="14"/>
      <c r="AO127" s="14"/>
      <c r="AP127" s="14">
        <f t="shared" si="22"/>
        <v>0</v>
      </c>
      <c r="AQ127" s="27">
        <v>112</v>
      </c>
      <c r="AR127" s="13"/>
      <c r="AS127" s="14"/>
      <c r="AT127" s="14"/>
      <c r="AU127" s="14">
        <f t="shared" si="23"/>
        <v>0</v>
      </c>
    </row>
    <row r="128" spans="8:47" s="1" customFormat="1" ht="90" customHeight="1">
      <c r="H128" s="27">
        <v>113</v>
      </c>
      <c r="I128" s="13"/>
      <c r="J128" s="14"/>
      <c r="K128" s="14"/>
      <c r="L128" s="14">
        <f t="shared" si="16"/>
        <v>0</v>
      </c>
      <c r="M128" s="27">
        <v>113</v>
      </c>
      <c r="N128" s="13"/>
      <c r="O128" s="14"/>
      <c r="P128" s="14"/>
      <c r="Q128" s="14">
        <f t="shared" si="17"/>
        <v>0</v>
      </c>
      <c r="R128" s="27">
        <v>113</v>
      </c>
      <c r="S128" s="13"/>
      <c r="T128" s="14"/>
      <c r="U128" s="14"/>
      <c r="V128" s="14">
        <f t="shared" si="18"/>
        <v>0</v>
      </c>
      <c r="W128" s="27">
        <v>113</v>
      </c>
      <c r="X128" s="13"/>
      <c r="Y128" s="14"/>
      <c r="Z128" s="14"/>
      <c r="AA128" s="14">
        <f t="shared" si="19"/>
        <v>0</v>
      </c>
      <c r="AB128" s="27">
        <v>113</v>
      </c>
      <c r="AC128" s="13"/>
      <c r="AD128" s="14"/>
      <c r="AE128" s="14"/>
      <c r="AF128" s="14">
        <f t="shared" si="20"/>
        <v>0</v>
      </c>
      <c r="AG128" s="27">
        <v>113</v>
      </c>
      <c r="AH128" s="13"/>
      <c r="AI128" s="14"/>
      <c r="AJ128" s="14"/>
      <c r="AK128" s="14">
        <f t="shared" si="21"/>
        <v>0</v>
      </c>
      <c r="AL128" s="27">
        <v>113</v>
      </c>
      <c r="AM128" s="13"/>
      <c r="AN128" s="14"/>
      <c r="AO128" s="14"/>
      <c r="AP128" s="14">
        <f t="shared" si="22"/>
        <v>0</v>
      </c>
      <c r="AQ128" s="27">
        <v>113</v>
      </c>
      <c r="AR128" s="13"/>
      <c r="AS128" s="14"/>
      <c r="AT128" s="14"/>
      <c r="AU128" s="14">
        <f t="shared" si="23"/>
        <v>0</v>
      </c>
    </row>
    <row r="129" spans="8:47" s="1" customFormat="1" ht="90" customHeight="1">
      <c r="H129" s="27">
        <v>114</v>
      </c>
      <c r="I129" s="13"/>
      <c r="J129" s="14"/>
      <c r="K129" s="14"/>
      <c r="L129" s="14">
        <f t="shared" si="16"/>
        <v>0</v>
      </c>
      <c r="M129" s="27">
        <v>114</v>
      </c>
      <c r="N129" s="13"/>
      <c r="O129" s="14"/>
      <c r="P129" s="14"/>
      <c r="Q129" s="14">
        <f t="shared" si="17"/>
        <v>0</v>
      </c>
      <c r="R129" s="27">
        <v>114</v>
      </c>
      <c r="S129" s="13"/>
      <c r="T129" s="14"/>
      <c r="U129" s="14"/>
      <c r="V129" s="14">
        <f t="shared" si="18"/>
        <v>0</v>
      </c>
      <c r="W129" s="27">
        <v>114</v>
      </c>
      <c r="X129" s="13"/>
      <c r="Y129" s="14"/>
      <c r="Z129" s="14"/>
      <c r="AA129" s="14">
        <f t="shared" si="19"/>
        <v>0</v>
      </c>
      <c r="AB129" s="27">
        <v>114</v>
      </c>
      <c r="AC129" s="13"/>
      <c r="AD129" s="14"/>
      <c r="AE129" s="14"/>
      <c r="AF129" s="14">
        <f t="shared" si="20"/>
        <v>0</v>
      </c>
      <c r="AG129" s="27">
        <v>114</v>
      </c>
      <c r="AH129" s="13"/>
      <c r="AI129" s="14"/>
      <c r="AJ129" s="14"/>
      <c r="AK129" s="14">
        <f t="shared" si="21"/>
        <v>0</v>
      </c>
      <c r="AL129" s="27">
        <v>114</v>
      </c>
      <c r="AM129" s="13"/>
      <c r="AN129" s="14"/>
      <c r="AO129" s="14"/>
      <c r="AP129" s="14">
        <f t="shared" si="22"/>
        <v>0</v>
      </c>
      <c r="AQ129" s="27">
        <v>114</v>
      </c>
      <c r="AR129" s="13"/>
      <c r="AS129" s="14"/>
      <c r="AT129" s="14"/>
      <c r="AU129" s="14">
        <f t="shared" si="23"/>
        <v>0</v>
      </c>
    </row>
    <row r="130" spans="8:47" s="1" customFormat="1" ht="90" customHeight="1">
      <c r="H130" s="27">
        <v>115</v>
      </c>
      <c r="I130" s="13"/>
      <c r="J130" s="14"/>
      <c r="K130" s="14"/>
      <c r="L130" s="14">
        <f t="shared" si="16"/>
        <v>0</v>
      </c>
      <c r="M130" s="27">
        <v>115</v>
      </c>
      <c r="N130" s="13"/>
      <c r="O130" s="14"/>
      <c r="P130" s="14"/>
      <c r="Q130" s="14">
        <f t="shared" si="17"/>
        <v>0</v>
      </c>
      <c r="R130" s="27">
        <v>115</v>
      </c>
      <c r="S130" s="13"/>
      <c r="T130" s="14"/>
      <c r="U130" s="14"/>
      <c r="V130" s="14">
        <f t="shared" si="18"/>
        <v>0</v>
      </c>
      <c r="W130" s="27">
        <v>115</v>
      </c>
      <c r="X130" s="13"/>
      <c r="Y130" s="14"/>
      <c r="Z130" s="14"/>
      <c r="AA130" s="14">
        <f t="shared" si="19"/>
        <v>0</v>
      </c>
      <c r="AB130" s="27">
        <v>115</v>
      </c>
      <c r="AC130" s="13"/>
      <c r="AD130" s="14"/>
      <c r="AE130" s="14"/>
      <c r="AF130" s="14">
        <f t="shared" si="20"/>
        <v>0</v>
      </c>
      <c r="AG130" s="27">
        <v>115</v>
      </c>
      <c r="AH130" s="13"/>
      <c r="AI130" s="14"/>
      <c r="AJ130" s="14"/>
      <c r="AK130" s="14">
        <f t="shared" si="21"/>
        <v>0</v>
      </c>
      <c r="AL130" s="27">
        <v>115</v>
      </c>
      <c r="AM130" s="13"/>
      <c r="AN130" s="14"/>
      <c r="AO130" s="14"/>
      <c r="AP130" s="14">
        <f t="shared" si="22"/>
        <v>0</v>
      </c>
      <c r="AQ130" s="27">
        <v>115</v>
      </c>
      <c r="AR130" s="13"/>
      <c r="AS130" s="14"/>
      <c r="AT130" s="14"/>
      <c r="AU130" s="14">
        <f t="shared" si="23"/>
        <v>0</v>
      </c>
    </row>
    <row r="131" spans="8:47" s="1" customFormat="1" ht="90" customHeight="1">
      <c r="H131" s="27">
        <v>116</v>
      </c>
      <c r="I131" s="13"/>
      <c r="J131" s="14"/>
      <c r="K131" s="14"/>
      <c r="L131" s="14">
        <f t="shared" si="16"/>
        <v>0</v>
      </c>
      <c r="M131" s="27">
        <v>116</v>
      </c>
      <c r="N131" s="13"/>
      <c r="O131" s="14"/>
      <c r="P131" s="14"/>
      <c r="Q131" s="14">
        <f t="shared" si="17"/>
        <v>0</v>
      </c>
      <c r="R131" s="27">
        <v>116</v>
      </c>
      <c r="S131" s="13"/>
      <c r="T131" s="14"/>
      <c r="U131" s="14"/>
      <c r="V131" s="14">
        <f t="shared" si="18"/>
        <v>0</v>
      </c>
      <c r="W131" s="27">
        <v>116</v>
      </c>
      <c r="X131" s="13"/>
      <c r="Y131" s="14"/>
      <c r="Z131" s="14"/>
      <c r="AA131" s="14">
        <f t="shared" si="19"/>
        <v>0</v>
      </c>
      <c r="AB131" s="27">
        <v>116</v>
      </c>
      <c r="AC131" s="13"/>
      <c r="AD131" s="14"/>
      <c r="AE131" s="14"/>
      <c r="AF131" s="14">
        <f t="shared" si="20"/>
        <v>0</v>
      </c>
      <c r="AG131" s="27">
        <v>116</v>
      </c>
      <c r="AH131" s="13"/>
      <c r="AI131" s="14"/>
      <c r="AJ131" s="14"/>
      <c r="AK131" s="14">
        <f t="shared" si="21"/>
        <v>0</v>
      </c>
      <c r="AL131" s="27">
        <v>116</v>
      </c>
      <c r="AM131" s="13"/>
      <c r="AN131" s="14"/>
      <c r="AO131" s="14"/>
      <c r="AP131" s="14">
        <f t="shared" si="22"/>
        <v>0</v>
      </c>
      <c r="AQ131" s="27">
        <v>116</v>
      </c>
      <c r="AR131" s="13"/>
      <c r="AS131" s="14"/>
      <c r="AT131" s="14"/>
      <c r="AU131" s="14">
        <f t="shared" si="23"/>
        <v>0</v>
      </c>
    </row>
    <row r="132" spans="8:47" s="1" customFormat="1" ht="90" customHeight="1">
      <c r="H132" s="27">
        <v>117</v>
      </c>
      <c r="I132" s="13"/>
      <c r="J132" s="14"/>
      <c r="K132" s="14"/>
      <c r="L132" s="14">
        <f t="shared" si="16"/>
        <v>0</v>
      </c>
      <c r="M132" s="27">
        <v>117</v>
      </c>
      <c r="N132" s="13"/>
      <c r="O132" s="14"/>
      <c r="P132" s="14"/>
      <c r="Q132" s="14">
        <f t="shared" si="17"/>
        <v>0</v>
      </c>
      <c r="R132" s="27">
        <v>117</v>
      </c>
      <c r="S132" s="13"/>
      <c r="T132" s="14"/>
      <c r="U132" s="14"/>
      <c r="V132" s="14">
        <f t="shared" si="18"/>
        <v>0</v>
      </c>
      <c r="W132" s="27">
        <v>117</v>
      </c>
      <c r="X132" s="13"/>
      <c r="Y132" s="14"/>
      <c r="Z132" s="14"/>
      <c r="AA132" s="14">
        <f t="shared" si="19"/>
        <v>0</v>
      </c>
      <c r="AB132" s="27">
        <v>117</v>
      </c>
      <c r="AC132" s="13"/>
      <c r="AD132" s="14"/>
      <c r="AE132" s="14"/>
      <c r="AF132" s="14">
        <f t="shared" si="20"/>
        <v>0</v>
      </c>
      <c r="AG132" s="27">
        <v>117</v>
      </c>
      <c r="AH132" s="13"/>
      <c r="AI132" s="14"/>
      <c r="AJ132" s="14"/>
      <c r="AK132" s="14">
        <f t="shared" si="21"/>
        <v>0</v>
      </c>
      <c r="AL132" s="27">
        <v>117</v>
      </c>
      <c r="AM132" s="13"/>
      <c r="AN132" s="14"/>
      <c r="AO132" s="14"/>
      <c r="AP132" s="14">
        <f t="shared" si="22"/>
        <v>0</v>
      </c>
      <c r="AQ132" s="27">
        <v>117</v>
      </c>
      <c r="AR132" s="13"/>
      <c r="AS132" s="14"/>
      <c r="AT132" s="14"/>
      <c r="AU132" s="14">
        <f t="shared" si="23"/>
        <v>0</v>
      </c>
    </row>
    <row r="133" spans="8:47" s="1" customFormat="1" ht="90" customHeight="1">
      <c r="H133" s="27">
        <v>118</v>
      </c>
      <c r="I133" s="13"/>
      <c r="J133" s="14"/>
      <c r="K133" s="14"/>
      <c r="L133" s="14">
        <f t="shared" si="16"/>
        <v>0</v>
      </c>
      <c r="M133" s="27">
        <v>118</v>
      </c>
      <c r="N133" s="13"/>
      <c r="O133" s="14"/>
      <c r="P133" s="14"/>
      <c r="Q133" s="14">
        <f t="shared" si="17"/>
        <v>0</v>
      </c>
      <c r="R133" s="27">
        <v>118</v>
      </c>
      <c r="S133" s="13"/>
      <c r="T133" s="14"/>
      <c r="U133" s="14"/>
      <c r="V133" s="14">
        <f t="shared" si="18"/>
        <v>0</v>
      </c>
      <c r="W133" s="27">
        <v>118</v>
      </c>
      <c r="X133" s="13"/>
      <c r="Y133" s="14"/>
      <c r="Z133" s="14"/>
      <c r="AA133" s="14">
        <f t="shared" si="19"/>
        <v>0</v>
      </c>
      <c r="AB133" s="27">
        <v>118</v>
      </c>
      <c r="AC133" s="13"/>
      <c r="AD133" s="14"/>
      <c r="AE133" s="14"/>
      <c r="AF133" s="14">
        <f t="shared" si="20"/>
        <v>0</v>
      </c>
      <c r="AG133" s="27">
        <v>118</v>
      </c>
      <c r="AH133" s="13"/>
      <c r="AI133" s="14"/>
      <c r="AJ133" s="14"/>
      <c r="AK133" s="14">
        <f t="shared" si="21"/>
        <v>0</v>
      </c>
      <c r="AL133" s="27">
        <v>118</v>
      </c>
      <c r="AM133" s="13"/>
      <c r="AN133" s="14"/>
      <c r="AO133" s="14"/>
      <c r="AP133" s="14">
        <f t="shared" si="22"/>
        <v>0</v>
      </c>
      <c r="AQ133" s="27">
        <v>118</v>
      </c>
      <c r="AR133" s="13"/>
      <c r="AS133" s="14"/>
      <c r="AT133" s="14"/>
      <c r="AU133" s="14">
        <f t="shared" si="23"/>
        <v>0</v>
      </c>
    </row>
    <row r="134" spans="8:47" s="1" customFormat="1" ht="90" customHeight="1">
      <c r="H134" s="27">
        <v>119</v>
      </c>
      <c r="I134" s="13"/>
      <c r="J134" s="14"/>
      <c r="K134" s="14"/>
      <c r="L134" s="14">
        <f t="shared" si="16"/>
        <v>0</v>
      </c>
      <c r="M134" s="27">
        <v>119</v>
      </c>
      <c r="N134" s="13"/>
      <c r="O134" s="14"/>
      <c r="P134" s="14"/>
      <c r="Q134" s="14">
        <f t="shared" si="17"/>
        <v>0</v>
      </c>
      <c r="R134" s="27">
        <v>119</v>
      </c>
      <c r="S134" s="13"/>
      <c r="T134" s="14"/>
      <c r="U134" s="14"/>
      <c r="V134" s="14">
        <f t="shared" si="18"/>
        <v>0</v>
      </c>
      <c r="W134" s="27">
        <v>119</v>
      </c>
      <c r="X134" s="13"/>
      <c r="Y134" s="14"/>
      <c r="Z134" s="14"/>
      <c r="AA134" s="14">
        <f t="shared" si="19"/>
        <v>0</v>
      </c>
      <c r="AB134" s="27">
        <v>119</v>
      </c>
      <c r="AC134" s="13"/>
      <c r="AD134" s="14"/>
      <c r="AE134" s="14"/>
      <c r="AF134" s="14">
        <f t="shared" si="20"/>
        <v>0</v>
      </c>
      <c r="AG134" s="27">
        <v>119</v>
      </c>
      <c r="AH134" s="13"/>
      <c r="AI134" s="14"/>
      <c r="AJ134" s="14"/>
      <c r="AK134" s="14">
        <f t="shared" si="21"/>
        <v>0</v>
      </c>
      <c r="AL134" s="27">
        <v>119</v>
      </c>
      <c r="AM134" s="13"/>
      <c r="AN134" s="14"/>
      <c r="AO134" s="14"/>
      <c r="AP134" s="14">
        <f t="shared" si="22"/>
        <v>0</v>
      </c>
      <c r="AQ134" s="27">
        <v>119</v>
      </c>
      <c r="AR134" s="13"/>
      <c r="AS134" s="14"/>
      <c r="AT134" s="14"/>
      <c r="AU134" s="14">
        <f t="shared" si="23"/>
        <v>0</v>
      </c>
    </row>
    <row r="135" spans="8:47" s="1" customFormat="1" ht="90" customHeight="1">
      <c r="H135" s="27">
        <v>120</v>
      </c>
      <c r="I135" s="13"/>
      <c r="J135" s="14"/>
      <c r="K135" s="14"/>
      <c r="L135" s="14">
        <f t="shared" si="16"/>
        <v>0</v>
      </c>
      <c r="M135" s="27">
        <v>120</v>
      </c>
      <c r="N135" s="13"/>
      <c r="O135" s="14"/>
      <c r="P135" s="14"/>
      <c r="Q135" s="14">
        <f t="shared" si="17"/>
        <v>0</v>
      </c>
      <c r="R135" s="27">
        <v>120</v>
      </c>
      <c r="S135" s="13"/>
      <c r="T135" s="14"/>
      <c r="U135" s="14"/>
      <c r="V135" s="14">
        <f t="shared" si="18"/>
        <v>0</v>
      </c>
      <c r="W135" s="27">
        <v>120</v>
      </c>
      <c r="X135" s="13"/>
      <c r="Y135" s="14"/>
      <c r="Z135" s="14"/>
      <c r="AA135" s="14">
        <f t="shared" si="19"/>
        <v>0</v>
      </c>
      <c r="AB135" s="27">
        <v>120</v>
      </c>
      <c r="AC135" s="13"/>
      <c r="AD135" s="14"/>
      <c r="AE135" s="14"/>
      <c r="AF135" s="14">
        <f t="shared" si="20"/>
        <v>0</v>
      </c>
      <c r="AG135" s="27">
        <v>120</v>
      </c>
      <c r="AH135" s="13"/>
      <c r="AI135" s="14"/>
      <c r="AJ135" s="14"/>
      <c r="AK135" s="14">
        <f t="shared" si="21"/>
        <v>0</v>
      </c>
      <c r="AL135" s="27">
        <v>120</v>
      </c>
      <c r="AM135" s="13"/>
      <c r="AN135" s="14"/>
      <c r="AO135" s="14"/>
      <c r="AP135" s="14">
        <f t="shared" si="22"/>
        <v>0</v>
      </c>
      <c r="AQ135" s="27">
        <v>120</v>
      </c>
      <c r="AR135" s="13"/>
      <c r="AS135" s="14"/>
      <c r="AT135" s="14"/>
      <c r="AU135" s="14">
        <f t="shared" si="23"/>
        <v>0</v>
      </c>
    </row>
    <row r="136" spans="8:47" s="1" customFormat="1" ht="90" customHeight="1">
      <c r="H136" s="27">
        <v>121</v>
      </c>
      <c r="I136" s="13"/>
      <c r="J136" s="14"/>
      <c r="K136" s="14"/>
      <c r="L136" s="14">
        <f t="shared" si="16"/>
        <v>0</v>
      </c>
      <c r="M136" s="27">
        <v>121</v>
      </c>
      <c r="N136" s="13"/>
      <c r="O136" s="14"/>
      <c r="P136" s="14"/>
      <c r="Q136" s="14">
        <f t="shared" si="17"/>
        <v>0</v>
      </c>
      <c r="R136" s="27">
        <v>121</v>
      </c>
      <c r="S136" s="13"/>
      <c r="T136" s="14"/>
      <c r="U136" s="14"/>
      <c r="V136" s="14">
        <f t="shared" si="18"/>
        <v>0</v>
      </c>
      <c r="W136" s="27">
        <v>121</v>
      </c>
      <c r="X136" s="13"/>
      <c r="Y136" s="14"/>
      <c r="Z136" s="14"/>
      <c r="AA136" s="14">
        <f t="shared" si="19"/>
        <v>0</v>
      </c>
      <c r="AB136" s="27">
        <v>121</v>
      </c>
      <c r="AC136" s="13"/>
      <c r="AD136" s="14"/>
      <c r="AE136" s="14"/>
      <c r="AF136" s="14">
        <f t="shared" si="20"/>
        <v>0</v>
      </c>
      <c r="AG136" s="27">
        <v>121</v>
      </c>
      <c r="AH136" s="13"/>
      <c r="AI136" s="14"/>
      <c r="AJ136" s="14"/>
      <c r="AK136" s="14">
        <f t="shared" si="21"/>
        <v>0</v>
      </c>
      <c r="AL136" s="27">
        <v>121</v>
      </c>
      <c r="AM136" s="13"/>
      <c r="AN136" s="14"/>
      <c r="AO136" s="14"/>
      <c r="AP136" s="14">
        <f t="shared" si="22"/>
        <v>0</v>
      </c>
      <c r="AQ136" s="27">
        <v>121</v>
      </c>
      <c r="AR136" s="13"/>
      <c r="AS136" s="14"/>
      <c r="AT136" s="14"/>
      <c r="AU136" s="14">
        <f t="shared" si="23"/>
        <v>0</v>
      </c>
    </row>
    <row r="137" spans="8:47" s="1" customFormat="1" ht="90" customHeight="1">
      <c r="H137" s="27">
        <v>122</v>
      </c>
      <c r="I137" s="13"/>
      <c r="J137" s="14"/>
      <c r="K137" s="14"/>
      <c r="L137" s="14">
        <f t="shared" si="16"/>
        <v>0</v>
      </c>
      <c r="M137" s="27">
        <v>122</v>
      </c>
      <c r="N137" s="13"/>
      <c r="O137" s="14"/>
      <c r="P137" s="14"/>
      <c r="Q137" s="14">
        <f t="shared" si="17"/>
        <v>0</v>
      </c>
      <c r="R137" s="27">
        <v>122</v>
      </c>
      <c r="S137" s="13"/>
      <c r="T137" s="14"/>
      <c r="U137" s="14"/>
      <c r="V137" s="14">
        <f t="shared" si="18"/>
        <v>0</v>
      </c>
      <c r="W137" s="27">
        <v>122</v>
      </c>
      <c r="X137" s="13"/>
      <c r="Y137" s="14"/>
      <c r="Z137" s="14"/>
      <c r="AA137" s="14">
        <f t="shared" si="19"/>
        <v>0</v>
      </c>
      <c r="AB137" s="27">
        <v>122</v>
      </c>
      <c r="AC137" s="13"/>
      <c r="AD137" s="14"/>
      <c r="AE137" s="14"/>
      <c r="AF137" s="14">
        <f t="shared" si="20"/>
        <v>0</v>
      </c>
      <c r="AG137" s="27">
        <v>122</v>
      </c>
      <c r="AH137" s="13"/>
      <c r="AI137" s="14"/>
      <c r="AJ137" s="14"/>
      <c r="AK137" s="14">
        <f t="shared" si="21"/>
        <v>0</v>
      </c>
      <c r="AL137" s="27">
        <v>122</v>
      </c>
      <c r="AM137" s="13"/>
      <c r="AN137" s="14"/>
      <c r="AO137" s="14"/>
      <c r="AP137" s="14">
        <f t="shared" si="22"/>
        <v>0</v>
      </c>
      <c r="AQ137" s="27">
        <v>122</v>
      </c>
      <c r="AR137" s="13"/>
      <c r="AS137" s="14"/>
      <c r="AT137" s="14"/>
      <c r="AU137" s="14">
        <f t="shared" si="23"/>
        <v>0</v>
      </c>
    </row>
    <row r="138" spans="8:47" s="1" customFormat="1" ht="90" customHeight="1">
      <c r="H138" s="27">
        <v>123</v>
      </c>
      <c r="I138" s="13"/>
      <c r="J138" s="14"/>
      <c r="K138" s="14"/>
      <c r="L138" s="14">
        <f t="shared" si="16"/>
        <v>0</v>
      </c>
      <c r="M138" s="27">
        <v>123</v>
      </c>
      <c r="N138" s="13"/>
      <c r="O138" s="14"/>
      <c r="P138" s="14"/>
      <c r="Q138" s="14">
        <f t="shared" si="17"/>
        <v>0</v>
      </c>
      <c r="R138" s="27">
        <v>123</v>
      </c>
      <c r="S138" s="13"/>
      <c r="T138" s="14"/>
      <c r="U138" s="14"/>
      <c r="V138" s="14">
        <f t="shared" si="18"/>
        <v>0</v>
      </c>
      <c r="W138" s="27">
        <v>123</v>
      </c>
      <c r="X138" s="13"/>
      <c r="Y138" s="14"/>
      <c r="Z138" s="14"/>
      <c r="AA138" s="14">
        <f t="shared" si="19"/>
        <v>0</v>
      </c>
      <c r="AB138" s="27">
        <v>123</v>
      </c>
      <c r="AC138" s="13"/>
      <c r="AD138" s="14"/>
      <c r="AE138" s="14"/>
      <c r="AF138" s="14">
        <f t="shared" si="20"/>
        <v>0</v>
      </c>
      <c r="AG138" s="27">
        <v>123</v>
      </c>
      <c r="AH138" s="13"/>
      <c r="AI138" s="14"/>
      <c r="AJ138" s="14"/>
      <c r="AK138" s="14">
        <f t="shared" si="21"/>
        <v>0</v>
      </c>
      <c r="AL138" s="27">
        <v>123</v>
      </c>
      <c r="AM138" s="13"/>
      <c r="AN138" s="14"/>
      <c r="AO138" s="14"/>
      <c r="AP138" s="14">
        <f t="shared" si="22"/>
        <v>0</v>
      </c>
      <c r="AQ138" s="27">
        <v>123</v>
      </c>
      <c r="AR138" s="13"/>
      <c r="AS138" s="14"/>
      <c r="AT138" s="14"/>
      <c r="AU138" s="14">
        <f t="shared" si="23"/>
        <v>0</v>
      </c>
    </row>
    <row r="139" spans="8:47" s="1" customFormat="1" ht="90" customHeight="1">
      <c r="H139" s="27">
        <v>124</v>
      </c>
      <c r="I139" s="13"/>
      <c r="J139" s="14"/>
      <c r="K139" s="14"/>
      <c r="L139" s="14">
        <f t="shared" si="16"/>
        <v>0</v>
      </c>
      <c r="M139" s="27">
        <v>124</v>
      </c>
      <c r="N139" s="13"/>
      <c r="O139" s="14"/>
      <c r="P139" s="14"/>
      <c r="Q139" s="14">
        <f t="shared" si="17"/>
        <v>0</v>
      </c>
      <c r="R139" s="27">
        <v>124</v>
      </c>
      <c r="S139" s="13"/>
      <c r="T139" s="14"/>
      <c r="U139" s="14"/>
      <c r="V139" s="14">
        <f t="shared" si="18"/>
        <v>0</v>
      </c>
      <c r="W139" s="27">
        <v>124</v>
      </c>
      <c r="X139" s="13"/>
      <c r="Y139" s="14"/>
      <c r="Z139" s="14"/>
      <c r="AA139" s="14">
        <f t="shared" si="19"/>
        <v>0</v>
      </c>
      <c r="AB139" s="27">
        <v>124</v>
      </c>
      <c r="AC139" s="13"/>
      <c r="AD139" s="14"/>
      <c r="AE139" s="14"/>
      <c r="AF139" s="14">
        <f t="shared" si="20"/>
        <v>0</v>
      </c>
      <c r="AG139" s="27">
        <v>124</v>
      </c>
      <c r="AH139" s="13"/>
      <c r="AI139" s="14"/>
      <c r="AJ139" s="14"/>
      <c r="AK139" s="14">
        <f t="shared" si="21"/>
        <v>0</v>
      </c>
      <c r="AL139" s="27">
        <v>124</v>
      </c>
      <c r="AM139" s="13"/>
      <c r="AN139" s="14"/>
      <c r="AO139" s="14"/>
      <c r="AP139" s="14">
        <f t="shared" si="22"/>
        <v>0</v>
      </c>
      <c r="AQ139" s="27">
        <v>124</v>
      </c>
      <c r="AR139" s="13"/>
      <c r="AS139" s="14"/>
      <c r="AT139" s="14"/>
      <c r="AU139" s="14">
        <f t="shared" si="23"/>
        <v>0</v>
      </c>
    </row>
    <row r="140" spans="8:47" s="1" customFormat="1" ht="90" customHeight="1">
      <c r="H140" s="27">
        <v>125</v>
      </c>
      <c r="I140" s="13"/>
      <c r="J140" s="14"/>
      <c r="K140" s="14"/>
      <c r="L140" s="14">
        <f t="shared" si="16"/>
        <v>0</v>
      </c>
      <c r="M140" s="27">
        <v>125</v>
      </c>
      <c r="N140" s="13"/>
      <c r="O140" s="14"/>
      <c r="P140" s="14"/>
      <c r="Q140" s="14">
        <f t="shared" si="17"/>
        <v>0</v>
      </c>
      <c r="R140" s="27">
        <v>125</v>
      </c>
      <c r="S140" s="13"/>
      <c r="T140" s="14"/>
      <c r="U140" s="14"/>
      <c r="V140" s="14">
        <f t="shared" si="18"/>
        <v>0</v>
      </c>
      <c r="W140" s="27">
        <v>125</v>
      </c>
      <c r="X140" s="13"/>
      <c r="Y140" s="14"/>
      <c r="Z140" s="14"/>
      <c r="AA140" s="14">
        <f t="shared" si="19"/>
        <v>0</v>
      </c>
      <c r="AB140" s="27">
        <v>125</v>
      </c>
      <c r="AC140" s="13"/>
      <c r="AD140" s="14"/>
      <c r="AE140" s="14"/>
      <c r="AF140" s="14">
        <f t="shared" si="20"/>
        <v>0</v>
      </c>
      <c r="AG140" s="27">
        <v>125</v>
      </c>
      <c r="AH140" s="13"/>
      <c r="AI140" s="14"/>
      <c r="AJ140" s="14"/>
      <c r="AK140" s="14">
        <f t="shared" si="21"/>
        <v>0</v>
      </c>
      <c r="AL140" s="27">
        <v>125</v>
      </c>
      <c r="AM140" s="13"/>
      <c r="AN140" s="14"/>
      <c r="AO140" s="14"/>
      <c r="AP140" s="14">
        <f t="shared" si="22"/>
        <v>0</v>
      </c>
      <c r="AQ140" s="27">
        <v>125</v>
      </c>
      <c r="AR140" s="13"/>
      <c r="AS140" s="14"/>
      <c r="AT140" s="14"/>
      <c r="AU140" s="14">
        <f t="shared" si="23"/>
        <v>0</v>
      </c>
    </row>
    <row r="141" spans="8:47" s="1" customFormat="1" ht="90" customHeight="1">
      <c r="H141" s="27">
        <v>126</v>
      </c>
      <c r="I141" s="13"/>
      <c r="J141" s="14"/>
      <c r="K141" s="14"/>
      <c r="L141" s="14">
        <f t="shared" si="16"/>
        <v>0</v>
      </c>
      <c r="M141" s="27">
        <v>126</v>
      </c>
      <c r="N141" s="13"/>
      <c r="O141" s="14"/>
      <c r="P141" s="14"/>
      <c r="Q141" s="14">
        <f t="shared" si="17"/>
        <v>0</v>
      </c>
      <c r="R141" s="27">
        <v>126</v>
      </c>
      <c r="S141" s="13"/>
      <c r="T141" s="14"/>
      <c r="U141" s="14"/>
      <c r="V141" s="14">
        <f t="shared" si="18"/>
        <v>0</v>
      </c>
      <c r="W141" s="27">
        <v>126</v>
      </c>
      <c r="X141" s="13"/>
      <c r="Y141" s="14"/>
      <c r="Z141" s="14"/>
      <c r="AA141" s="14">
        <f t="shared" si="19"/>
        <v>0</v>
      </c>
      <c r="AB141" s="27">
        <v>126</v>
      </c>
      <c r="AC141" s="13"/>
      <c r="AD141" s="14"/>
      <c r="AE141" s="14"/>
      <c r="AF141" s="14">
        <f t="shared" si="20"/>
        <v>0</v>
      </c>
      <c r="AG141" s="27">
        <v>126</v>
      </c>
      <c r="AH141" s="13"/>
      <c r="AI141" s="14"/>
      <c r="AJ141" s="14"/>
      <c r="AK141" s="14">
        <f t="shared" si="21"/>
        <v>0</v>
      </c>
      <c r="AL141" s="27">
        <v>126</v>
      </c>
      <c r="AM141" s="13"/>
      <c r="AN141" s="14"/>
      <c r="AO141" s="14"/>
      <c r="AP141" s="14">
        <f t="shared" si="22"/>
        <v>0</v>
      </c>
      <c r="AQ141" s="27">
        <v>126</v>
      </c>
      <c r="AR141" s="13"/>
      <c r="AS141" s="14"/>
      <c r="AT141" s="14"/>
      <c r="AU141" s="14">
        <f t="shared" si="23"/>
        <v>0</v>
      </c>
    </row>
    <row r="142" spans="8:47" s="1" customFormat="1" ht="90" customHeight="1">
      <c r="H142" s="27">
        <v>127</v>
      </c>
      <c r="I142" s="13"/>
      <c r="J142" s="14"/>
      <c r="K142" s="14"/>
      <c r="L142" s="14">
        <f t="shared" si="16"/>
        <v>0</v>
      </c>
      <c r="M142" s="27">
        <v>127</v>
      </c>
      <c r="N142" s="13"/>
      <c r="O142" s="14"/>
      <c r="P142" s="14"/>
      <c r="Q142" s="14">
        <f t="shared" si="17"/>
        <v>0</v>
      </c>
      <c r="R142" s="27">
        <v>127</v>
      </c>
      <c r="S142" s="13"/>
      <c r="T142" s="14"/>
      <c r="U142" s="14"/>
      <c r="V142" s="14">
        <f t="shared" si="18"/>
        <v>0</v>
      </c>
      <c r="W142" s="27">
        <v>127</v>
      </c>
      <c r="X142" s="13"/>
      <c r="Y142" s="14"/>
      <c r="Z142" s="14"/>
      <c r="AA142" s="14">
        <f t="shared" si="19"/>
        <v>0</v>
      </c>
      <c r="AB142" s="27">
        <v>127</v>
      </c>
      <c r="AC142" s="13"/>
      <c r="AD142" s="14"/>
      <c r="AE142" s="14"/>
      <c r="AF142" s="14">
        <f t="shared" si="20"/>
        <v>0</v>
      </c>
      <c r="AG142" s="27">
        <v>127</v>
      </c>
      <c r="AH142" s="13"/>
      <c r="AI142" s="14"/>
      <c r="AJ142" s="14"/>
      <c r="AK142" s="14">
        <f t="shared" si="21"/>
        <v>0</v>
      </c>
      <c r="AL142" s="27">
        <v>127</v>
      </c>
      <c r="AM142" s="13"/>
      <c r="AN142" s="14"/>
      <c r="AO142" s="14"/>
      <c r="AP142" s="14">
        <f t="shared" si="22"/>
        <v>0</v>
      </c>
      <c r="AQ142" s="27">
        <v>127</v>
      </c>
      <c r="AR142" s="13"/>
      <c r="AS142" s="14"/>
      <c r="AT142" s="14"/>
      <c r="AU142" s="14">
        <f t="shared" si="23"/>
        <v>0</v>
      </c>
    </row>
    <row r="143" spans="8:47" s="1" customFormat="1" ht="90" customHeight="1">
      <c r="H143" s="27">
        <v>128</v>
      </c>
      <c r="I143" s="13"/>
      <c r="J143" s="14"/>
      <c r="K143" s="14"/>
      <c r="L143" s="14">
        <f t="shared" si="16"/>
        <v>0</v>
      </c>
      <c r="M143" s="27">
        <v>128</v>
      </c>
      <c r="N143" s="13"/>
      <c r="O143" s="14"/>
      <c r="P143" s="14"/>
      <c r="Q143" s="14">
        <f t="shared" si="17"/>
        <v>0</v>
      </c>
      <c r="R143" s="27">
        <v>128</v>
      </c>
      <c r="S143" s="13"/>
      <c r="T143" s="14"/>
      <c r="U143" s="14"/>
      <c r="V143" s="14">
        <f t="shared" si="18"/>
        <v>0</v>
      </c>
      <c r="W143" s="27">
        <v>128</v>
      </c>
      <c r="X143" s="13"/>
      <c r="Y143" s="14"/>
      <c r="Z143" s="14"/>
      <c r="AA143" s="14">
        <f t="shared" si="19"/>
        <v>0</v>
      </c>
      <c r="AB143" s="27">
        <v>128</v>
      </c>
      <c r="AC143" s="13"/>
      <c r="AD143" s="14"/>
      <c r="AE143" s="14"/>
      <c r="AF143" s="14">
        <f t="shared" si="20"/>
        <v>0</v>
      </c>
      <c r="AG143" s="27">
        <v>128</v>
      </c>
      <c r="AH143" s="13"/>
      <c r="AI143" s="14"/>
      <c r="AJ143" s="14"/>
      <c r="AK143" s="14">
        <f t="shared" si="21"/>
        <v>0</v>
      </c>
      <c r="AL143" s="27">
        <v>128</v>
      </c>
      <c r="AM143" s="13"/>
      <c r="AN143" s="14"/>
      <c r="AO143" s="14"/>
      <c r="AP143" s="14">
        <f t="shared" si="22"/>
        <v>0</v>
      </c>
      <c r="AQ143" s="27">
        <v>128</v>
      </c>
      <c r="AR143" s="13"/>
      <c r="AS143" s="14"/>
      <c r="AT143" s="14"/>
      <c r="AU143" s="14">
        <f t="shared" si="23"/>
        <v>0</v>
      </c>
    </row>
    <row r="144" spans="8:47" s="1" customFormat="1" ht="90" customHeight="1">
      <c r="H144" s="27">
        <v>129</v>
      </c>
      <c r="I144" s="13"/>
      <c r="J144" s="14"/>
      <c r="K144" s="14"/>
      <c r="L144" s="14">
        <f t="shared" si="16"/>
        <v>0</v>
      </c>
      <c r="M144" s="27">
        <v>129</v>
      </c>
      <c r="N144" s="13"/>
      <c r="O144" s="14"/>
      <c r="P144" s="14"/>
      <c r="Q144" s="14">
        <f t="shared" si="17"/>
        <v>0</v>
      </c>
      <c r="R144" s="27">
        <v>129</v>
      </c>
      <c r="S144" s="13"/>
      <c r="T144" s="14"/>
      <c r="U144" s="14"/>
      <c r="V144" s="14">
        <f t="shared" si="18"/>
        <v>0</v>
      </c>
      <c r="W144" s="27">
        <v>129</v>
      </c>
      <c r="X144" s="13"/>
      <c r="Y144" s="14"/>
      <c r="Z144" s="14"/>
      <c r="AA144" s="14">
        <f t="shared" si="19"/>
        <v>0</v>
      </c>
      <c r="AB144" s="27">
        <v>129</v>
      </c>
      <c r="AC144" s="13"/>
      <c r="AD144" s="14"/>
      <c r="AE144" s="14"/>
      <c r="AF144" s="14">
        <f t="shared" si="20"/>
        <v>0</v>
      </c>
      <c r="AG144" s="27">
        <v>129</v>
      </c>
      <c r="AH144" s="13"/>
      <c r="AI144" s="14"/>
      <c r="AJ144" s="14"/>
      <c r="AK144" s="14">
        <f t="shared" si="21"/>
        <v>0</v>
      </c>
      <c r="AL144" s="27">
        <v>129</v>
      </c>
      <c r="AM144" s="13"/>
      <c r="AN144" s="14"/>
      <c r="AO144" s="14"/>
      <c r="AP144" s="14">
        <f t="shared" si="22"/>
        <v>0</v>
      </c>
      <c r="AQ144" s="27">
        <v>129</v>
      </c>
      <c r="AR144" s="13"/>
      <c r="AS144" s="14"/>
      <c r="AT144" s="14"/>
      <c r="AU144" s="14">
        <f t="shared" si="23"/>
        <v>0</v>
      </c>
    </row>
    <row r="145" spans="8:47" s="1" customFormat="1" ht="90" customHeight="1">
      <c r="H145" s="27">
        <v>130</v>
      </c>
      <c r="I145" s="13"/>
      <c r="J145" s="14"/>
      <c r="K145" s="14"/>
      <c r="L145" s="14">
        <f t="shared" si="16"/>
        <v>0</v>
      </c>
      <c r="M145" s="27">
        <v>130</v>
      </c>
      <c r="N145" s="13"/>
      <c r="O145" s="14"/>
      <c r="P145" s="14"/>
      <c r="Q145" s="14">
        <f t="shared" si="17"/>
        <v>0</v>
      </c>
      <c r="R145" s="27">
        <v>130</v>
      </c>
      <c r="S145" s="13"/>
      <c r="T145" s="14"/>
      <c r="U145" s="14"/>
      <c r="V145" s="14">
        <f t="shared" si="18"/>
        <v>0</v>
      </c>
      <c r="W145" s="27">
        <v>130</v>
      </c>
      <c r="X145" s="13"/>
      <c r="Y145" s="14"/>
      <c r="Z145" s="14"/>
      <c r="AA145" s="14">
        <f t="shared" si="19"/>
        <v>0</v>
      </c>
      <c r="AB145" s="27">
        <v>130</v>
      </c>
      <c r="AC145" s="13"/>
      <c r="AD145" s="14"/>
      <c r="AE145" s="14"/>
      <c r="AF145" s="14">
        <f t="shared" si="20"/>
        <v>0</v>
      </c>
      <c r="AG145" s="27">
        <v>130</v>
      </c>
      <c r="AH145" s="13"/>
      <c r="AI145" s="14"/>
      <c r="AJ145" s="14"/>
      <c r="AK145" s="14">
        <f t="shared" si="21"/>
        <v>0</v>
      </c>
      <c r="AL145" s="27">
        <v>130</v>
      </c>
      <c r="AM145" s="13"/>
      <c r="AN145" s="14"/>
      <c r="AO145" s="14"/>
      <c r="AP145" s="14">
        <f t="shared" si="22"/>
        <v>0</v>
      </c>
      <c r="AQ145" s="27">
        <v>130</v>
      </c>
      <c r="AR145" s="13"/>
      <c r="AS145" s="14"/>
      <c r="AT145" s="14"/>
      <c r="AU145" s="14">
        <f t="shared" si="23"/>
        <v>0</v>
      </c>
    </row>
    <row r="146" spans="8:47" s="1" customFormat="1" ht="90" customHeight="1">
      <c r="H146" s="27">
        <v>131</v>
      </c>
      <c r="I146" s="13"/>
      <c r="J146" s="14"/>
      <c r="K146" s="14"/>
      <c r="L146" s="14">
        <f t="shared" si="16"/>
        <v>0</v>
      </c>
      <c r="M146" s="27">
        <v>131</v>
      </c>
      <c r="N146" s="13"/>
      <c r="O146" s="14"/>
      <c r="P146" s="14"/>
      <c r="Q146" s="14">
        <f t="shared" si="17"/>
        <v>0</v>
      </c>
      <c r="R146" s="27">
        <v>131</v>
      </c>
      <c r="S146" s="13"/>
      <c r="T146" s="14"/>
      <c r="U146" s="14"/>
      <c r="V146" s="14">
        <f t="shared" si="18"/>
        <v>0</v>
      </c>
      <c r="W146" s="27">
        <v>131</v>
      </c>
      <c r="X146" s="13"/>
      <c r="Y146" s="14"/>
      <c r="Z146" s="14"/>
      <c r="AA146" s="14">
        <f t="shared" si="19"/>
        <v>0</v>
      </c>
      <c r="AB146" s="27">
        <v>131</v>
      </c>
      <c r="AC146" s="13"/>
      <c r="AD146" s="14"/>
      <c r="AE146" s="14"/>
      <c r="AF146" s="14">
        <f t="shared" si="20"/>
        <v>0</v>
      </c>
      <c r="AG146" s="27">
        <v>131</v>
      </c>
      <c r="AH146" s="13"/>
      <c r="AI146" s="14"/>
      <c r="AJ146" s="14"/>
      <c r="AK146" s="14">
        <f t="shared" si="21"/>
        <v>0</v>
      </c>
      <c r="AL146" s="27">
        <v>131</v>
      </c>
      <c r="AM146" s="13"/>
      <c r="AN146" s="14"/>
      <c r="AO146" s="14"/>
      <c r="AP146" s="14">
        <f t="shared" si="22"/>
        <v>0</v>
      </c>
      <c r="AQ146" s="27">
        <v>131</v>
      </c>
      <c r="AR146" s="13"/>
      <c r="AS146" s="14"/>
      <c r="AT146" s="14"/>
      <c r="AU146" s="14">
        <f t="shared" si="23"/>
        <v>0</v>
      </c>
    </row>
    <row r="147" spans="8:47" s="1" customFormat="1" ht="90" customHeight="1">
      <c r="H147" s="27">
        <v>132</v>
      </c>
      <c r="I147" s="13"/>
      <c r="J147" s="14"/>
      <c r="K147" s="14"/>
      <c r="L147" s="14">
        <f t="shared" si="16"/>
        <v>0</v>
      </c>
      <c r="M147" s="27">
        <v>132</v>
      </c>
      <c r="N147" s="13"/>
      <c r="O147" s="14"/>
      <c r="P147" s="14"/>
      <c r="Q147" s="14">
        <f t="shared" si="17"/>
        <v>0</v>
      </c>
      <c r="R147" s="27">
        <v>132</v>
      </c>
      <c r="S147" s="13"/>
      <c r="T147" s="14"/>
      <c r="U147" s="14"/>
      <c r="V147" s="14">
        <f t="shared" si="18"/>
        <v>0</v>
      </c>
      <c r="W147" s="27">
        <v>132</v>
      </c>
      <c r="X147" s="13"/>
      <c r="Y147" s="14"/>
      <c r="Z147" s="14"/>
      <c r="AA147" s="14">
        <f t="shared" si="19"/>
        <v>0</v>
      </c>
      <c r="AB147" s="27">
        <v>132</v>
      </c>
      <c r="AC147" s="13"/>
      <c r="AD147" s="14"/>
      <c r="AE147" s="14"/>
      <c r="AF147" s="14">
        <f t="shared" si="20"/>
        <v>0</v>
      </c>
      <c r="AG147" s="27">
        <v>132</v>
      </c>
      <c r="AH147" s="13"/>
      <c r="AI147" s="14"/>
      <c r="AJ147" s="14"/>
      <c r="AK147" s="14">
        <f t="shared" si="21"/>
        <v>0</v>
      </c>
      <c r="AL147" s="27">
        <v>132</v>
      </c>
      <c r="AM147" s="13"/>
      <c r="AN147" s="14"/>
      <c r="AO147" s="14"/>
      <c r="AP147" s="14">
        <f t="shared" si="22"/>
        <v>0</v>
      </c>
      <c r="AQ147" s="27">
        <v>132</v>
      </c>
      <c r="AR147" s="13"/>
      <c r="AS147" s="14"/>
      <c r="AT147" s="14"/>
      <c r="AU147" s="14">
        <f t="shared" si="23"/>
        <v>0</v>
      </c>
    </row>
    <row r="148" spans="8:47" s="1" customFormat="1" ht="90" customHeight="1">
      <c r="H148" s="27">
        <v>133</v>
      </c>
      <c r="I148" s="13"/>
      <c r="J148" s="14"/>
      <c r="K148" s="14"/>
      <c r="L148" s="14">
        <f t="shared" si="16"/>
        <v>0</v>
      </c>
      <c r="M148" s="27">
        <v>133</v>
      </c>
      <c r="N148" s="13"/>
      <c r="O148" s="14"/>
      <c r="P148" s="14"/>
      <c r="Q148" s="14">
        <f t="shared" si="17"/>
        <v>0</v>
      </c>
      <c r="R148" s="27">
        <v>133</v>
      </c>
      <c r="S148" s="13"/>
      <c r="T148" s="14"/>
      <c r="U148" s="14"/>
      <c r="V148" s="14">
        <f t="shared" si="18"/>
        <v>0</v>
      </c>
      <c r="W148" s="27">
        <v>133</v>
      </c>
      <c r="X148" s="13"/>
      <c r="Y148" s="14"/>
      <c r="Z148" s="14"/>
      <c r="AA148" s="14">
        <f t="shared" si="19"/>
        <v>0</v>
      </c>
      <c r="AB148" s="27">
        <v>133</v>
      </c>
      <c r="AC148" s="13"/>
      <c r="AD148" s="14"/>
      <c r="AE148" s="14"/>
      <c r="AF148" s="14">
        <f t="shared" si="20"/>
        <v>0</v>
      </c>
      <c r="AG148" s="27">
        <v>133</v>
      </c>
      <c r="AH148" s="13"/>
      <c r="AI148" s="14"/>
      <c r="AJ148" s="14"/>
      <c r="AK148" s="14">
        <f t="shared" si="21"/>
        <v>0</v>
      </c>
      <c r="AL148" s="27">
        <v>133</v>
      </c>
      <c r="AM148" s="13"/>
      <c r="AN148" s="14"/>
      <c r="AO148" s="14"/>
      <c r="AP148" s="14">
        <f t="shared" si="22"/>
        <v>0</v>
      </c>
      <c r="AQ148" s="27">
        <v>133</v>
      </c>
      <c r="AR148" s="13"/>
      <c r="AS148" s="14"/>
      <c r="AT148" s="14"/>
      <c r="AU148" s="14">
        <f t="shared" si="23"/>
        <v>0</v>
      </c>
    </row>
    <row r="149" spans="8:47" s="1" customFormat="1" ht="90" customHeight="1">
      <c r="H149" s="27">
        <v>134</v>
      </c>
      <c r="I149" s="13"/>
      <c r="J149" s="14"/>
      <c r="K149" s="14"/>
      <c r="L149" s="14">
        <f t="shared" si="16"/>
        <v>0</v>
      </c>
      <c r="M149" s="27">
        <v>134</v>
      </c>
      <c r="N149" s="13"/>
      <c r="O149" s="14"/>
      <c r="P149" s="14"/>
      <c r="Q149" s="14">
        <f t="shared" si="17"/>
        <v>0</v>
      </c>
      <c r="R149" s="27">
        <v>134</v>
      </c>
      <c r="S149" s="13"/>
      <c r="T149" s="14"/>
      <c r="U149" s="14"/>
      <c r="V149" s="14">
        <f t="shared" si="18"/>
        <v>0</v>
      </c>
      <c r="W149" s="27">
        <v>134</v>
      </c>
      <c r="X149" s="13"/>
      <c r="Y149" s="14"/>
      <c r="Z149" s="14"/>
      <c r="AA149" s="14">
        <f t="shared" si="19"/>
        <v>0</v>
      </c>
      <c r="AB149" s="27">
        <v>134</v>
      </c>
      <c r="AC149" s="13"/>
      <c r="AD149" s="14"/>
      <c r="AE149" s="14"/>
      <c r="AF149" s="14">
        <f t="shared" si="20"/>
        <v>0</v>
      </c>
      <c r="AG149" s="27">
        <v>134</v>
      </c>
      <c r="AH149" s="13"/>
      <c r="AI149" s="14"/>
      <c r="AJ149" s="14"/>
      <c r="AK149" s="14">
        <f t="shared" si="21"/>
        <v>0</v>
      </c>
      <c r="AL149" s="27">
        <v>134</v>
      </c>
      <c r="AM149" s="13"/>
      <c r="AN149" s="14"/>
      <c r="AO149" s="14"/>
      <c r="AP149" s="14">
        <f t="shared" si="22"/>
        <v>0</v>
      </c>
      <c r="AQ149" s="27">
        <v>134</v>
      </c>
      <c r="AR149" s="13"/>
      <c r="AS149" s="14"/>
      <c r="AT149" s="14"/>
      <c r="AU149" s="14">
        <f t="shared" si="23"/>
        <v>0</v>
      </c>
    </row>
    <row r="150" spans="8:47" s="1" customFormat="1" ht="90" customHeight="1">
      <c r="H150" s="27">
        <v>135</v>
      </c>
      <c r="I150" s="13"/>
      <c r="J150" s="14"/>
      <c r="K150" s="14"/>
      <c r="L150" s="14">
        <f t="shared" si="16"/>
        <v>0</v>
      </c>
      <c r="M150" s="27">
        <v>135</v>
      </c>
      <c r="N150" s="13"/>
      <c r="O150" s="14"/>
      <c r="P150" s="14"/>
      <c r="Q150" s="14">
        <f t="shared" si="17"/>
        <v>0</v>
      </c>
      <c r="R150" s="27">
        <v>135</v>
      </c>
      <c r="S150" s="13"/>
      <c r="T150" s="14"/>
      <c r="U150" s="14"/>
      <c r="V150" s="14">
        <f t="shared" si="18"/>
        <v>0</v>
      </c>
      <c r="W150" s="27">
        <v>135</v>
      </c>
      <c r="X150" s="13"/>
      <c r="Y150" s="14"/>
      <c r="Z150" s="14"/>
      <c r="AA150" s="14">
        <f t="shared" si="19"/>
        <v>0</v>
      </c>
      <c r="AB150" s="27">
        <v>135</v>
      </c>
      <c r="AC150" s="13"/>
      <c r="AD150" s="14"/>
      <c r="AE150" s="14"/>
      <c r="AF150" s="14">
        <f t="shared" si="20"/>
        <v>0</v>
      </c>
      <c r="AG150" s="27">
        <v>135</v>
      </c>
      <c r="AH150" s="13"/>
      <c r="AI150" s="14"/>
      <c r="AJ150" s="14"/>
      <c r="AK150" s="14">
        <f t="shared" si="21"/>
        <v>0</v>
      </c>
      <c r="AL150" s="27">
        <v>135</v>
      </c>
      <c r="AM150" s="13"/>
      <c r="AN150" s="14"/>
      <c r="AO150" s="14"/>
      <c r="AP150" s="14">
        <f t="shared" si="22"/>
        <v>0</v>
      </c>
      <c r="AQ150" s="27">
        <v>135</v>
      </c>
      <c r="AR150" s="13"/>
      <c r="AS150" s="14"/>
      <c r="AT150" s="14"/>
      <c r="AU150" s="14">
        <f t="shared" si="23"/>
        <v>0</v>
      </c>
    </row>
    <row r="151" spans="8:47" s="1" customFormat="1" ht="90" customHeight="1">
      <c r="H151" s="27">
        <v>136</v>
      </c>
      <c r="I151" s="13"/>
      <c r="J151" s="14"/>
      <c r="K151" s="14"/>
      <c r="L151" s="14">
        <f t="shared" si="16"/>
        <v>0</v>
      </c>
      <c r="M151" s="27">
        <v>136</v>
      </c>
      <c r="N151" s="13"/>
      <c r="O151" s="14"/>
      <c r="P151" s="14"/>
      <c r="Q151" s="14">
        <f t="shared" si="17"/>
        <v>0</v>
      </c>
      <c r="R151" s="27">
        <v>136</v>
      </c>
      <c r="S151" s="13"/>
      <c r="T151" s="14"/>
      <c r="U151" s="14"/>
      <c r="V151" s="14">
        <f t="shared" si="18"/>
        <v>0</v>
      </c>
      <c r="W151" s="27">
        <v>136</v>
      </c>
      <c r="X151" s="13"/>
      <c r="Y151" s="14"/>
      <c r="Z151" s="14"/>
      <c r="AA151" s="14">
        <f t="shared" si="19"/>
        <v>0</v>
      </c>
      <c r="AB151" s="27">
        <v>136</v>
      </c>
      <c r="AC151" s="13"/>
      <c r="AD151" s="14"/>
      <c r="AE151" s="14"/>
      <c r="AF151" s="14">
        <f t="shared" si="20"/>
        <v>0</v>
      </c>
      <c r="AG151" s="27">
        <v>136</v>
      </c>
      <c r="AH151" s="13"/>
      <c r="AI151" s="14"/>
      <c r="AJ151" s="14"/>
      <c r="AK151" s="14">
        <f t="shared" si="21"/>
        <v>0</v>
      </c>
      <c r="AL151" s="27">
        <v>136</v>
      </c>
      <c r="AM151" s="13"/>
      <c r="AN151" s="14"/>
      <c r="AO151" s="14"/>
      <c r="AP151" s="14">
        <f t="shared" si="22"/>
        <v>0</v>
      </c>
      <c r="AQ151" s="27">
        <v>136</v>
      </c>
      <c r="AR151" s="13"/>
      <c r="AS151" s="14"/>
      <c r="AT151" s="14"/>
      <c r="AU151" s="14">
        <f t="shared" si="23"/>
        <v>0</v>
      </c>
    </row>
    <row r="152" spans="8:47" s="1" customFormat="1" ht="90" customHeight="1">
      <c r="H152" s="27">
        <v>137</v>
      </c>
      <c r="I152" s="13"/>
      <c r="J152" s="14"/>
      <c r="K152" s="14"/>
      <c r="L152" s="14">
        <f t="shared" si="16"/>
        <v>0</v>
      </c>
      <c r="M152" s="27">
        <v>137</v>
      </c>
      <c r="N152" s="13"/>
      <c r="O152" s="14"/>
      <c r="P152" s="14"/>
      <c r="Q152" s="14">
        <f t="shared" si="17"/>
        <v>0</v>
      </c>
      <c r="R152" s="27">
        <v>137</v>
      </c>
      <c r="S152" s="13"/>
      <c r="T152" s="14"/>
      <c r="U152" s="14"/>
      <c r="V152" s="14">
        <f t="shared" si="18"/>
        <v>0</v>
      </c>
      <c r="W152" s="27">
        <v>137</v>
      </c>
      <c r="X152" s="13"/>
      <c r="Y152" s="14"/>
      <c r="Z152" s="14"/>
      <c r="AA152" s="14">
        <f t="shared" si="19"/>
        <v>0</v>
      </c>
      <c r="AB152" s="27">
        <v>137</v>
      </c>
      <c r="AC152" s="13"/>
      <c r="AD152" s="14"/>
      <c r="AE152" s="14"/>
      <c r="AF152" s="14">
        <f t="shared" si="20"/>
        <v>0</v>
      </c>
      <c r="AG152" s="27">
        <v>137</v>
      </c>
      <c r="AH152" s="13"/>
      <c r="AI152" s="14"/>
      <c r="AJ152" s="14"/>
      <c r="AK152" s="14">
        <f t="shared" si="21"/>
        <v>0</v>
      </c>
      <c r="AL152" s="27">
        <v>137</v>
      </c>
      <c r="AM152" s="13"/>
      <c r="AN152" s="14"/>
      <c r="AO152" s="14"/>
      <c r="AP152" s="14">
        <f t="shared" si="22"/>
        <v>0</v>
      </c>
      <c r="AQ152" s="27">
        <v>137</v>
      </c>
      <c r="AR152" s="13"/>
      <c r="AS152" s="14"/>
      <c r="AT152" s="14"/>
      <c r="AU152" s="14">
        <f t="shared" si="23"/>
        <v>0</v>
      </c>
    </row>
    <row r="153" spans="8:47" s="1" customFormat="1" ht="90" customHeight="1">
      <c r="H153" s="27">
        <v>138</v>
      </c>
      <c r="I153" s="13"/>
      <c r="J153" s="14"/>
      <c r="K153" s="14"/>
      <c r="L153" s="14">
        <f t="shared" si="16"/>
        <v>0</v>
      </c>
      <c r="M153" s="27">
        <v>138</v>
      </c>
      <c r="N153" s="13"/>
      <c r="O153" s="14"/>
      <c r="P153" s="14"/>
      <c r="Q153" s="14">
        <f t="shared" si="17"/>
        <v>0</v>
      </c>
      <c r="R153" s="27">
        <v>138</v>
      </c>
      <c r="S153" s="13"/>
      <c r="T153" s="14"/>
      <c r="U153" s="14"/>
      <c r="V153" s="14">
        <f t="shared" si="18"/>
        <v>0</v>
      </c>
      <c r="W153" s="27">
        <v>138</v>
      </c>
      <c r="X153" s="13"/>
      <c r="Y153" s="14"/>
      <c r="Z153" s="14"/>
      <c r="AA153" s="14">
        <f t="shared" si="19"/>
        <v>0</v>
      </c>
      <c r="AB153" s="27">
        <v>138</v>
      </c>
      <c r="AC153" s="13"/>
      <c r="AD153" s="14"/>
      <c r="AE153" s="14"/>
      <c r="AF153" s="14">
        <f t="shared" si="20"/>
        <v>0</v>
      </c>
      <c r="AG153" s="27">
        <v>138</v>
      </c>
      <c r="AH153" s="13"/>
      <c r="AI153" s="14"/>
      <c r="AJ153" s="14"/>
      <c r="AK153" s="14">
        <f t="shared" si="21"/>
        <v>0</v>
      </c>
      <c r="AL153" s="27">
        <v>138</v>
      </c>
      <c r="AM153" s="13"/>
      <c r="AN153" s="14"/>
      <c r="AO153" s="14"/>
      <c r="AP153" s="14">
        <f t="shared" si="22"/>
        <v>0</v>
      </c>
      <c r="AQ153" s="27">
        <v>138</v>
      </c>
      <c r="AR153" s="13"/>
      <c r="AS153" s="14"/>
      <c r="AT153" s="14"/>
      <c r="AU153" s="14">
        <f t="shared" si="23"/>
        <v>0</v>
      </c>
    </row>
    <row r="154" spans="8:47" s="1" customFormat="1" ht="90" customHeight="1">
      <c r="H154" s="27">
        <v>139</v>
      </c>
      <c r="I154" s="13"/>
      <c r="J154" s="14"/>
      <c r="K154" s="14"/>
      <c r="L154" s="14">
        <f t="shared" si="16"/>
        <v>0</v>
      </c>
      <c r="M154" s="27">
        <v>139</v>
      </c>
      <c r="N154" s="13"/>
      <c r="O154" s="14"/>
      <c r="P154" s="14"/>
      <c r="Q154" s="14">
        <f t="shared" si="17"/>
        <v>0</v>
      </c>
      <c r="R154" s="27">
        <v>139</v>
      </c>
      <c r="S154" s="13"/>
      <c r="T154" s="14"/>
      <c r="U154" s="14"/>
      <c r="V154" s="14">
        <f t="shared" si="18"/>
        <v>0</v>
      </c>
      <c r="W154" s="27">
        <v>139</v>
      </c>
      <c r="X154" s="13"/>
      <c r="Y154" s="14"/>
      <c r="Z154" s="14"/>
      <c r="AA154" s="14">
        <f t="shared" si="19"/>
        <v>0</v>
      </c>
      <c r="AB154" s="27">
        <v>139</v>
      </c>
      <c r="AC154" s="13"/>
      <c r="AD154" s="14"/>
      <c r="AE154" s="14"/>
      <c r="AF154" s="14">
        <f t="shared" si="20"/>
        <v>0</v>
      </c>
      <c r="AG154" s="27">
        <v>139</v>
      </c>
      <c r="AH154" s="13"/>
      <c r="AI154" s="14"/>
      <c r="AJ154" s="14"/>
      <c r="AK154" s="14">
        <f t="shared" si="21"/>
        <v>0</v>
      </c>
      <c r="AL154" s="27">
        <v>139</v>
      </c>
      <c r="AM154" s="13"/>
      <c r="AN154" s="14"/>
      <c r="AO154" s="14"/>
      <c r="AP154" s="14">
        <f t="shared" si="22"/>
        <v>0</v>
      </c>
      <c r="AQ154" s="27">
        <v>139</v>
      </c>
      <c r="AR154" s="13"/>
      <c r="AS154" s="14"/>
      <c r="AT154" s="14"/>
      <c r="AU154" s="14">
        <f t="shared" si="23"/>
        <v>0</v>
      </c>
    </row>
    <row r="155" spans="8:47" s="1" customFormat="1" ht="90" customHeight="1">
      <c r="H155" s="27">
        <v>140</v>
      </c>
      <c r="I155" s="13"/>
      <c r="J155" s="14"/>
      <c r="K155" s="14"/>
      <c r="L155" s="14">
        <f t="shared" si="16"/>
        <v>0</v>
      </c>
      <c r="M155" s="27">
        <v>140</v>
      </c>
      <c r="N155" s="13"/>
      <c r="O155" s="14"/>
      <c r="P155" s="14"/>
      <c r="Q155" s="14">
        <f t="shared" si="17"/>
        <v>0</v>
      </c>
      <c r="R155" s="27">
        <v>140</v>
      </c>
      <c r="S155" s="13"/>
      <c r="T155" s="14"/>
      <c r="U155" s="14"/>
      <c r="V155" s="14">
        <f t="shared" si="18"/>
        <v>0</v>
      </c>
      <c r="W155" s="27">
        <v>140</v>
      </c>
      <c r="X155" s="13"/>
      <c r="Y155" s="14"/>
      <c r="Z155" s="14"/>
      <c r="AA155" s="14">
        <f t="shared" si="19"/>
        <v>0</v>
      </c>
      <c r="AB155" s="27">
        <v>140</v>
      </c>
      <c r="AC155" s="13"/>
      <c r="AD155" s="14"/>
      <c r="AE155" s="14"/>
      <c r="AF155" s="14">
        <f t="shared" si="20"/>
        <v>0</v>
      </c>
      <c r="AG155" s="27">
        <v>140</v>
      </c>
      <c r="AH155" s="13"/>
      <c r="AI155" s="14"/>
      <c r="AJ155" s="14"/>
      <c r="AK155" s="14">
        <f t="shared" si="21"/>
        <v>0</v>
      </c>
      <c r="AL155" s="27">
        <v>140</v>
      </c>
      <c r="AM155" s="13"/>
      <c r="AN155" s="14"/>
      <c r="AO155" s="14"/>
      <c r="AP155" s="14">
        <f t="shared" si="22"/>
        <v>0</v>
      </c>
      <c r="AQ155" s="27">
        <v>140</v>
      </c>
      <c r="AR155" s="13"/>
      <c r="AS155" s="14"/>
      <c r="AT155" s="14"/>
      <c r="AU155" s="14">
        <f t="shared" si="23"/>
        <v>0</v>
      </c>
    </row>
    <row r="156" spans="8:47" s="1" customFormat="1" ht="90" customHeight="1">
      <c r="H156" s="27">
        <v>141</v>
      </c>
      <c r="I156" s="13"/>
      <c r="J156" s="14"/>
      <c r="K156" s="14"/>
      <c r="L156" s="14">
        <f t="shared" si="16"/>
        <v>0</v>
      </c>
      <c r="M156" s="27">
        <v>141</v>
      </c>
      <c r="N156" s="13"/>
      <c r="O156" s="14"/>
      <c r="P156" s="14"/>
      <c r="Q156" s="14">
        <f t="shared" si="17"/>
        <v>0</v>
      </c>
      <c r="R156" s="27">
        <v>141</v>
      </c>
      <c r="S156" s="13"/>
      <c r="T156" s="14"/>
      <c r="U156" s="14"/>
      <c r="V156" s="14">
        <f t="shared" si="18"/>
        <v>0</v>
      </c>
      <c r="W156" s="27">
        <v>141</v>
      </c>
      <c r="X156" s="13"/>
      <c r="Y156" s="14"/>
      <c r="Z156" s="14"/>
      <c r="AA156" s="14">
        <f t="shared" si="19"/>
        <v>0</v>
      </c>
      <c r="AB156" s="27">
        <v>141</v>
      </c>
      <c r="AC156" s="13"/>
      <c r="AD156" s="14"/>
      <c r="AE156" s="14"/>
      <c r="AF156" s="14">
        <f t="shared" si="20"/>
        <v>0</v>
      </c>
      <c r="AG156" s="27">
        <v>141</v>
      </c>
      <c r="AH156" s="13"/>
      <c r="AI156" s="14"/>
      <c r="AJ156" s="14"/>
      <c r="AK156" s="14">
        <f t="shared" si="21"/>
        <v>0</v>
      </c>
      <c r="AL156" s="27">
        <v>141</v>
      </c>
      <c r="AM156" s="13"/>
      <c r="AN156" s="14"/>
      <c r="AO156" s="14"/>
      <c r="AP156" s="14">
        <f t="shared" si="22"/>
        <v>0</v>
      </c>
      <c r="AQ156" s="27">
        <v>141</v>
      </c>
      <c r="AR156" s="13"/>
      <c r="AS156" s="14"/>
      <c r="AT156" s="14"/>
      <c r="AU156" s="14">
        <f t="shared" si="23"/>
        <v>0</v>
      </c>
    </row>
    <row r="157" spans="8:47" s="1" customFormat="1" ht="90" customHeight="1">
      <c r="H157" s="27">
        <v>142</v>
      </c>
      <c r="I157" s="13"/>
      <c r="J157" s="14"/>
      <c r="K157" s="14"/>
      <c r="L157" s="14">
        <f t="shared" si="16"/>
        <v>0</v>
      </c>
      <c r="M157" s="27">
        <v>142</v>
      </c>
      <c r="N157" s="13"/>
      <c r="O157" s="14"/>
      <c r="P157" s="14"/>
      <c r="Q157" s="14">
        <f t="shared" si="17"/>
        <v>0</v>
      </c>
      <c r="R157" s="27">
        <v>142</v>
      </c>
      <c r="S157" s="13"/>
      <c r="T157" s="14"/>
      <c r="U157" s="14"/>
      <c r="V157" s="14">
        <f t="shared" si="18"/>
        <v>0</v>
      </c>
      <c r="W157" s="27">
        <v>142</v>
      </c>
      <c r="X157" s="13"/>
      <c r="Y157" s="14"/>
      <c r="Z157" s="14"/>
      <c r="AA157" s="14">
        <f t="shared" si="19"/>
        <v>0</v>
      </c>
      <c r="AB157" s="27">
        <v>142</v>
      </c>
      <c r="AC157" s="13"/>
      <c r="AD157" s="14"/>
      <c r="AE157" s="14"/>
      <c r="AF157" s="14">
        <f t="shared" si="20"/>
        <v>0</v>
      </c>
      <c r="AG157" s="27">
        <v>142</v>
      </c>
      <c r="AH157" s="13"/>
      <c r="AI157" s="14"/>
      <c r="AJ157" s="14"/>
      <c r="AK157" s="14">
        <f t="shared" si="21"/>
        <v>0</v>
      </c>
      <c r="AL157" s="27">
        <v>142</v>
      </c>
      <c r="AM157" s="13"/>
      <c r="AN157" s="14"/>
      <c r="AO157" s="14"/>
      <c r="AP157" s="14">
        <f t="shared" si="22"/>
        <v>0</v>
      </c>
      <c r="AQ157" s="27">
        <v>142</v>
      </c>
      <c r="AR157" s="13"/>
      <c r="AS157" s="14"/>
      <c r="AT157" s="14"/>
      <c r="AU157" s="14">
        <f t="shared" si="23"/>
        <v>0</v>
      </c>
    </row>
    <row r="158" spans="8:47" s="1" customFormat="1" ht="90" customHeight="1">
      <c r="H158" s="27">
        <v>143</v>
      </c>
      <c r="I158" s="13"/>
      <c r="J158" s="14"/>
      <c r="K158" s="14"/>
      <c r="L158" s="14">
        <f t="shared" si="16"/>
        <v>0</v>
      </c>
      <c r="M158" s="27">
        <v>143</v>
      </c>
      <c r="N158" s="13"/>
      <c r="O158" s="14"/>
      <c r="P158" s="14"/>
      <c r="Q158" s="14">
        <f t="shared" si="17"/>
        <v>0</v>
      </c>
      <c r="R158" s="27">
        <v>143</v>
      </c>
      <c r="S158" s="13"/>
      <c r="T158" s="14"/>
      <c r="U158" s="14"/>
      <c r="V158" s="14">
        <f t="shared" si="18"/>
        <v>0</v>
      </c>
      <c r="W158" s="27">
        <v>143</v>
      </c>
      <c r="X158" s="13"/>
      <c r="Y158" s="14"/>
      <c r="Z158" s="14"/>
      <c r="AA158" s="14">
        <f t="shared" si="19"/>
        <v>0</v>
      </c>
      <c r="AB158" s="27">
        <v>143</v>
      </c>
      <c r="AC158" s="13"/>
      <c r="AD158" s="14"/>
      <c r="AE158" s="14"/>
      <c r="AF158" s="14">
        <f t="shared" si="20"/>
        <v>0</v>
      </c>
      <c r="AG158" s="27">
        <v>143</v>
      </c>
      <c r="AH158" s="13"/>
      <c r="AI158" s="14"/>
      <c r="AJ158" s="14"/>
      <c r="AK158" s="14">
        <f t="shared" si="21"/>
        <v>0</v>
      </c>
      <c r="AL158" s="27">
        <v>143</v>
      </c>
      <c r="AM158" s="13"/>
      <c r="AN158" s="14"/>
      <c r="AO158" s="14"/>
      <c r="AP158" s="14">
        <f t="shared" si="22"/>
        <v>0</v>
      </c>
      <c r="AQ158" s="27">
        <v>143</v>
      </c>
      <c r="AR158" s="13"/>
      <c r="AS158" s="14"/>
      <c r="AT158" s="14"/>
      <c r="AU158" s="14">
        <f t="shared" si="23"/>
        <v>0</v>
      </c>
    </row>
    <row r="159" spans="8:47" s="1" customFormat="1" ht="90" customHeight="1">
      <c r="H159" s="27">
        <v>144</v>
      </c>
      <c r="I159" s="13"/>
      <c r="J159" s="14"/>
      <c r="K159" s="14"/>
      <c r="L159" s="14">
        <f t="shared" si="16"/>
        <v>0</v>
      </c>
      <c r="M159" s="27">
        <v>144</v>
      </c>
      <c r="N159" s="13"/>
      <c r="O159" s="14"/>
      <c r="P159" s="14"/>
      <c r="Q159" s="14">
        <f t="shared" si="17"/>
        <v>0</v>
      </c>
      <c r="R159" s="27">
        <v>144</v>
      </c>
      <c r="S159" s="13"/>
      <c r="T159" s="14"/>
      <c r="U159" s="14"/>
      <c r="V159" s="14">
        <f t="shared" si="18"/>
        <v>0</v>
      </c>
      <c r="W159" s="27">
        <v>144</v>
      </c>
      <c r="X159" s="13"/>
      <c r="Y159" s="14"/>
      <c r="Z159" s="14"/>
      <c r="AA159" s="14">
        <f t="shared" si="19"/>
        <v>0</v>
      </c>
      <c r="AB159" s="27">
        <v>144</v>
      </c>
      <c r="AC159" s="13"/>
      <c r="AD159" s="14"/>
      <c r="AE159" s="14"/>
      <c r="AF159" s="14">
        <f t="shared" si="20"/>
        <v>0</v>
      </c>
      <c r="AG159" s="27">
        <v>144</v>
      </c>
      <c r="AH159" s="13"/>
      <c r="AI159" s="14"/>
      <c r="AJ159" s="14"/>
      <c r="AK159" s="14">
        <f t="shared" si="21"/>
        <v>0</v>
      </c>
      <c r="AL159" s="27">
        <v>144</v>
      </c>
      <c r="AM159" s="13"/>
      <c r="AN159" s="14"/>
      <c r="AO159" s="14"/>
      <c r="AP159" s="14">
        <f t="shared" si="22"/>
        <v>0</v>
      </c>
      <c r="AQ159" s="27">
        <v>144</v>
      </c>
      <c r="AR159" s="13"/>
      <c r="AS159" s="14"/>
      <c r="AT159" s="14"/>
      <c r="AU159" s="14">
        <f t="shared" si="23"/>
        <v>0</v>
      </c>
    </row>
    <row r="160" spans="8:47" s="1" customFormat="1" ht="90" customHeight="1">
      <c r="H160" s="27">
        <v>145</v>
      </c>
      <c r="I160" s="13"/>
      <c r="J160" s="14"/>
      <c r="K160" s="14"/>
      <c r="L160" s="14">
        <f t="shared" si="16"/>
        <v>0</v>
      </c>
      <c r="M160" s="27">
        <v>145</v>
      </c>
      <c r="N160" s="13"/>
      <c r="O160" s="14"/>
      <c r="P160" s="14"/>
      <c r="Q160" s="14">
        <f t="shared" si="17"/>
        <v>0</v>
      </c>
      <c r="R160" s="27">
        <v>145</v>
      </c>
      <c r="S160" s="13"/>
      <c r="T160" s="14"/>
      <c r="U160" s="14"/>
      <c r="V160" s="14">
        <f t="shared" si="18"/>
        <v>0</v>
      </c>
      <c r="W160" s="27">
        <v>145</v>
      </c>
      <c r="X160" s="13"/>
      <c r="Y160" s="14"/>
      <c r="Z160" s="14"/>
      <c r="AA160" s="14">
        <f t="shared" si="19"/>
        <v>0</v>
      </c>
      <c r="AB160" s="27">
        <v>145</v>
      </c>
      <c r="AC160" s="13"/>
      <c r="AD160" s="14"/>
      <c r="AE160" s="14"/>
      <c r="AF160" s="14">
        <f t="shared" si="20"/>
        <v>0</v>
      </c>
      <c r="AG160" s="27">
        <v>145</v>
      </c>
      <c r="AH160" s="13"/>
      <c r="AI160" s="14"/>
      <c r="AJ160" s="14"/>
      <c r="AK160" s="14">
        <f t="shared" si="21"/>
        <v>0</v>
      </c>
      <c r="AL160" s="27">
        <v>145</v>
      </c>
      <c r="AM160" s="13"/>
      <c r="AN160" s="14"/>
      <c r="AO160" s="14"/>
      <c r="AP160" s="14">
        <f t="shared" si="22"/>
        <v>0</v>
      </c>
      <c r="AQ160" s="27">
        <v>145</v>
      </c>
      <c r="AR160" s="13"/>
      <c r="AS160" s="14"/>
      <c r="AT160" s="14"/>
      <c r="AU160" s="14">
        <f t="shared" si="23"/>
        <v>0</v>
      </c>
    </row>
    <row r="161" spans="8:47" s="1" customFormat="1" ht="90" customHeight="1">
      <c r="H161" s="27">
        <v>146</v>
      </c>
      <c r="I161" s="13"/>
      <c r="J161" s="14"/>
      <c r="K161" s="14"/>
      <c r="L161" s="14">
        <f t="shared" si="16"/>
        <v>0</v>
      </c>
      <c r="M161" s="27">
        <v>146</v>
      </c>
      <c r="N161" s="13"/>
      <c r="O161" s="14"/>
      <c r="P161" s="14"/>
      <c r="Q161" s="14">
        <f t="shared" si="17"/>
        <v>0</v>
      </c>
      <c r="R161" s="27">
        <v>146</v>
      </c>
      <c r="S161" s="13"/>
      <c r="T161" s="14"/>
      <c r="U161" s="14"/>
      <c r="V161" s="14">
        <f t="shared" si="18"/>
        <v>0</v>
      </c>
      <c r="W161" s="27">
        <v>146</v>
      </c>
      <c r="X161" s="13"/>
      <c r="Y161" s="14"/>
      <c r="Z161" s="14"/>
      <c r="AA161" s="14">
        <f t="shared" si="19"/>
        <v>0</v>
      </c>
      <c r="AB161" s="27">
        <v>146</v>
      </c>
      <c r="AC161" s="13"/>
      <c r="AD161" s="14"/>
      <c r="AE161" s="14"/>
      <c r="AF161" s="14">
        <f t="shared" si="20"/>
        <v>0</v>
      </c>
      <c r="AG161" s="27">
        <v>146</v>
      </c>
      <c r="AH161" s="13"/>
      <c r="AI161" s="14"/>
      <c r="AJ161" s="14"/>
      <c r="AK161" s="14">
        <f t="shared" si="21"/>
        <v>0</v>
      </c>
      <c r="AL161" s="27">
        <v>146</v>
      </c>
      <c r="AM161" s="13"/>
      <c r="AN161" s="14"/>
      <c r="AO161" s="14"/>
      <c r="AP161" s="14">
        <f t="shared" si="22"/>
        <v>0</v>
      </c>
      <c r="AQ161" s="27">
        <v>146</v>
      </c>
      <c r="AR161" s="13"/>
      <c r="AS161" s="14"/>
      <c r="AT161" s="14"/>
      <c r="AU161" s="14">
        <f t="shared" si="23"/>
        <v>0</v>
      </c>
    </row>
    <row r="162" spans="8:47" s="1" customFormat="1" ht="90" customHeight="1">
      <c r="H162" s="27">
        <v>147</v>
      </c>
      <c r="I162" s="13"/>
      <c r="J162" s="14"/>
      <c r="K162" s="14"/>
      <c r="L162" s="14">
        <f t="shared" si="16"/>
        <v>0</v>
      </c>
      <c r="M162" s="27">
        <v>147</v>
      </c>
      <c r="N162" s="13"/>
      <c r="O162" s="14"/>
      <c r="P162" s="14"/>
      <c r="Q162" s="14">
        <f t="shared" si="17"/>
        <v>0</v>
      </c>
      <c r="R162" s="27">
        <v>147</v>
      </c>
      <c r="S162" s="13"/>
      <c r="T162" s="14"/>
      <c r="U162" s="14"/>
      <c r="V162" s="14">
        <f t="shared" si="18"/>
        <v>0</v>
      </c>
      <c r="W162" s="27">
        <v>147</v>
      </c>
      <c r="X162" s="13"/>
      <c r="Y162" s="14"/>
      <c r="Z162" s="14"/>
      <c r="AA162" s="14">
        <f t="shared" si="19"/>
        <v>0</v>
      </c>
      <c r="AB162" s="27">
        <v>147</v>
      </c>
      <c r="AC162" s="13"/>
      <c r="AD162" s="14"/>
      <c r="AE162" s="14"/>
      <c r="AF162" s="14">
        <f t="shared" si="20"/>
        <v>0</v>
      </c>
      <c r="AG162" s="27">
        <v>147</v>
      </c>
      <c r="AH162" s="13"/>
      <c r="AI162" s="14"/>
      <c r="AJ162" s="14"/>
      <c r="AK162" s="14">
        <f t="shared" si="21"/>
        <v>0</v>
      </c>
      <c r="AL162" s="27">
        <v>147</v>
      </c>
      <c r="AM162" s="13"/>
      <c r="AN162" s="14"/>
      <c r="AO162" s="14"/>
      <c r="AP162" s="14">
        <f t="shared" si="22"/>
        <v>0</v>
      </c>
      <c r="AQ162" s="27">
        <v>147</v>
      </c>
      <c r="AR162" s="13"/>
      <c r="AS162" s="14"/>
      <c r="AT162" s="14"/>
      <c r="AU162" s="14">
        <f t="shared" si="23"/>
        <v>0</v>
      </c>
    </row>
    <row r="163" spans="8:47" s="1" customFormat="1" ht="90" customHeight="1">
      <c r="H163" s="27">
        <v>148</v>
      </c>
      <c r="I163" s="13"/>
      <c r="J163" s="14"/>
      <c r="K163" s="14"/>
      <c r="L163" s="14">
        <f t="shared" si="16"/>
        <v>0</v>
      </c>
      <c r="M163" s="27">
        <v>148</v>
      </c>
      <c r="N163" s="13"/>
      <c r="O163" s="14"/>
      <c r="P163" s="14"/>
      <c r="Q163" s="14">
        <f t="shared" si="17"/>
        <v>0</v>
      </c>
      <c r="R163" s="27">
        <v>148</v>
      </c>
      <c r="S163" s="13"/>
      <c r="T163" s="14"/>
      <c r="U163" s="14"/>
      <c r="V163" s="14">
        <f t="shared" si="18"/>
        <v>0</v>
      </c>
      <c r="W163" s="27">
        <v>148</v>
      </c>
      <c r="X163" s="13"/>
      <c r="Y163" s="14"/>
      <c r="Z163" s="14"/>
      <c r="AA163" s="14">
        <f t="shared" si="19"/>
        <v>0</v>
      </c>
      <c r="AB163" s="27">
        <v>148</v>
      </c>
      <c r="AC163" s="13"/>
      <c r="AD163" s="14"/>
      <c r="AE163" s="14"/>
      <c r="AF163" s="14">
        <f t="shared" si="20"/>
        <v>0</v>
      </c>
      <c r="AG163" s="27">
        <v>148</v>
      </c>
      <c r="AH163" s="13"/>
      <c r="AI163" s="14"/>
      <c r="AJ163" s="14"/>
      <c r="AK163" s="14">
        <f t="shared" si="21"/>
        <v>0</v>
      </c>
      <c r="AL163" s="27">
        <v>148</v>
      </c>
      <c r="AM163" s="13"/>
      <c r="AN163" s="14"/>
      <c r="AO163" s="14"/>
      <c r="AP163" s="14">
        <f t="shared" si="22"/>
        <v>0</v>
      </c>
      <c r="AQ163" s="27">
        <v>148</v>
      </c>
      <c r="AR163" s="13"/>
      <c r="AS163" s="14"/>
      <c r="AT163" s="14"/>
      <c r="AU163" s="14">
        <f t="shared" si="23"/>
        <v>0</v>
      </c>
    </row>
    <row r="164" spans="8:47" s="1" customFormat="1" ht="90" customHeight="1">
      <c r="H164" s="27">
        <v>149</v>
      </c>
      <c r="I164" s="13"/>
      <c r="J164" s="14"/>
      <c r="K164" s="14"/>
      <c r="L164" s="14">
        <f t="shared" si="16"/>
        <v>0</v>
      </c>
      <c r="M164" s="27">
        <v>149</v>
      </c>
      <c r="N164" s="13"/>
      <c r="O164" s="14"/>
      <c r="P164" s="14"/>
      <c r="Q164" s="14">
        <f t="shared" si="17"/>
        <v>0</v>
      </c>
      <c r="R164" s="27">
        <v>149</v>
      </c>
      <c r="S164" s="13"/>
      <c r="T164" s="14"/>
      <c r="U164" s="14"/>
      <c r="V164" s="14">
        <f t="shared" si="18"/>
        <v>0</v>
      </c>
      <c r="W164" s="27">
        <v>149</v>
      </c>
      <c r="X164" s="13"/>
      <c r="Y164" s="14"/>
      <c r="Z164" s="14"/>
      <c r="AA164" s="14">
        <f t="shared" si="19"/>
        <v>0</v>
      </c>
      <c r="AB164" s="27">
        <v>149</v>
      </c>
      <c r="AC164" s="13"/>
      <c r="AD164" s="14"/>
      <c r="AE164" s="14"/>
      <c r="AF164" s="14">
        <f t="shared" si="20"/>
        <v>0</v>
      </c>
      <c r="AG164" s="27">
        <v>149</v>
      </c>
      <c r="AH164" s="13"/>
      <c r="AI164" s="14"/>
      <c r="AJ164" s="14"/>
      <c r="AK164" s="14">
        <f t="shared" si="21"/>
        <v>0</v>
      </c>
      <c r="AL164" s="27">
        <v>149</v>
      </c>
      <c r="AM164" s="13"/>
      <c r="AN164" s="14"/>
      <c r="AO164" s="14"/>
      <c r="AP164" s="14">
        <f t="shared" si="22"/>
        <v>0</v>
      </c>
      <c r="AQ164" s="27">
        <v>149</v>
      </c>
      <c r="AR164" s="13"/>
      <c r="AS164" s="14"/>
      <c r="AT164" s="14"/>
      <c r="AU164" s="14">
        <f t="shared" si="23"/>
        <v>0</v>
      </c>
    </row>
    <row r="165" spans="8:47" s="1" customFormat="1" ht="90" customHeight="1">
      <c r="H165" s="27">
        <v>150</v>
      </c>
      <c r="I165" s="13"/>
      <c r="J165" s="14"/>
      <c r="K165" s="14"/>
      <c r="L165" s="14">
        <f t="shared" si="16"/>
        <v>0</v>
      </c>
      <c r="M165" s="27">
        <v>150</v>
      </c>
      <c r="N165" s="13"/>
      <c r="O165" s="14"/>
      <c r="P165" s="14"/>
      <c r="Q165" s="14">
        <f t="shared" si="17"/>
        <v>0</v>
      </c>
      <c r="R165" s="27">
        <v>150</v>
      </c>
      <c r="S165" s="13"/>
      <c r="T165" s="14"/>
      <c r="U165" s="14"/>
      <c r="V165" s="14">
        <f t="shared" si="18"/>
        <v>0</v>
      </c>
      <c r="W165" s="27">
        <v>150</v>
      </c>
      <c r="X165" s="13"/>
      <c r="Y165" s="14"/>
      <c r="Z165" s="14"/>
      <c r="AA165" s="14">
        <f t="shared" si="19"/>
        <v>0</v>
      </c>
      <c r="AB165" s="27">
        <v>150</v>
      </c>
      <c r="AC165" s="13"/>
      <c r="AD165" s="14"/>
      <c r="AE165" s="14"/>
      <c r="AF165" s="14">
        <f t="shared" si="20"/>
        <v>0</v>
      </c>
      <c r="AG165" s="27">
        <v>150</v>
      </c>
      <c r="AH165" s="13"/>
      <c r="AI165" s="14"/>
      <c r="AJ165" s="14"/>
      <c r="AK165" s="14">
        <f t="shared" si="21"/>
        <v>0</v>
      </c>
      <c r="AL165" s="27">
        <v>150</v>
      </c>
      <c r="AM165" s="13"/>
      <c r="AN165" s="14"/>
      <c r="AO165" s="14"/>
      <c r="AP165" s="14">
        <f t="shared" si="22"/>
        <v>0</v>
      </c>
      <c r="AQ165" s="27">
        <v>150</v>
      </c>
      <c r="AR165" s="13"/>
      <c r="AS165" s="14"/>
      <c r="AT165" s="14"/>
      <c r="AU165" s="14">
        <f t="shared" si="23"/>
        <v>0</v>
      </c>
    </row>
    <row r="166" spans="8:47" s="1" customFormat="1" ht="85.15" customHeight="1">
      <c r="H166" s="4"/>
      <c r="M166" s="4"/>
      <c r="R166" s="4"/>
      <c r="W166" s="4"/>
      <c r="AB166" s="4"/>
      <c r="AG166" s="4"/>
      <c r="AL166" s="4"/>
      <c r="AQ166" s="4"/>
    </row>
    <row r="167" spans="8:47" s="1" customFormat="1" ht="85.15" customHeight="1">
      <c r="H167" s="4"/>
      <c r="M167" s="4"/>
      <c r="R167" s="4"/>
      <c r="W167" s="4"/>
      <c r="AB167" s="4"/>
      <c r="AG167" s="4"/>
      <c r="AL167" s="4"/>
      <c r="AQ167" s="4"/>
    </row>
    <row r="168" spans="8:47" s="1" customFormat="1" ht="85.15" customHeight="1">
      <c r="H168" s="4"/>
      <c r="M168" s="4"/>
      <c r="R168" s="4"/>
      <c r="W168" s="4"/>
      <c r="AB168" s="4"/>
      <c r="AG168" s="4"/>
      <c r="AL168" s="4"/>
      <c r="AQ168" s="4"/>
    </row>
    <row r="169" spans="8:47" s="1" customFormat="1" ht="85.15" customHeight="1">
      <c r="H169" s="4"/>
      <c r="M169" s="4"/>
      <c r="R169" s="4"/>
      <c r="W169" s="4"/>
      <c r="AB169" s="4"/>
      <c r="AG169" s="4"/>
      <c r="AL169" s="4"/>
      <c r="AQ169" s="4"/>
    </row>
    <row r="170" spans="8:47" s="1" customFormat="1" ht="85.15" customHeight="1">
      <c r="H170" s="4"/>
      <c r="M170" s="4"/>
      <c r="R170" s="4"/>
      <c r="W170" s="4"/>
      <c r="AB170" s="4"/>
      <c r="AG170" s="4"/>
      <c r="AL170" s="4"/>
      <c r="AQ170" s="4"/>
    </row>
    <row r="171" spans="8:47" s="1" customFormat="1" ht="85.15" customHeight="1">
      <c r="H171" s="4"/>
      <c r="M171" s="4"/>
      <c r="R171" s="4"/>
      <c r="W171" s="4"/>
      <c r="AB171" s="4"/>
      <c r="AG171" s="4"/>
      <c r="AL171" s="4"/>
      <c r="AQ171" s="4"/>
    </row>
    <row r="172" spans="8:47" s="1" customFormat="1" ht="85.15" customHeight="1">
      <c r="H172" s="4"/>
      <c r="M172" s="4"/>
      <c r="R172" s="4"/>
      <c r="W172" s="4"/>
      <c r="AB172" s="4"/>
      <c r="AG172" s="4"/>
      <c r="AL172" s="4"/>
      <c r="AQ172" s="4"/>
    </row>
    <row r="173" spans="8:47" s="1" customFormat="1" ht="85.15" customHeight="1">
      <c r="H173" s="4"/>
      <c r="M173" s="4"/>
      <c r="R173" s="4"/>
      <c r="W173" s="4"/>
      <c r="AB173" s="4"/>
      <c r="AG173" s="4"/>
      <c r="AL173" s="4"/>
      <c r="AQ173" s="4"/>
    </row>
    <row r="174" spans="8:47" s="1" customFormat="1" ht="85.15" customHeight="1">
      <c r="H174" s="4"/>
      <c r="M174" s="4"/>
      <c r="R174" s="4"/>
      <c r="W174" s="4"/>
      <c r="AB174" s="4"/>
      <c r="AG174" s="4"/>
      <c r="AL174" s="4"/>
      <c r="AQ174" s="4"/>
    </row>
    <row r="175" spans="8:47" s="1" customFormat="1" ht="85.15" customHeight="1">
      <c r="H175" s="4"/>
      <c r="M175" s="4"/>
      <c r="R175" s="4"/>
      <c r="W175" s="4"/>
      <c r="AB175" s="4"/>
      <c r="AG175" s="4"/>
      <c r="AL175" s="4"/>
      <c r="AQ175" s="4"/>
    </row>
    <row r="176" spans="8:47" s="1" customFormat="1" ht="85.15" customHeight="1">
      <c r="H176" s="4"/>
      <c r="M176" s="4"/>
      <c r="R176" s="4"/>
      <c r="W176" s="4"/>
      <c r="AB176" s="4"/>
      <c r="AG176" s="4"/>
      <c r="AL176" s="4"/>
      <c r="AQ176" s="4"/>
    </row>
    <row r="177" spans="8:43" s="1" customFormat="1" ht="85.15" customHeight="1">
      <c r="H177" s="4"/>
      <c r="M177" s="4"/>
      <c r="R177" s="4"/>
      <c r="W177" s="4"/>
      <c r="AB177" s="4"/>
      <c r="AG177" s="4"/>
      <c r="AL177" s="4"/>
      <c r="AQ177" s="4"/>
    </row>
    <row r="178" spans="8:43" s="1" customFormat="1" ht="85.15" customHeight="1">
      <c r="H178" s="4"/>
      <c r="M178" s="4"/>
      <c r="R178" s="4"/>
      <c r="W178" s="4"/>
      <c r="AB178" s="4"/>
      <c r="AG178" s="4"/>
      <c r="AL178" s="4"/>
      <c r="AQ178" s="4"/>
    </row>
    <row r="179" spans="8:43" s="1" customFormat="1" ht="85.15" customHeight="1">
      <c r="H179" s="4"/>
      <c r="M179" s="4"/>
      <c r="R179" s="4"/>
      <c r="W179" s="4"/>
      <c r="AB179" s="4"/>
      <c r="AG179" s="4"/>
      <c r="AL179" s="4"/>
      <c r="AQ179" s="4"/>
    </row>
    <row r="180" spans="8:43" s="1" customFormat="1" ht="85.15" customHeight="1">
      <c r="H180" s="4"/>
      <c r="M180" s="4"/>
      <c r="R180" s="4"/>
      <c r="W180" s="4"/>
      <c r="AB180" s="4"/>
      <c r="AG180" s="4"/>
      <c r="AL180" s="4"/>
      <c r="AQ180" s="4"/>
    </row>
    <row r="181" spans="8:43" s="1" customFormat="1" ht="85.15" customHeight="1">
      <c r="H181" s="4"/>
      <c r="M181" s="4"/>
      <c r="R181" s="4"/>
      <c r="W181" s="4"/>
      <c r="AB181" s="4"/>
      <c r="AG181" s="4"/>
      <c r="AL181" s="4"/>
      <c r="AQ181" s="4"/>
    </row>
    <row r="182" spans="8:43" s="1" customFormat="1" ht="85.15" customHeight="1">
      <c r="H182" s="4"/>
      <c r="M182" s="4"/>
      <c r="R182" s="4"/>
      <c r="W182" s="4"/>
      <c r="AB182" s="4"/>
      <c r="AG182" s="4"/>
      <c r="AL182" s="4"/>
      <c r="AQ182" s="4"/>
    </row>
    <row r="183" spans="8:43" s="1" customFormat="1" ht="53.45" customHeight="1">
      <c r="H183" s="4"/>
      <c r="M183" s="4"/>
      <c r="R183" s="4"/>
      <c r="W183" s="4"/>
      <c r="AB183" s="4"/>
      <c r="AG183" s="4"/>
      <c r="AL183" s="4"/>
      <c r="AQ183" s="4"/>
    </row>
    <row r="184" spans="8:43" s="1" customFormat="1" ht="53.45" customHeight="1">
      <c r="H184" s="4"/>
      <c r="M184" s="4"/>
      <c r="R184" s="4"/>
      <c r="W184" s="4"/>
      <c r="AB184" s="4"/>
      <c r="AG184" s="4"/>
      <c r="AL184" s="4"/>
      <c r="AQ184" s="4"/>
    </row>
    <row r="185" spans="8:43" s="1" customFormat="1" ht="53.45" customHeight="1">
      <c r="H185" s="4"/>
      <c r="M185" s="4"/>
      <c r="R185" s="4"/>
      <c r="W185" s="4"/>
      <c r="AB185" s="4"/>
      <c r="AG185" s="4"/>
      <c r="AL185" s="4"/>
      <c r="AQ185" s="4"/>
    </row>
    <row r="186" spans="8:43" s="1" customFormat="1" ht="53.45" customHeight="1">
      <c r="H186" s="4"/>
      <c r="M186" s="4"/>
      <c r="R186" s="4"/>
      <c r="W186" s="4"/>
      <c r="AB186" s="4"/>
      <c r="AG186" s="4"/>
      <c r="AL186" s="4"/>
      <c r="AQ186" s="4"/>
    </row>
    <row r="187" spans="8:43" s="1" customFormat="1" ht="53.45" customHeight="1">
      <c r="H187" s="4"/>
      <c r="M187" s="4"/>
      <c r="R187" s="4"/>
      <c r="W187" s="4"/>
      <c r="AB187" s="4"/>
      <c r="AG187" s="4"/>
      <c r="AL187" s="4"/>
      <c r="AQ187" s="4"/>
    </row>
    <row r="188" spans="8:43" s="1" customFormat="1" ht="53.45" customHeight="1">
      <c r="H188" s="4"/>
      <c r="M188" s="4"/>
      <c r="R188" s="4"/>
      <c r="W188" s="4"/>
      <c r="AB188" s="4"/>
      <c r="AG188" s="4"/>
      <c r="AL188" s="4"/>
      <c r="AQ188" s="4"/>
    </row>
    <row r="189" spans="8:43" s="1" customFormat="1" ht="53.45" customHeight="1">
      <c r="H189" s="4"/>
      <c r="M189" s="4"/>
      <c r="R189" s="4"/>
      <c r="W189" s="4"/>
      <c r="AB189" s="4"/>
      <c r="AG189" s="4"/>
      <c r="AL189" s="4"/>
      <c r="AQ189" s="4"/>
    </row>
    <row r="190" spans="8:43" s="1" customFormat="1" ht="53.45" customHeight="1">
      <c r="H190" s="4"/>
      <c r="M190" s="4"/>
      <c r="R190" s="4"/>
      <c r="W190" s="4"/>
      <c r="AB190" s="4"/>
      <c r="AG190" s="4"/>
      <c r="AL190" s="4"/>
      <c r="AQ190" s="4"/>
    </row>
    <row r="191" spans="8:43" s="1" customFormat="1" ht="53.45" customHeight="1">
      <c r="H191" s="4"/>
      <c r="M191" s="4"/>
      <c r="R191" s="4"/>
      <c r="W191" s="4"/>
      <c r="AB191" s="4"/>
      <c r="AG191" s="4"/>
      <c r="AL191" s="4"/>
      <c r="AQ191" s="4"/>
    </row>
    <row r="192" spans="8:43" s="1" customFormat="1" ht="53.45" customHeight="1">
      <c r="H192" s="4"/>
      <c r="M192" s="4"/>
      <c r="R192" s="4"/>
      <c r="W192" s="4"/>
      <c r="AB192" s="4"/>
      <c r="AG192" s="4"/>
      <c r="AL192" s="4"/>
      <c r="AQ192" s="4"/>
    </row>
    <row r="193" spans="8:43" s="1" customFormat="1" ht="53.45" customHeight="1">
      <c r="H193" s="4"/>
      <c r="M193" s="4"/>
      <c r="R193" s="4"/>
      <c r="W193" s="4"/>
      <c r="AB193" s="4"/>
      <c r="AG193" s="4"/>
      <c r="AL193" s="4"/>
      <c r="AQ193" s="4"/>
    </row>
    <row r="194" spans="8:43" s="1" customFormat="1" ht="53.45" customHeight="1">
      <c r="H194" s="4"/>
      <c r="M194" s="4"/>
      <c r="R194" s="4"/>
      <c r="W194" s="4"/>
      <c r="AB194" s="4"/>
      <c r="AG194" s="4"/>
      <c r="AL194" s="4"/>
      <c r="AQ194" s="4"/>
    </row>
    <row r="195" spans="8:43" s="1" customFormat="1" ht="53.45" customHeight="1">
      <c r="H195" s="4"/>
      <c r="M195" s="4"/>
      <c r="R195" s="4"/>
      <c r="W195" s="4"/>
      <c r="AB195" s="4"/>
      <c r="AG195" s="4"/>
      <c r="AL195" s="4"/>
      <c r="AQ195" s="4"/>
    </row>
    <row r="196" spans="8:43" s="1" customFormat="1" ht="53.45" customHeight="1">
      <c r="H196" s="4"/>
      <c r="M196" s="4"/>
      <c r="R196" s="4"/>
      <c r="W196" s="4"/>
      <c r="AB196" s="4"/>
      <c r="AG196" s="4"/>
      <c r="AL196" s="4"/>
      <c r="AQ196" s="4"/>
    </row>
    <row r="197" spans="8:43" s="1" customFormat="1" ht="53.45" customHeight="1">
      <c r="H197" s="4"/>
      <c r="M197" s="4"/>
      <c r="R197" s="4"/>
      <c r="W197" s="4"/>
      <c r="AB197" s="4"/>
      <c r="AG197" s="4"/>
      <c r="AL197" s="4"/>
      <c r="AQ197" s="4"/>
    </row>
    <row r="198" spans="8:43" s="1" customFormat="1" ht="53.45" customHeight="1">
      <c r="H198" s="4"/>
      <c r="M198" s="4"/>
      <c r="R198" s="4"/>
      <c r="W198" s="4"/>
      <c r="AB198" s="4"/>
      <c r="AG198" s="4"/>
      <c r="AL198" s="4"/>
      <c r="AQ198" s="4"/>
    </row>
    <row r="199" spans="8:43" s="1" customFormat="1" ht="53.45" customHeight="1">
      <c r="H199" s="4"/>
      <c r="M199" s="4"/>
      <c r="R199" s="4"/>
      <c r="W199" s="4"/>
      <c r="AB199" s="4"/>
      <c r="AG199" s="4"/>
      <c r="AL199" s="4"/>
      <c r="AQ199" s="4"/>
    </row>
    <row r="200" spans="8:43" s="1" customFormat="1" ht="53.45" customHeight="1">
      <c r="H200" s="4"/>
      <c r="M200" s="4"/>
      <c r="R200" s="4"/>
      <c r="W200" s="4"/>
      <c r="AB200" s="4"/>
      <c r="AG200" s="4"/>
      <c r="AL200" s="4"/>
      <c r="AQ200" s="4"/>
    </row>
    <row r="201" spans="8:43" s="1" customFormat="1" ht="53.45" customHeight="1">
      <c r="H201" s="4"/>
      <c r="M201" s="4"/>
      <c r="R201" s="4"/>
      <c r="W201" s="4"/>
      <c r="AB201" s="4"/>
      <c r="AG201" s="4"/>
      <c r="AL201" s="4"/>
      <c r="AQ201" s="4"/>
    </row>
    <row r="202" spans="8:43" s="1" customFormat="1" ht="53.45" customHeight="1">
      <c r="H202" s="4"/>
      <c r="M202" s="4"/>
      <c r="R202" s="4"/>
      <c r="W202" s="4"/>
      <c r="AB202" s="4"/>
      <c r="AG202" s="4"/>
      <c r="AL202" s="4"/>
      <c r="AQ202" s="4"/>
    </row>
    <row r="203" spans="8:43" s="1" customFormat="1" ht="53.45" customHeight="1">
      <c r="H203" s="4"/>
      <c r="M203" s="4"/>
      <c r="R203" s="4"/>
      <c r="W203" s="4"/>
      <c r="AB203" s="4"/>
      <c r="AG203" s="4"/>
      <c r="AL203" s="4"/>
      <c r="AQ203" s="4"/>
    </row>
    <row r="204" spans="8:43" s="1" customFormat="1" ht="53.45" customHeight="1">
      <c r="H204" s="4"/>
      <c r="M204" s="4"/>
      <c r="R204" s="4"/>
      <c r="W204" s="4"/>
      <c r="AB204" s="4"/>
      <c r="AG204" s="4"/>
      <c r="AL204" s="4"/>
      <c r="AQ204" s="4"/>
    </row>
    <row r="205" spans="8:43" s="1" customFormat="1" ht="53.45" customHeight="1">
      <c r="H205" s="4"/>
      <c r="M205" s="4"/>
      <c r="R205" s="4"/>
      <c r="W205" s="4"/>
      <c r="AB205" s="4"/>
      <c r="AG205" s="4"/>
      <c r="AL205" s="4"/>
      <c r="AQ205" s="4"/>
    </row>
    <row r="206" spans="8:43" s="1" customFormat="1" ht="53.45" customHeight="1">
      <c r="H206" s="4"/>
      <c r="M206" s="4"/>
      <c r="R206" s="4"/>
      <c r="W206" s="4"/>
      <c r="AB206" s="4"/>
      <c r="AG206" s="4"/>
      <c r="AL206" s="4"/>
      <c r="AQ206" s="4"/>
    </row>
    <row r="207" spans="8:43" s="1" customFormat="1" ht="53.45" customHeight="1">
      <c r="H207" s="4"/>
      <c r="M207" s="4"/>
      <c r="R207" s="4"/>
      <c r="W207" s="4"/>
      <c r="AB207" s="4"/>
      <c r="AG207" s="4"/>
      <c r="AL207" s="4"/>
      <c r="AQ207" s="4"/>
    </row>
    <row r="208" spans="8:43" s="1" customFormat="1" ht="53.45" customHeight="1">
      <c r="H208" s="4"/>
      <c r="M208" s="4"/>
      <c r="R208" s="4"/>
      <c r="W208" s="4"/>
      <c r="AB208" s="4"/>
      <c r="AG208" s="4"/>
      <c r="AL208" s="4"/>
      <c r="AQ208" s="4"/>
    </row>
    <row r="209" spans="8:43" s="1" customFormat="1" ht="53.45" customHeight="1">
      <c r="H209" s="4"/>
      <c r="M209" s="4"/>
      <c r="R209" s="4"/>
      <c r="W209" s="4"/>
      <c r="AB209" s="4"/>
      <c r="AG209" s="4"/>
      <c r="AL209" s="4"/>
      <c r="AQ209" s="4"/>
    </row>
    <row r="210" spans="8:43" s="1" customFormat="1" ht="53.45" customHeight="1">
      <c r="H210" s="4"/>
      <c r="M210" s="4"/>
      <c r="R210" s="4"/>
      <c r="W210" s="4"/>
      <c r="AB210" s="4"/>
      <c r="AG210" s="4"/>
      <c r="AL210" s="4"/>
      <c r="AQ210" s="4"/>
    </row>
    <row r="211" spans="8:43" s="1" customFormat="1" ht="53.45" customHeight="1">
      <c r="H211" s="4"/>
      <c r="M211" s="4"/>
      <c r="R211" s="4"/>
      <c r="W211" s="4"/>
      <c r="AB211" s="4"/>
      <c r="AG211" s="4"/>
      <c r="AL211" s="4"/>
      <c r="AQ211" s="4"/>
    </row>
    <row r="212" spans="8:43" s="1" customFormat="1" ht="53.45" customHeight="1">
      <c r="H212" s="4"/>
      <c r="M212" s="4"/>
      <c r="R212" s="4"/>
      <c r="W212" s="4"/>
      <c r="AB212" s="4"/>
      <c r="AG212" s="4"/>
      <c r="AL212" s="4"/>
      <c r="AQ212" s="4"/>
    </row>
    <row r="213" spans="8:43" s="1" customFormat="1" ht="53.45" customHeight="1">
      <c r="H213" s="4"/>
      <c r="M213" s="4"/>
      <c r="R213" s="4"/>
      <c r="W213" s="4"/>
      <c r="AB213" s="4"/>
      <c r="AG213" s="4"/>
      <c r="AL213" s="4"/>
      <c r="AQ213" s="4"/>
    </row>
    <row r="214" spans="8:43" s="1" customFormat="1" ht="53.45" customHeight="1">
      <c r="H214" s="4"/>
      <c r="M214" s="4"/>
      <c r="R214" s="4"/>
      <c r="W214" s="4"/>
      <c r="AB214" s="4"/>
      <c r="AG214" s="4"/>
      <c r="AL214" s="4"/>
      <c r="AQ214" s="4"/>
    </row>
    <row r="215" spans="8:43" s="1" customFormat="1" ht="53.45" customHeight="1">
      <c r="H215" s="4"/>
      <c r="M215" s="4"/>
      <c r="R215" s="4"/>
      <c r="W215" s="4"/>
      <c r="AB215" s="4"/>
      <c r="AG215" s="4"/>
      <c r="AL215" s="4"/>
      <c r="AQ215" s="4"/>
    </row>
    <row r="216" spans="8:43" s="1" customFormat="1" ht="53.45" customHeight="1">
      <c r="H216" s="4"/>
      <c r="M216" s="4"/>
      <c r="R216" s="4"/>
      <c r="W216" s="4"/>
      <c r="AB216" s="4"/>
      <c r="AG216" s="4"/>
      <c r="AL216" s="4"/>
      <c r="AQ216" s="4"/>
    </row>
    <row r="217" spans="8:43" s="1" customFormat="1" ht="53.45" customHeight="1">
      <c r="H217" s="4"/>
      <c r="M217" s="4"/>
      <c r="R217" s="4"/>
      <c r="W217" s="4"/>
      <c r="AB217" s="4"/>
      <c r="AG217" s="4"/>
      <c r="AL217" s="4"/>
      <c r="AQ217" s="4"/>
    </row>
    <row r="218" spans="8:43" s="1" customFormat="1" ht="53.45" customHeight="1">
      <c r="H218" s="4"/>
      <c r="M218" s="4"/>
      <c r="R218" s="4"/>
      <c r="W218" s="4"/>
      <c r="AB218" s="4"/>
      <c r="AG218" s="4"/>
      <c r="AL218" s="4"/>
      <c r="AQ218" s="4"/>
    </row>
    <row r="219" spans="8:43" s="1" customFormat="1" ht="53.45" customHeight="1">
      <c r="H219" s="4"/>
      <c r="M219" s="4"/>
      <c r="R219" s="4"/>
      <c r="W219" s="4"/>
      <c r="AB219" s="4"/>
      <c r="AG219" s="4"/>
      <c r="AL219" s="4"/>
      <c r="AQ219" s="4"/>
    </row>
    <row r="220" spans="8:43" s="1" customFormat="1" ht="53.45" customHeight="1">
      <c r="H220" s="4"/>
      <c r="M220" s="4"/>
      <c r="R220" s="4"/>
      <c r="W220" s="4"/>
      <c r="AB220" s="4"/>
      <c r="AG220" s="4"/>
      <c r="AL220" s="4"/>
      <c r="AQ220" s="4"/>
    </row>
    <row r="221" spans="8:43" s="1" customFormat="1" ht="53.45" customHeight="1">
      <c r="H221" s="4"/>
      <c r="M221" s="4"/>
      <c r="R221" s="4"/>
      <c r="W221" s="4"/>
      <c r="AB221" s="4"/>
      <c r="AG221" s="4"/>
      <c r="AL221" s="4"/>
      <c r="AQ221" s="4"/>
    </row>
    <row r="222" spans="8:43" s="1" customFormat="1" ht="53.45" customHeight="1">
      <c r="H222" s="4"/>
      <c r="M222" s="4"/>
      <c r="R222" s="4"/>
      <c r="W222" s="4"/>
      <c r="AB222" s="4"/>
      <c r="AG222" s="4"/>
      <c r="AL222" s="4"/>
      <c r="AQ222" s="4"/>
    </row>
    <row r="223" spans="8:43" s="1" customFormat="1" ht="53.45" customHeight="1">
      <c r="H223" s="4"/>
      <c r="M223" s="4"/>
      <c r="R223" s="4"/>
      <c r="W223" s="4"/>
      <c r="AB223" s="4"/>
      <c r="AG223" s="4"/>
      <c r="AL223" s="4"/>
      <c r="AQ223" s="4"/>
    </row>
    <row r="224" spans="8:43" s="1" customFormat="1" ht="53.45" customHeight="1">
      <c r="H224" s="4"/>
      <c r="M224" s="4"/>
      <c r="R224" s="4"/>
      <c r="W224" s="4"/>
      <c r="AB224" s="4"/>
      <c r="AG224" s="4"/>
      <c r="AL224" s="4"/>
      <c r="AQ224" s="4"/>
    </row>
    <row r="225" spans="8:43" s="1" customFormat="1" ht="53.45" customHeight="1">
      <c r="H225" s="4"/>
      <c r="M225" s="4"/>
      <c r="R225" s="4"/>
      <c r="W225" s="4"/>
      <c r="AB225" s="4"/>
      <c r="AG225" s="4"/>
      <c r="AL225" s="4"/>
      <c r="AQ225" s="4"/>
    </row>
    <row r="226" spans="8:43" s="1" customFormat="1" ht="53.45" customHeight="1">
      <c r="H226" s="4"/>
      <c r="M226" s="4"/>
      <c r="R226" s="4"/>
      <c r="W226" s="4"/>
      <c r="AB226" s="4"/>
      <c r="AG226" s="4"/>
      <c r="AL226" s="4"/>
      <c r="AQ226" s="4"/>
    </row>
    <row r="227" spans="8:43" s="1" customFormat="1" ht="53.45" customHeight="1">
      <c r="H227" s="4"/>
      <c r="M227" s="4"/>
      <c r="R227" s="4"/>
      <c r="W227" s="4"/>
      <c r="AB227" s="4"/>
      <c r="AG227" s="4"/>
      <c r="AL227" s="4"/>
      <c r="AQ227" s="4"/>
    </row>
    <row r="228" spans="8:43" s="1" customFormat="1" ht="53.45" customHeight="1">
      <c r="H228" s="4"/>
      <c r="M228" s="4"/>
      <c r="R228" s="4"/>
      <c r="W228" s="4"/>
      <c r="AB228" s="4"/>
      <c r="AG228" s="4"/>
      <c r="AL228" s="4"/>
      <c r="AQ228" s="4"/>
    </row>
    <row r="229" spans="8:43" s="1" customFormat="1" ht="53.45" customHeight="1">
      <c r="H229" s="4"/>
      <c r="M229" s="4"/>
      <c r="R229" s="4"/>
      <c r="W229" s="4"/>
      <c r="AB229" s="4"/>
      <c r="AG229" s="4"/>
      <c r="AL229" s="4"/>
      <c r="AQ229" s="4"/>
    </row>
    <row r="230" spans="8:43" s="1" customFormat="1" ht="53.45" customHeight="1">
      <c r="H230" s="4"/>
      <c r="M230" s="4"/>
      <c r="R230" s="4"/>
      <c r="W230" s="4"/>
      <c r="AB230" s="4"/>
      <c r="AG230" s="4"/>
      <c r="AL230" s="4"/>
      <c r="AQ230" s="4"/>
    </row>
    <row r="231" spans="8:43" s="1" customFormat="1" ht="53.45" customHeight="1">
      <c r="H231" s="4"/>
      <c r="M231" s="4"/>
      <c r="R231" s="4"/>
      <c r="W231" s="4"/>
      <c r="AB231" s="4"/>
      <c r="AG231" s="4"/>
      <c r="AL231" s="4"/>
      <c r="AQ231" s="4"/>
    </row>
    <row r="232" spans="8:43" s="1" customFormat="1" ht="53.45" customHeight="1">
      <c r="H232" s="4"/>
      <c r="M232" s="4"/>
      <c r="R232" s="4"/>
      <c r="W232" s="4"/>
      <c r="AB232" s="4"/>
      <c r="AG232" s="4"/>
      <c r="AL232" s="4"/>
      <c r="AQ232" s="4"/>
    </row>
    <row r="233" spans="8:43" s="1" customFormat="1" ht="53.45" customHeight="1">
      <c r="H233" s="4"/>
      <c r="M233" s="4"/>
      <c r="R233" s="4"/>
      <c r="W233" s="4"/>
      <c r="AB233" s="4"/>
      <c r="AG233" s="4"/>
      <c r="AL233" s="4"/>
      <c r="AQ233" s="4"/>
    </row>
    <row r="234" spans="8:43" s="1" customFormat="1" ht="53.45" customHeight="1">
      <c r="H234" s="4"/>
      <c r="M234" s="4"/>
      <c r="R234" s="4"/>
      <c r="W234" s="4"/>
      <c r="AB234" s="4"/>
      <c r="AG234" s="4"/>
      <c r="AL234" s="4"/>
      <c r="AQ234" s="4"/>
    </row>
    <row r="235" spans="8:43" s="1" customFormat="1" ht="53.45" customHeight="1">
      <c r="H235" s="4"/>
      <c r="M235" s="4"/>
      <c r="R235" s="4"/>
      <c r="W235" s="4"/>
      <c r="AB235" s="4"/>
      <c r="AG235" s="4"/>
      <c r="AL235" s="4"/>
      <c r="AQ235" s="4"/>
    </row>
    <row r="236" spans="8:43" s="1" customFormat="1" ht="53.45" customHeight="1">
      <c r="H236" s="4"/>
      <c r="M236" s="4"/>
      <c r="R236" s="4"/>
      <c r="W236" s="4"/>
      <c r="AB236" s="4"/>
      <c r="AG236" s="4"/>
      <c r="AL236" s="4"/>
      <c r="AQ236" s="4"/>
    </row>
    <row r="237" spans="8:43" s="1" customFormat="1" ht="53.45" customHeight="1">
      <c r="H237" s="4"/>
      <c r="M237" s="4"/>
      <c r="R237" s="4"/>
      <c r="W237" s="4"/>
      <c r="AB237" s="4"/>
      <c r="AG237" s="4"/>
      <c r="AL237" s="4"/>
      <c r="AQ237" s="4"/>
    </row>
    <row r="238" spans="8:43" s="1" customFormat="1" ht="53.45" customHeight="1">
      <c r="H238" s="4"/>
      <c r="M238" s="4"/>
      <c r="R238" s="4"/>
      <c r="W238" s="4"/>
      <c r="AB238" s="4"/>
      <c r="AG238" s="4"/>
      <c r="AL238" s="4"/>
      <c r="AQ238" s="4"/>
    </row>
    <row r="239" spans="8:43" s="1" customFormat="1" ht="53.45" customHeight="1">
      <c r="H239" s="4"/>
      <c r="M239" s="4"/>
      <c r="R239" s="4"/>
      <c r="W239" s="4"/>
      <c r="AB239" s="4"/>
      <c r="AG239" s="4"/>
      <c r="AL239" s="4"/>
      <c r="AQ239" s="4"/>
    </row>
    <row r="240" spans="8:43" s="1" customFormat="1" ht="53.45" customHeight="1">
      <c r="H240" s="4"/>
      <c r="M240" s="4"/>
      <c r="R240" s="4"/>
      <c r="W240" s="4"/>
      <c r="AB240" s="4"/>
      <c r="AG240" s="4"/>
      <c r="AL240" s="4"/>
      <c r="AQ240" s="4"/>
    </row>
    <row r="241" spans="8:43" s="1" customFormat="1" ht="53.45" customHeight="1">
      <c r="H241" s="4"/>
      <c r="M241" s="4"/>
      <c r="R241" s="4"/>
      <c r="W241" s="4"/>
      <c r="AB241" s="4"/>
      <c r="AG241" s="4"/>
      <c r="AL241" s="4"/>
      <c r="AQ241" s="4"/>
    </row>
    <row r="242" spans="8:43" s="1" customFormat="1" ht="53.45" customHeight="1">
      <c r="H242" s="4"/>
      <c r="M242" s="4"/>
      <c r="R242" s="4"/>
      <c r="W242" s="4"/>
      <c r="AB242" s="4"/>
      <c r="AG242" s="4"/>
      <c r="AL242" s="4"/>
      <c r="AQ242" s="4"/>
    </row>
    <row r="243" spans="8:43" s="1" customFormat="1" ht="53.45" customHeight="1">
      <c r="H243" s="4"/>
      <c r="M243" s="4"/>
      <c r="R243" s="4"/>
      <c r="W243" s="4"/>
      <c r="AB243" s="4"/>
      <c r="AG243" s="4"/>
      <c r="AL243" s="4"/>
      <c r="AQ243" s="4"/>
    </row>
    <row r="244" spans="8:43" s="1" customFormat="1" ht="53.45" customHeight="1">
      <c r="H244" s="4"/>
      <c r="M244" s="4"/>
      <c r="R244" s="4"/>
      <c r="W244" s="4"/>
      <c r="AB244" s="4"/>
      <c r="AG244" s="4"/>
      <c r="AL244" s="4"/>
      <c r="AQ244" s="4"/>
    </row>
    <row r="245" spans="8:43" s="1" customFormat="1" ht="53.45" customHeight="1">
      <c r="H245" s="4"/>
      <c r="M245" s="4"/>
      <c r="R245" s="4"/>
      <c r="W245" s="4"/>
      <c r="AB245" s="4"/>
      <c r="AG245" s="4"/>
      <c r="AL245" s="4"/>
      <c r="AQ245" s="4"/>
    </row>
    <row r="246" spans="8:43" s="1" customFormat="1" ht="53.45" customHeight="1">
      <c r="H246" s="4"/>
      <c r="M246" s="4"/>
      <c r="R246" s="4"/>
      <c r="W246" s="4"/>
      <c r="AB246" s="4"/>
      <c r="AG246" s="4"/>
      <c r="AL246" s="4"/>
      <c r="AQ246" s="4"/>
    </row>
    <row r="247" spans="8:43" s="1" customFormat="1" ht="53.45" customHeight="1">
      <c r="H247" s="4"/>
      <c r="M247" s="4"/>
      <c r="R247" s="4"/>
      <c r="W247" s="4"/>
      <c r="AB247" s="4"/>
      <c r="AG247" s="4"/>
      <c r="AL247" s="4"/>
      <c r="AQ247" s="4"/>
    </row>
    <row r="248" spans="8:43" s="1" customFormat="1" ht="53.45" customHeight="1">
      <c r="H248" s="4"/>
      <c r="M248" s="4"/>
      <c r="R248" s="4"/>
      <c r="W248" s="4"/>
      <c r="AB248" s="4"/>
      <c r="AG248" s="4"/>
      <c r="AL248" s="4"/>
      <c r="AQ248" s="4"/>
    </row>
    <row r="249" spans="8:43" s="1" customFormat="1" ht="53.45" customHeight="1">
      <c r="H249" s="4"/>
      <c r="M249" s="4"/>
      <c r="R249" s="4"/>
      <c r="W249" s="4"/>
      <c r="AB249" s="4"/>
      <c r="AG249" s="4"/>
      <c r="AL249" s="4"/>
      <c r="AQ249" s="4"/>
    </row>
    <row r="250" spans="8:43" s="1" customFormat="1" ht="53.45" customHeight="1">
      <c r="H250" s="4"/>
      <c r="M250" s="4"/>
      <c r="R250" s="4"/>
      <c r="W250" s="4"/>
      <c r="AB250" s="4"/>
      <c r="AG250" s="4"/>
      <c r="AL250" s="4"/>
      <c r="AQ250" s="4"/>
    </row>
    <row r="251" spans="8:43" s="1" customFormat="1" ht="53.45" customHeight="1">
      <c r="H251" s="4"/>
      <c r="M251" s="4"/>
      <c r="R251" s="4"/>
      <c r="W251" s="4"/>
      <c r="AB251" s="4"/>
      <c r="AG251" s="4"/>
      <c r="AL251" s="4"/>
      <c r="AQ251" s="4"/>
    </row>
    <row r="252" spans="8:43" s="1" customFormat="1" ht="53.45" customHeight="1">
      <c r="H252" s="4"/>
      <c r="M252" s="4"/>
      <c r="R252" s="4"/>
      <c r="W252" s="4"/>
      <c r="AB252" s="4"/>
      <c r="AG252" s="4"/>
      <c r="AL252" s="4"/>
      <c r="AQ252" s="4"/>
    </row>
    <row r="253" spans="8:43" s="1" customFormat="1" ht="53.45" customHeight="1">
      <c r="H253" s="4"/>
      <c r="M253" s="4"/>
      <c r="R253" s="4"/>
      <c r="W253" s="4"/>
      <c r="AB253" s="4"/>
      <c r="AG253" s="4"/>
      <c r="AL253" s="4"/>
      <c r="AQ253" s="4"/>
    </row>
    <row r="254" spans="8:43" s="1" customFormat="1" ht="53.45" customHeight="1">
      <c r="H254" s="4"/>
      <c r="M254" s="4"/>
      <c r="R254" s="4"/>
      <c r="W254" s="4"/>
      <c r="AB254" s="4"/>
      <c r="AG254" s="4"/>
      <c r="AL254" s="4"/>
      <c r="AQ254" s="4"/>
    </row>
    <row r="255" spans="8:43" s="1" customFormat="1" ht="53.45" customHeight="1">
      <c r="H255" s="4"/>
      <c r="M255" s="4"/>
      <c r="R255" s="4"/>
      <c r="W255" s="4"/>
      <c r="AB255" s="4"/>
      <c r="AG255" s="4"/>
      <c r="AL255" s="4"/>
      <c r="AQ255" s="4"/>
    </row>
    <row r="256" spans="8:43" s="1" customFormat="1" ht="53.45" customHeight="1">
      <c r="H256" s="4"/>
      <c r="M256" s="4"/>
      <c r="R256" s="4"/>
      <c r="W256" s="4"/>
      <c r="AB256" s="4"/>
      <c r="AG256" s="4"/>
      <c r="AL256" s="4"/>
      <c r="AQ256" s="4"/>
    </row>
    <row r="257" spans="8:43" s="1" customFormat="1" ht="53.45" customHeight="1">
      <c r="H257" s="4"/>
      <c r="M257" s="4"/>
      <c r="R257" s="4"/>
      <c r="W257" s="4"/>
      <c r="AB257" s="4"/>
      <c r="AG257" s="4"/>
      <c r="AL257" s="4"/>
      <c r="AQ257" s="4"/>
    </row>
    <row r="258" spans="8:43" s="1" customFormat="1" ht="53.45" customHeight="1">
      <c r="H258" s="4"/>
      <c r="M258" s="4"/>
      <c r="R258" s="4"/>
      <c r="W258" s="4"/>
      <c r="AB258" s="4"/>
      <c r="AG258" s="4"/>
      <c r="AL258" s="4"/>
      <c r="AQ258" s="4"/>
    </row>
    <row r="259" spans="8:43" s="1" customFormat="1" ht="53.45" customHeight="1">
      <c r="H259" s="4"/>
      <c r="M259" s="4"/>
      <c r="R259" s="4"/>
      <c r="W259" s="4"/>
      <c r="AB259" s="4"/>
      <c r="AG259" s="4"/>
      <c r="AL259" s="4"/>
      <c r="AQ259" s="4"/>
    </row>
    <row r="260" spans="8:43" s="1" customFormat="1" ht="53.45" customHeight="1">
      <c r="H260" s="4"/>
      <c r="M260" s="4"/>
      <c r="R260" s="4"/>
      <c r="W260" s="4"/>
      <c r="AB260" s="4"/>
      <c r="AG260" s="4"/>
      <c r="AL260" s="4"/>
      <c r="AQ260" s="4"/>
    </row>
    <row r="261" spans="8:43" s="1" customFormat="1" ht="53.45" customHeight="1">
      <c r="H261" s="4"/>
      <c r="M261" s="4"/>
      <c r="R261" s="4"/>
      <c r="W261" s="4"/>
      <c r="AB261" s="4"/>
      <c r="AG261" s="4"/>
      <c r="AL261" s="4"/>
      <c r="AQ261" s="4"/>
    </row>
    <row r="262" spans="8:43" s="1" customFormat="1" ht="53.45" customHeight="1">
      <c r="H262" s="4"/>
      <c r="M262" s="4"/>
      <c r="R262" s="4"/>
      <c r="W262" s="4"/>
      <c r="AB262" s="4"/>
      <c r="AG262" s="4"/>
      <c r="AL262" s="4"/>
      <c r="AQ262" s="4"/>
    </row>
    <row r="263" spans="8:43" s="1" customFormat="1" ht="53.45" customHeight="1">
      <c r="H263" s="4"/>
      <c r="M263" s="4"/>
      <c r="R263" s="4"/>
      <c r="W263" s="4"/>
      <c r="AB263" s="4"/>
      <c r="AG263" s="4"/>
      <c r="AL263" s="4"/>
      <c r="AQ263" s="4"/>
    </row>
    <row r="264" spans="8:43" s="1" customFormat="1" ht="53.45" customHeight="1">
      <c r="H264" s="4"/>
      <c r="M264" s="4"/>
      <c r="R264" s="4"/>
      <c r="W264" s="4"/>
      <c r="AB264" s="4"/>
      <c r="AG264" s="4"/>
      <c r="AL264" s="4"/>
      <c r="AQ264" s="4"/>
    </row>
    <row r="265" spans="8:43" s="1" customFormat="1" ht="53.45" customHeight="1">
      <c r="H265" s="4"/>
      <c r="M265" s="4"/>
      <c r="R265" s="4"/>
      <c r="W265" s="4"/>
      <c r="AB265" s="4"/>
      <c r="AG265" s="4"/>
      <c r="AL265" s="4"/>
      <c r="AQ265" s="4"/>
    </row>
    <row r="266" spans="8:43" s="1" customFormat="1" ht="53.45" customHeight="1">
      <c r="H266" s="4"/>
      <c r="M266" s="4"/>
      <c r="R266" s="4"/>
      <c r="W266" s="4"/>
      <c r="AB266" s="4"/>
      <c r="AG266" s="4"/>
      <c r="AL266" s="4"/>
      <c r="AQ266" s="4"/>
    </row>
    <row r="267" spans="8:43" s="1" customFormat="1" ht="53.45" customHeight="1">
      <c r="H267" s="4"/>
      <c r="M267" s="4"/>
      <c r="R267" s="4"/>
      <c r="W267" s="4"/>
      <c r="AB267" s="4"/>
      <c r="AG267" s="4"/>
      <c r="AL267" s="4"/>
      <c r="AQ267" s="4"/>
    </row>
    <row r="268" spans="8:43" s="1" customFormat="1" ht="53.45" customHeight="1">
      <c r="H268" s="4"/>
      <c r="M268" s="4"/>
      <c r="R268" s="4"/>
      <c r="W268" s="4"/>
      <c r="AB268" s="4"/>
      <c r="AG268" s="4"/>
      <c r="AL268" s="4"/>
      <c r="AQ268" s="4"/>
    </row>
    <row r="269" spans="8:43" s="1" customFormat="1" ht="53.45" customHeight="1">
      <c r="H269" s="4"/>
      <c r="M269" s="4"/>
      <c r="R269" s="4"/>
      <c r="W269" s="4"/>
      <c r="AB269" s="4"/>
      <c r="AG269" s="4"/>
      <c r="AL269" s="4"/>
      <c r="AQ269" s="4"/>
    </row>
    <row r="270" spans="8:43" s="1" customFormat="1" ht="53.45" customHeight="1">
      <c r="H270" s="4"/>
      <c r="M270" s="4"/>
      <c r="R270" s="4"/>
      <c r="W270" s="4"/>
      <c r="AB270" s="4"/>
      <c r="AG270" s="4"/>
      <c r="AL270" s="4"/>
      <c r="AQ270" s="4"/>
    </row>
    <row r="271" spans="8:43" s="1" customFormat="1" ht="53.45" customHeight="1">
      <c r="H271" s="4"/>
      <c r="M271" s="4"/>
      <c r="R271" s="4"/>
      <c r="W271" s="4"/>
      <c r="AB271" s="4"/>
      <c r="AG271" s="4"/>
      <c r="AL271" s="4"/>
      <c r="AQ271" s="4"/>
    </row>
    <row r="272" spans="8:43" s="1" customFormat="1" ht="53.45" customHeight="1">
      <c r="H272" s="4"/>
      <c r="M272" s="4"/>
      <c r="R272" s="4"/>
      <c r="W272" s="4"/>
      <c r="AB272" s="4"/>
      <c r="AG272" s="4"/>
      <c r="AL272" s="4"/>
      <c r="AQ272" s="4"/>
    </row>
    <row r="273" spans="8:43" s="1" customFormat="1" ht="53.45" customHeight="1">
      <c r="H273" s="4"/>
      <c r="M273" s="4"/>
      <c r="R273" s="4"/>
      <c r="W273" s="4"/>
      <c r="AB273" s="4"/>
      <c r="AG273" s="4"/>
      <c r="AL273" s="4"/>
      <c r="AQ273" s="4"/>
    </row>
    <row r="274" spans="8:43" s="1" customFormat="1" ht="53.45" customHeight="1">
      <c r="H274" s="4"/>
      <c r="M274" s="4"/>
      <c r="R274" s="4"/>
      <c r="W274" s="4"/>
      <c r="AB274" s="4"/>
      <c r="AG274" s="4"/>
      <c r="AL274" s="4"/>
      <c r="AQ274" s="4"/>
    </row>
    <row r="275" spans="8:43" s="1" customFormat="1" ht="53.45" customHeight="1">
      <c r="H275" s="4"/>
      <c r="M275" s="4"/>
      <c r="R275" s="4"/>
      <c r="W275" s="4"/>
      <c r="AB275" s="4"/>
      <c r="AG275" s="4"/>
      <c r="AL275" s="4"/>
      <c r="AQ275" s="4"/>
    </row>
    <row r="276" spans="8:43" s="1" customFormat="1" ht="53.45" customHeight="1">
      <c r="H276" s="4"/>
      <c r="M276" s="4"/>
      <c r="R276" s="4"/>
      <c r="W276" s="4"/>
      <c r="AB276" s="4"/>
      <c r="AG276" s="4"/>
      <c r="AL276" s="4"/>
      <c r="AQ276" s="4"/>
    </row>
    <row r="277" spans="8:43" s="1" customFormat="1" ht="53.45" customHeight="1">
      <c r="H277" s="4"/>
      <c r="M277" s="4"/>
      <c r="R277" s="4"/>
      <c r="W277" s="4"/>
      <c r="AB277" s="4"/>
      <c r="AG277" s="4"/>
      <c r="AL277" s="4"/>
      <c r="AQ277" s="4"/>
    </row>
    <row r="278" spans="8:43" s="1" customFormat="1" ht="53.45" customHeight="1">
      <c r="H278" s="4"/>
      <c r="M278" s="4"/>
      <c r="R278" s="4"/>
      <c r="W278" s="4"/>
      <c r="AB278" s="4"/>
      <c r="AG278" s="4"/>
      <c r="AL278" s="4"/>
      <c r="AQ278" s="4"/>
    </row>
    <row r="279" spans="8:43" s="1" customFormat="1" ht="53.45" customHeight="1">
      <c r="H279" s="4"/>
      <c r="M279" s="4"/>
      <c r="R279" s="4"/>
      <c r="W279" s="4"/>
      <c r="AB279" s="4"/>
      <c r="AG279" s="4"/>
      <c r="AL279" s="4"/>
      <c r="AQ279" s="4"/>
    </row>
    <row r="280" spans="8:43" s="1" customFormat="1" ht="53.45" customHeight="1">
      <c r="H280" s="4"/>
      <c r="M280" s="4"/>
      <c r="R280" s="4"/>
      <c r="W280" s="4"/>
      <c r="AB280" s="4"/>
      <c r="AG280" s="4"/>
      <c r="AL280" s="4"/>
      <c r="AQ280" s="4"/>
    </row>
    <row r="281" spans="8:43" s="1" customFormat="1" ht="53.45" customHeight="1">
      <c r="H281" s="4"/>
      <c r="M281" s="4"/>
      <c r="R281" s="4"/>
      <c r="W281" s="4"/>
      <c r="AB281" s="4"/>
      <c r="AG281" s="4"/>
      <c r="AL281" s="4"/>
      <c r="AQ281" s="4"/>
    </row>
    <row r="282" spans="8:43" s="1" customFormat="1" ht="53.45" customHeight="1">
      <c r="H282" s="4"/>
      <c r="M282" s="4"/>
      <c r="R282" s="4"/>
      <c r="W282" s="4"/>
      <c r="AB282" s="4"/>
      <c r="AG282" s="4"/>
      <c r="AL282" s="4"/>
      <c r="AQ282" s="4"/>
    </row>
    <row r="283" spans="8:43" s="1" customFormat="1" ht="53.45" customHeight="1">
      <c r="H283" s="4"/>
      <c r="M283" s="4"/>
      <c r="R283" s="4"/>
      <c r="W283" s="4"/>
      <c r="AB283" s="4"/>
      <c r="AG283" s="4"/>
      <c r="AL283" s="4"/>
      <c r="AQ283" s="4"/>
    </row>
    <row r="284" spans="8:43" s="1" customFormat="1" ht="53.45" customHeight="1">
      <c r="H284" s="4"/>
      <c r="M284" s="4"/>
      <c r="R284" s="4"/>
      <c r="W284" s="4"/>
      <c r="AB284" s="4"/>
      <c r="AG284" s="4"/>
      <c r="AL284" s="4"/>
      <c r="AQ284" s="4"/>
    </row>
    <row r="285" spans="8:43" s="1" customFormat="1" ht="53.45" customHeight="1">
      <c r="H285" s="4"/>
      <c r="M285" s="4"/>
      <c r="R285" s="4"/>
      <c r="W285" s="4"/>
      <c r="AB285" s="4"/>
      <c r="AG285" s="4"/>
      <c r="AL285" s="4"/>
      <c r="AQ285" s="4"/>
    </row>
    <row r="286" spans="8:43" s="1" customFormat="1" ht="53.45" customHeight="1">
      <c r="H286" s="4"/>
      <c r="M286" s="4"/>
      <c r="R286" s="4"/>
      <c r="W286" s="4"/>
      <c r="AB286" s="4"/>
      <c r="AG286" s="4"/>
      <c r="AL286" s="4"/>
      <c r="AQ286" s="4"/>
    </row>
    <row r="287" spans="8:43" s="1" customFormat="1" ht="53.45" customHeight="1">
      <c r="H287" s="4"/>
      <c r="M287" s="4"/>
      <c r="R287" s="4"/>
      <c r="W287" s="4"/>
      <c r="AB287" s="4"/>
      <c r="AG287" s="4"/>
      <c r="AL287" s="4"/>
      <c r="AQ287" s="4"/>
    </row>
    <row r="288" spans="8:43" s="1" customFormat="1" ht="53.45" customHeight="1">
      <c r="H288" s="4"/>
      <c r="M288" s="4"/>
      <c r="R288" s="4"/>
      <c r="W288" s="4"/>
      <c r="AB288" s="4"/>
      <c r="AG288" s="4"/>
      <c r="AL288" s="4"/>
      <c r="AQ288" s="4"/>
    </row>
    <row r="289" spans="8:43" s="1" customFormat="1" ht="53.45" customHeight="1">
      <c r="H289" s="4"/>
      <c r="M289" s="4"/>
      <c r="R289" s="4"/>
      <c r="W289" s="4"/>
      <c r="AB289" s="4"/>
      <c r="AG289" s="4"/>
      <c r="AL289" s="4"/>
      <c r="AQ289" s="4"/>
    </row>
    <row r="290" spans="8:43" s="1" customFormat="1" ht="53.45" customHeight="1">
      <c r="H290" s="4"/>
      <c r="M290" s="4"/>
      <c r="R290" s="4"/>
      <c r="W290" s="4"/>
      <c r="AB290" s="4"/>
      <c r="AG290" s="4"/>
      <c r="AL290" s="4"/>
      <c r="AQ290" s="4"/>
    </row>
    <row r="291" spans="8:43" s="1" customFormat="1" ht="53.45" customHeight="1">
      <c r="H291" s="4"/>
      <c r="M291" s="4"/>
      <c r="R291" s="4"/>
      <c r="W291" s="4"/>
      <c r="AB291" s="4"/>
      <c r="AG291" s="4"/>
      <c r="AL291" s="4"/>
      <c r="AQ291" s="4"/>
    </row>
    <row r="292" spans="8:43" s="1" customFormat="1" ht="53.45" customHeight="1">
      <c r="H292" s="4"/>
      <c r="M292" s="4"/>
      <c r="R292" s="4"/>
      <c r="W292" s="4"/>
      <c r="AB292" s="4"/>
      <c r="AG292" s="4"/>
      <c r="AL292" s="4"/>
      <c r="AQ292" s="4"/>
    </row>
    <row r="293" spans="8:43" s="1" customFormat="1" ht="53.45" customHeight="1">
      <c r="H293" s="4"/>
      <c r="M293" s="4"/>
      <c r="R293" s="4"/>
      <c r="W293" s="4"/>
      <c r="AB293" s="4"/>
      <c r="AG293" s="4"/>
      <c r="AL293" s="4"/>
      <c r="AQ293" s="4"/>
    </row>
    <row r="294" spans="8:43" s="1" customFormat="1" ht="53.45" customHeight="1">
      <c r="H294" s="4"/>
      <c r="M294" s="4"/>
      <c r="R294" s="4"/>
      <c r="W294" s="4"/>
      <c r="AB294" s="4"/>
      <c r="AG294" s="4"/>
      <c r="AL294" s="4"/>
      <c r="AQ294" s="4"/>
    </row>
    <row r="295" spans="8:43" s="1" customFormat="1" ht="53.45" customHeight="1">
      <c r="H295" s="4"/>
      <c r="M295" s="4"/>
      <c r="R295" s="4"/>
      <c r="W295" s="4"/>
      <c r="AB295" s="4"/>
      <c r="AG295" s="4"/>
      <c r="AL295" s="4"/>
      <c r="AQ295" s="4"/>
    </row>
    <row r="296" spans="8:43" s="1" customFormat="1" ht="53.45" customHeight="1">
      <c r="H296" s="4"/>
      <c r="M296" s="4"/>
      <c r="R296" s="4"/>
      <c r="W296" s="4"/>
      <c r="AB296" s="4"/>
      <c r="AG296" s="4"/>
      <c r="AL296" s="4"/>
      <c r="AQ296" s="4"/>
    </row>
    <row r="297" spans="8:43" s="1" customFormat="1" ht="53.45" customHeight="1">
      <c r="H297" s="4"/>
      <c r="M297" s="4"/>
      <c r="R297" s="4"/>
      <c r="W297" s="4"/>
      <c r="AB297" s="4"/>
      <c r="AG297" s="4"/>
      <c r="AL297" s="4"/>
      <c r="AQ297" s="4"/>
    </row>
    <row r="298" spans="8:43" s="1" customFormat="1" ht="53.45" customHeight="1">
      <c r="H298" s="4"/>
      <c r="M298" s="4"/>
      <c r="R298" s="4"/>
      <c r="W298" s="4"/>
      <c r="AB298" s="4"/>
      <c r="AG298" s="4"/>
      <c r="AL298" s="4"/>
      <c r="AQ298" s="4"/>
    </row>
    <row r="299" spans="8:43" s="1" customFormat="1" ht="53.45" customHeight="1">
      <c r="H299" s="4"/>
      <c r="M299" s="4"/>
      <c r="R299" s="4"/>
      <c r="W299" s="4"/>
      <c r="AB299" s="4"/>
      <c r="AG299" s="4"/>
      <c r="AL299" s="4"/>
      <c r="AQ299" s="4"/>
    </row>
    <row r="300" spans="8:43" s="1" customFormat="1" ht="53.45" customHeight="1">
      <c r="H300" s="4"/>
      <c r="M300" s="4"/>
      <c r="R300" s="4"/>
      <c r="W300" s="4"/>
      <c r="AB300" s="4"/>
      <c r="AG300" s="4"/>
      <c r="AL300" s="4"/>
      <c r="AQ300" s="4"/>
    </row>
    <row r="301" spans="8:43" s="1" customFormat="1" ht="53.45" customHeight="1">
      <c r="H301" s="4"/>
      <c r="M301" s="4"/>
      <c r="R301" s="4"/>
      <c r="W301" s="4"/>
      <c r="AB301" s="4"/>
      <c r="AG301" s="4"/>
      <c r="AL301" s="4"/>
      <c r="AQ301" s="4"/>
    </row>
    <row r="302" spans="8:43" s="1" customFormat="1" ht="53.45" customHeight="1">
      <c r="H302" s="4"/>
      <c r="M302" s="4"/>
      <c r="R302" s="4"/>
      <c r="W302" s="4"/>
      <c r="AB302" s="4"/>
      <c r="AG302" s="4"/>
      <c r="AL302" s="4"/>
      <c r="AQ302" s="4"/>
    </row>
    <row r="303" spans="8:43" s="1" customFormat="1" ht="53.45" customHeight="1">
      <c r="H303" s="4"/>
      <c r="M303" s="4"/>
      <c r="R303" s="4"/>
      <c r="W303" s="4"/>
      <c r="AB303" s="4"/>
      <c r="AG303" s="4"/>
      <c r="AL303" s="4"/>
      <c r="AQ303" s="4"/>
    </row>
    <row r="304" spans="8:43" s="1" customFormat="1" ht="53.45" customHeight="1">
      <c r="H304" s="4"/>
      <c r="M304" s="4"/>
      <c r="R304" s="4"/>
      <c r="W304" s="4"/>
      <c r="AB304" s="4"/>
      <c r="AG304" s="4"/>
      <c r="AL304" s="4"/>
      <c r="AQ304" s="4"/>
    </row>
    <row r="305" spans="8:43" s="1" customFormat="1" ht="53.45" customHeight="1">
      <c r="H305" s="4"/>
      <c r="M305" s="4"/>
      <c r="R305" s="4"/>
      <c r="W305" s="4"/>
      <c r="AB305" s="4"/>
      <c r="AG305" s="4"/>
      <c r="AL305" s="4"/>
      <c r="AQ305" s="4"/>
    </row>
    <row r="306" spans="8:43" s="1" customFormat="1" ht="53.45" customHeight="1">
      <c r="H306" s="4"/>
      <c r="M306" s="4"/>
      <c r="R306" s="4"/>
      <c r="W306" s="4"/>
      <c r="AB306" s="4"/>
      <c r="AG306" s="4"/>
      <c r="AL306" s="4"/>
      <c r="AQ306" s="4"/>
    </row>
    <row r="307" spans="8:43" s="1" customFormat="1" ht="53.45" customHeight="1">
      <c r="H307" s="4"/>
      <c r="M307" s="4"/>
      <c r="R307" s="4"/>
      <c r="W307" s="4"/>
      <c r="AB307" s="4"/>
      <c r="AG307" s="4"/>
      <c r="AL307" s="4"/>
      <c r="AQ307" s="4"/>
    </row>
    <row r="308" spans="8:43" s="1" customFormat="1" ht="53.45" customHeight="1">
      <c r="H308" s="4"/>
      <c r="M308" s="4"/>
      <c r="R308" s="4"/>
      <c r="W308" s="4"/>
      <c r="AB308" s="4"/>
      <c r="AG308" s="4"/>
      <c r="AL308" s="4"/>
      <c r="AQ308" s="4"/>
    </row>
    <row r="309" spans="8:43" s="1" customFormat="1" ht="53.45" customHeight="1">
      <c r="H309" s="4"/>
      <c r="M309" s="4"/>
      <c r="R309" s="4"/>
      <c r="W309" s="4"/>
      <c r="AB309" s="4"/>
      <c r="AG309" s="4"/>
      <c r="AL309" s="4"/>
      <c r="AQ309" s="4"/>
    </row>
    <row r="310" spans="8:43" s="1" customFormat="1" ht="53.45" customHeight="1">
      <c r="H310" s="4"/>
      <c r="M310" s="4"/>
      <c r="R310" s="4"/>
      <c r="W310" s="4"/>
      <c r="AB310" s="4"/>
      <c r="AG310" s="4"/>
      <c r="AL310" s="4"/>
      <c r="AQ310" s="4"/>
    </row>
    <row r="311" spans="8:43" s="1" customFormat="1" ht="53.45" customHeight="1">
      <c r="H311" s="4"/>
      <c r="M311" s="4"/>
      <c r="R311" s="4"/>
      <c r="W311" s="4"/>
      <c r="AB311" s="4"/>
      <c r="AG311" s="4"/>
      <c r="AL311" s="4"/>
      <c r="AQ311" s="4"/>
    </row>
    <row r="312" spans="8:43" s="1" customFormat="1" ht="53.45" customHeight="1">
      <c r="H312" s="4"/>
      <c r="M312" s="4"/>
      <c r="R312" s="4"/>
      <c r="W312" s="4"/>
      <c r="AB312" s="4"/>
      <c r="AG312" s="4"/>
      <c r="AL312" s="4"/>
      <c r="AQ312" s="4"/>
    </row>
    <row r="313" spans="8:43" s="1" customFormat="1" ht="53.45" customHeight="1">
      <c r="H313" s="4"/>
      <c r="M313" s="4"/>
      <c r="R313" s="4"/>
      <c r="W313" s="4"/>
      <c r="AB313" s="4"/>
      <c r="AG313" s="4"/>
      <c r="AL313" s="4"/>
      <c r="AQ313" s="4"/>
    </row>
    <row r="314" spans="8:43" s="1" customFormat="1" ht="53.45" customHeight="1">
      <c r="H314" s="4"/>
      <c r="M314" s="4"/>
      <c r="R314" s="4"/>
      <c r="W314" s="4"/>
      <c r="AB314" s="4"/>
      <c r="AG314" s="4"/>
      <c r="AL314" s="4"/>
      <c r="AQ314" s="4"/>
    </row>
    <row r="315" spans="8:43" s="1" customFormat="1" ht="53.45" customHeight="1">
      <c r="H315" s="4"/>
      <c r="M315" s="4"/>
      <c r="R315" s="4"/>
      <c r="W315" s="4"/>
      <c r="AB315" s="4"/>
      <c r="AG315" s="4"/>
      <c r="AL315" s="4"/>
      <c r="AQ315" s="4"/>
    </row>
    <row r="316" spans="8:43" s="1" customFormat="1" ht="53.45" customHeight="1">
      <c r="H316" s="4"/>
      <c r="M316" s="4"/>
      <c r="R316" s="4"/>
      <c r="W316" s="4"/>
      <c r="AB316" s="4"/>
      <c r="AG316" s="4"/>
      <c r="AL316" s="4"/>
      <c r="AQ316" s="4"/>
    </row>
    <row r="317" spans="8:43" s="1" customFormat="1" ht="53.45" customHeight="1">
      <c r="H317" s="4"/>
      <c r="M317" s="4"/>
      <c r="R317" s="4"/>
      <c r="W317" s="4"/>
      <c r="AB317" s="4"/>
      <c r="AG317" s="4"/>
      <c r="AL317" s="4"/>
      <c r="AQ317" s="4"/>
    </row>
    <row r="318" spans="8:43" s="1" customFormat="1" ht="53.45" customHeight="1">
      <c r="H318" s="4"/>
      <c r="M318" s="4"/>
      <c r="R318" s="4"/>
      <c r="W318" s="4"/>
      <c r="AB318" s="4"/>
      <c r="AG318" s="4"/>
      <c r="AL318" s="4"/>
      <c r="AQ318" s="4"/>
    </row>
    <row r="319" spans="8:43" s="1" customFormat="1" ht="53.45" customHeight="1">
      <c r="H319" s="4"/>
      <c r="M319" s="4"/>
      <c r="R319" s="4"/>
      <c r="W319" s="4"/>
      <c r="AB319" s="4"/>
      <c r="AG319" s="4"/>
      <c r="AL319" s="4"/>
      <c r="AQ319" s="4"/>
    </row>
    <row r="320" spans="8:43" s="1" customFormat="1" ht="53.45" customHeight="1">
      <c r="H320" s="4"/>
      <c r="M320" s="4"/>
      <c r="R320" s="4"/>
      <c r="W320" s="4"/>
      <c r="AB320" s="4"/>
      <c r="AG320" s="4"/>
      <c r="AL320" s="4"/>
      <c r="AQ320" s="4"/>
    </row>
    <row r="321" spans="8:43" s="1" customFormat="1" ht="53.45" customHeight="1">
      <c r="H321" s="4"/>
      <c r="M321" s="4"/>
      <c r="R321" s="4"/>
      <c r="W321" s="4"/>
      <c r="AB321" s="4"/>
      <c r="AG321" s="4"/>
      <c r="AL321" s="4"/>
      <c r="AQ321" s="4"/>
    </row>
    <row r="322" spans="8:43" s="1" customFormat="1" ht="53.45" customHeight="1">
      <c r="H322" s="4"/>
      <c r="M322" s="4"/>
      <c r="R322" s="4"/>
      <c r="W322" s="4"/>
      <c r="AB322" s="4"/>
      <c r="AG322" s="4"/>
      <c r="AL322" s="4"/>
      <c r="AQ322" s="4"/>
    </row>
    <row r="323" spans="8:43" s="1" customFormat="1" ht="53.45" customHeight="1">
      <c r="H323" s="4"/>
      <c r="M323" s="4"/>
      <c r="R323" s="4"/>
      <c r="W323" s="4"/>
      <c r="AB323" s="4"/>
      <c r="AG323" s="4"/>
      <c r="AL323" s="4"/>
      <c r="AQ323" s="4"/>
    </row>
    <row r="324" spans="8:43" s="1" customFormat="1" ht="53.45" customHeight="1">
      <c r="H324" s="4"/>
      <c r="M324" s="4"/>
      <c r="R324" s="4"/>
      <c r="W324" s="4"/>
      <c r="AB324" s="4"/>
      <c r="AG324" s="4"/>
      <c r="AL324" s="4"/>
      <c r="AQ324" s="4"/>
    </row>
    <row r="325" spans="8:43" s="1" customFormat="1" ht="53.45" customHeight="1">
      <c r="H325" s="4"/>
      <c r="M325" s="4"/>
      <c r="R325" s="4"/>
      <c r="W325" s="4"/>
      <c r="AB325" s="4"/>
      <c r="AG325" s="4"/>
      <c r="AL325" s="4"/>
      <c r="AQ325" s="4"/>
    </row>
    <row r="326" spans="8:43" s="1" customFormat="1" ht="53.45" customHeight="1">
      <c r="H326" s="4"/>
      <c r="M326" s="4"/>
      <c r="R326" s="4"/>
      <c r="W326" s="4"/>
      <c r="AB326" s="4"/>
      <c r="AG326" s="4"/>
      <c r="AL326" s="4"/>
      <c r="AQ326" s="4"/>
    </row>
    <row r="327" spans="8:43" s="1" customFormat="1" ht="53.45" customHeight="1">
      <c r="H327" s="4"/>
      <c r="M327" s="4"/>
      <c r="R327" s="4"/>
      <c r="W327" s="4"/>
      <c r="AB327" s="4"/>
      <c r="AG327" s="4"/>
      <c r="AL327" s="4"/>
      <c r="AQ327" s="4"/>
    </row>
    <row r="328" spans="8:43" s="1" customFormat="1" ht="53.45" customHeight="1">
      <c r="H328" s="4"/>
      <c r="M328" s="4"/>
      <c r="R328" s="4"/>
      <c r="W328" s="4"/>
      <c r="AB328" s="4"/>
      <c r="AG328" s="4"/>
      <c r="AL328" s="4"/>
      <c r="AQ328" s="4"/>
    </row>
    <row r="329" spans="8:43" s="1" customFormat="1" ht="53.45" customHeight="1">
      <c r="H329" s="4"/>
      <c r="M329" s="4"/>
      <c r="R329" s="4"/>
      <c r="W329" s="4"/>
      <c r="AB329" s="4"/>
      <c r="AG329" s="4"/>
      <c r="AL329" s="4"/>
      <c r="AQ329" s="4"/>
    </row>
    <row r="330" spans="8:43" s="1" customFormat="1" ht="53.45" customHeight="1">
      <c r="H330" s="4"/>
      <c r="M330" s="4"/>
      <c r="R330" s="4"/>
      <c r="W330" s="4"/>
      <c r="AB330" s="4"/>
      <c r="AG330" s="4"/>
      <c r="AL330" s="4"/>
      <c r="AQ330" s="4"/>
    </row>
    <row r="331" spans="8:43" s="1" customFormat="1" ht="53.45" customHeight="1">
      <c r="H331" s="4"/>
      <c r="M331" s="4"/>
      <c r="R331" s="4"/>
      <c r="W331" s="4"/>
      <c r="AB331" s="4"/>
      <c r="AG331" s="4"/>
      <c r="AL331" s="4"/>
      <c r="AQ331" s="4"/>
    </row>
    <row r="332" spans="8:43" s="1" customFormat="1" ht="53.45" customHeight="1">
      <c r="H332" s="4"/>
      <c r="M332" s="4"/>
      <c r="R332" s="4"/>
      <c r="W332" s="4"/>
      <c r="AB332" s="4"/>
      <c r="AG332" s="4"/>
      <c r="AL332" s="4"/>
      <c r="AQ332" s="4"/>
    </row>
    <row r="333" spans="8:43" s="1" customFormat="1" ht="53.45" customHeight="1">
      <c r="H333" s="4"/>
      <c r="M333" s="4"/>
      <c r="R333" s="4"/>
      <c r="W333" s="4"/>
      <c r="AB333" s="4"/>
      <c r="AG333" s="4"/>
      <c r="AL333" s="4"/>
      <c r="AQ333" s="4"/>
    </row>
    <row r="334" spans="8:43" s="1" customFormat="1" ht="53.45" customHeight="1">
      <c r="H334" s="4"/>
      <c r="M334" s="4"/>
      <c r="R334" s="4"/>
      <c r="W334" s="4"/>
      <c r="AB334" s="4"/>
      <c r="AG334" s="4"/>
      <c r="AL334" s="4"/>
      <c r="AQ334" s="4"/>
    </row>
    <row r="335" spans="8:43" s="1" customFormat="1" ht="53.45" customHeight="1">
      <c r="H335" s="4"/>
      <c r="M335" s="4"/>
      <c r="R335" s="4"/>
      <c r="W335" s="4"/>
      <c r="AB335" s="4"/>
      <c r="AG335" s="4"/>
      <c r="AL335" s="4"/>
      <c r="AQ335" s="4"/>
    </row>
    <row r="336" spans="8:43" s="1" customFormat="1" ht="53.45" customHeight="1">
      <c r="H336" s="4"/>
      <c r="M336" s="4"/>
      <c r="R336" s="4"/>
      <c r="W336" s="4"/>
      <c r="AB336" s="4"/>
      <c r="AG336" s="4"/>
      <c r="AL336" s="4"/>
      <c r="AQ336" s="4"/>
    </row>
    <row r="337" spans="8:43" s="1" customFormat="1" ht="53.45" customHeight="1">
      <c r="H337" s="4"/>
      <c r="M337" s="4"/>
      <c r="R337" s="4"/>
      <c r="W337" s="4"/>
      <c r="AB337" s="4"/>
      <c r="AG337" s="4"/>
      <c r="AL337" s="4"/>
      <c r="AQ337" s="4"/>
    </row>
    <row r="338" spans="8:43" s="1" customFormat="1" ht="53.45" customHeight="1">
      <c r="H338" s="4"/>
      <c r="M338" s="4"/>
      <c r="R338" s="4"/>
      <c r="W338" s="4"/>
      <c r="AB338" s="4"/>
      <c r="AG338" s="4"/>
      <c r="AL338" s="4"/>
      <c r="AQ338" s="4"/>
    </row>
    <row r="339" spans="8:43" s="1" customFormat="1" ht="53.45" customHeight="1">
      <c r="H339" s="4"/>
      <c r="M339" s="4"/>
      <c r="R339" s="4"/>
      <c r="W339" s="4"/>
      <c r="AB339" s="4"/>
      <c r="AG339" s="4"/>
      <c r="AL339" s="4"/>
      <c r="AQ339" s="4"/>
    </row>
    <row r="340" spans="8:43" s="1" customFormat="1" ht="53.45" customHeight="1">
      <c r="H340" s="4"/>
      <c r="M340" s="4"/>
      <c r="R340" s="4"/>
      <c r="W340" s="4"/>
      <c r="AB340" s="4"/>
      <c r="AG340" s="4"/>
      <c r="AL340" s="4"/>
      <c r="AQ340" s="4"/>
    </row>
    <row r="341" spans="8:43" s="1" customFormat="1" ht="53.45" customHeight="1">
      <c r="H341" s="4"/>
      <c r="M341" s="4"/>
      <c r="R341" s="4"/>
      <c r="W341" s="4"/>
      <c r="AB341" s="4"/>
      <c r="AG341" s="4"/>
      <c r="AL341" s="4"/>
      <c r="AQ341" s="4"/>
    </row>
    <row r="342" spans="8:43" s="1" customFormat="1" ht="53.45" customHeight="1">
      <c r="H342" s="4"/>
      <c r="M342" s="4"/>
      <c r="R342" s="4"/>
      <c r="W342" s="4"/>
      <c r="AB342" s="4"/>
      <c r="AG342" s="4"/>
      <c r="AL342" s="4"/>
      <c r="AQ342" s="4"/>
    </row>
    <row r="343" spans="8:43" s="1" customFormat="1" ht="53.45" customHeight="1">
      <c r="H343" s="4"/>
      <c r="M343" s="4"/>
      <c r="R343" s="4"/>
      <c r="W343" s="4"/>
      <c r="AB343" s="4"/>
      <c r="AG343" s="4"/>
      <c r="AL343" s="4"/>
      <c r="AQ343" s="4"/>
    </row>
    <row r="344" spans="8:43" s="1" customFormat="1" ht="53.45" customHeight="1">
      <c r="H344" s="4"/>
      <c r="M344" s="4"/>
      <c r="R344" s="4"/>
      <c r="W344" s="4"/>
      <c r="AB344" s="4"/>
      <c r="AG344" s="4"/>
      <c r="AL344" s="4"/>
      <c r="AQ344" s="4"/>
    </row>
    <row r="345" spans="8:43" s="1" customFormat="1" ht="53.45" customHeight="1">
      <c r="H345" s="4"/>
      <c r="M345" s="4"/>
      <c r="R345" s="4"/>
      <c r="W345" s="4"/>
      <c r="AB345" s="4"/>
      <c r="AG345" s="4"/>
      <c r="AL345" s="4"/>
      <c r="AQ345" s="4"/>
    </row>
    <row r="346" spans="8:43" s="1" customFormat="1" ht="53.45" customHeight="1">
      <c r="H346" s="4"/>
      <c r="M346" s="4"/>
      <c r="R346" s="4"/>
      <c r="W346" s="4"/>
      <c r="AB346" s="4"/>
      <c r="AG346" s="4"/>
      <c r="AL346" s="4"/>
      <c r="AQ346" s="4"/>
    </row>
    <row r="347" spans="8:43" s="1" customFormat="1" ht="53.45" customHeight="1">
      <c r="H347" s="4"/>
      <c r="M347" s="4"/>
      <c r="R347" s="4"/>
      <c r="W347" s="4"/>
      <c r="AB347" s="4"/>
      <c r="AG347" s="4"/>
      <c r="AL347" s="4"/>
      <c r="AQ347" s="4"/>
    </row>
    <row r="348" spans="8:43" s="1" customFormat="1" ht="53.45" customHeight="1">
      <c r="H348" s="4"/>
      <c r="M348" s="4"/>
      <c r="R348" s="4"/>
      <c r="W348" s="4"/>
      <c r="AB348" s="4"/>
      <c r="AG348" s="4"/>
      <c r="AL348" s="4"/>
      <c r="AQ348" s="4"/>
    </row>
    <row r="349" spans="8:43" s="1" customFormat="1" ht="53.45" customHeight="1">
      <c r="H349" s="4"/>
      <c r="M349" s="4"/>
      <c r="R349" s="4"/>
      <c r="W349" s="4"/>
      <c r="AB349" s="4"/>
      <c r="AG349" s="4"/>
      <c r="AL349" s="4"/>
      <c r="AQ349" s="4"/>
    </row>
    <row r="350" spans="8:43" s="1" customFormat="1" ht="53.45" customHeight="1">
      <c r="H350" s="4"/>
      <c r="M350" s="4"/>
      <c r="R350" s="4"/>
      <c r="W350" s="4"/>
      <c r="AB350" s="4"/>
      <c r="AG350" s="4"/>
      <c r="AL350" s="4"/>
      <c r="AQ350" s="4"/>
    </row>
    <row r="351" spans="8:43" s="1" customFormat="1" ht="53.45" customHeight="1">
      <c r="H351" s="4"/>
      <c r="M351" s="4"/>
      <c r="R351" s="4"/>
      <c r="W351" s="4"/>
      <c r="AB351" s="4"/>
      <c r="AG351" s="4"/>
      <c r="AL351" s="4"/>
      <c r="AQ351" s="4"/>
    </row>
    <row r="352" spans="8:43" s="1" customFormat="1" ht="53.45" customHeight="1">
      <c r="H352" s="4"/>
      <c r="M352" s="4"/>
      <c r="R352" s="4"/>
      <c r="W352" s="4"/>
      <c r="AB352" s="4"/>
      <c r="AG352" s="4"/>
      <c r="AL352" s="4"/>
      <c r="AQ352" s="4"/>
    </row>
    <row r="353" spans="8:43" s="1" customFormat="1" ht="53.45" customHeight="1">
      <c r="H353" s="4"/>
      <c r="M353" s="4"/>
      <c r="R353" s="4"/>
      <c r="W353" s="4"/>
      <c r="AB353" s="4"/>
      <c r="AG353" s="4"/>
      <c r="AL353" s="4"/>
      <c r="AQ353" s="4"/>
    </row>
    <row r="354" spans="8:43" s="1" customFormat="1" ht="53.45" customHeight="1">
      <c r="H354" s="4"/>
      <c r="M354" s="4"/>
      <c r="R354" s="4"/>
      <c r="W354" s="4"/>
      <c r="AB354" s="4"/>
      <c r="AG354" s="4"/>
      <c r="AL354" s="4"/>
      <c r="AQ354" s="4"/>
    </row>
    <row r="355" spans="8:43" s="1" customFormat="1" ht="53.45" customHeight="1">
      <c r="H355" s="4"/>
      <c r="M355" s="4"/>
      <c r="R355" s="4"/>
      <c r="W355" s="4"/>
      <c r="AB355" s="4"/>
      <c r="AG355" s="4"/>
      <c r="AL355" s="4"/>
      <c r="AQ355" s="4"/>
    </row>
    <row r="356" spans="8:43" s="1" customFormat="1" ht="53.45" customHeight="1">
      <c r="H356" s="4"/>
      <c r="M356" s="4"/>
      <c r="R356" s="4"/>
      <c r="W356" s="4"/>
      <c r="AB356" s="4"/>
      <c r="AG356" s="4"/>
      <c r="AL356" s="4"/>
      <c r="AQ356" s="4"/>
    </row>
    <row r="357" spans="8:43" s="1" customFormat="1" ht="53.45" customHeight="1">
      <c r="H357" s="4"/>
      <c r="M357" s="4"/>
      <c r="R357" s="4"/>
      <c r="W357" s="4"/>
      <c r="AB357" s="4"/>
      <c r="AG357" s="4"/>
      <c r="AL357" s="4"/>
      <c r="AQ357" s="4"/>
    </row>
    <row r="358" spans="8:43" s="1" customFormat="1" ht="53.45" customHeight="1">
      <c r="H358" s="4"/>
      <c r="M358" s="4"/>
      <c r="R358" s="4"/>
      <c r="W358" s="4"/>
      <c r="AB358" s="4"/>
      <c r="AG358" s="4"/>
      <c r="AL358" s="4"/>
      <c r="AQ358" s="4"/>
    </row>
    <row r="359" spans="8:43" s="1" customFormat="1" ht="53.45" customHeight="1">
      <c r="H359" s="4"/>
      <c r="M359" s="4"/>
      <c r="R359" s="4"/>
      <c r="W359" s="4"/>
      <c r="AB359" s="4"/>
      <c r="AG359" s="4"/>
      <c r="AL359" s="4"/>
      <c r="AQ359" s="4"/>
    </row>
    <row r="360" spans="8:43" s="1" customFormat="1" ht="53.45" customHeight="1">
      <c r="H360" s="4"/>
      <c r="M360" s="4"/>
      <c r="R360" s="4"/>
      <c r="W360" s="4"/>
      <c r="AB360" s="4"/>
      <c r="AG360" s="4"/>
      <c r="AL360" s="4"/>
      <c r="AQ360" s="4"/>
    </row>
    <row r="361" spans="8:43" s="1" customFormat="1" ht="53.45" customHeight="1">
      <c r="H361" s="4"/>
      <c r="M361" s="4"/>
      <c r="R361" s="4"/>
      <c r="W361" s="4"/>
      <c r="AB361" s="4"/>
      <c r="AG361" s="4"/>
      <c r="AL361" s="4"/>
      <c r="AQ361" s="4"/>
    </row>
    <row r="362" spans="8:43" s="1" customFormat="1" ht="53.45" customHeight="1">
      <c r="H362" s="4"/>
      <c r="M362" s="4"/>
      <c r="R362" s="4"/>
      <c r="W362" s="4"/>
      <c r="AB362" s="4"/>
      <c r="AG362" s="4"/>
      <c r="AL362" s="4"/>
      <c r="AQ362" s="4"/>
    </row>
    <row r="363" spans="8:43" s="1" customFormat="1" ht="53.45" customHeight="1">
      <c r="H363" s="4"/>
      <c r="M363" s="4"/>
      <c r="R363" s="4"/>
      <c r="W363" s="4"/>
      <c r="AB363" s="4"/>
      <c r="AG363" s="4"/>
      <c r="AL363" s="4"/>
      <c r="AQ363" s="4"/>
    </row>
    <row r="364" spans="8:43" s="1" customFormat="1" ht="53.45" customHeight="1">
      <c r="H364" s="4"/>
      <c r="M364" s="4"/>
      <c r="R364" s="4"/>
      <c r="W364" s="4"/>
      <c r="AB364" s="4"/>
      <c r="AG364" s="4"/>
      <c r="AL364" s="4"/>
      <c r="AQ364" s="4"/>
    </row>
    <row r="365" spans="8:43" s="1" customFormat="1" ht="53.45" customHeight="1">
      <c r="H365" s="4"/>
      <c r="M365" s="4"/>
      <c r="R365" s="4"/>
      <c r="W365" s="4"/>
      <c r="AB365" s="4"/>
      <c r="AG365" s="4"/>
      <c r="AL365" s="4"/>
      <c r="AQ365" s="4"/>
    </row>
    <row r="366" spans="8:43" s="1" customFormat="1" ht="53.45" customHeight="1">
      <c r="H366" s="4"/>
      <c r="M366" s="4"/>
      <c r="R366" s="4"/>
      <c r="W366" s="4"/>
      <c r="AB366" s="4"/>
      <c r="AG366" s="4"/>
      <c r="AL366" s="4"/>
      <c r="AQ366" s="4"/>
    </row>
    <row r="367" spans="8:43" s="1" customFormat="1" ht="53.45" customHeight="1">
      <c r="H367" s="4"/>
      <c r="M367" s="4"/>
      <c r="R367" s="4"/>
      <c r="W367" s="4"/>
      <c r="AB367" s="4"/>
      <c r="AG367" s="4"/>
      <c r="AL367" s="4"/>
      <c r="AQ367" s="4"/>
    </row>
    <row r="368" spans="8:43" s="1" customFormat="1" ht="53.45" customHeight="1">
      <c r="H368" s="4"/>
      <c r="M368" s="4"/>
      <c r="R368" s="4"/>
      <c r="W368" s="4"/>
      <c r="AB368" s="4"/>
      <c r="AG368" s="4"/>
      <c r="AL368" s="4"/>
      <c r="AQ368" s="4"/>
    </row>
    <row r="369" spans="8:43" s="1" customFormat="1" ht="53.45" customHeight="1">
      <c r="H369" s="4"/>
      <c r="M369" s="4"/>
      <c r="R369" s="4"/>
      <c r="W369" s="4"/>
      <c r="AB369" s="4"/>
      <c r="AG369" s="4"/>
      <c r="AL369" s="4"/>
      <c r="AQ369" s="4"/>
    </row>
    <row r="370" spans="8:43" s="1" customFormat="1" ht="53.45" customHeight="1">
      <c r="H370" s="4"/>
      <c r="M370" s="4"/>
      <c r="R370" s="4"/>
      <c r="W370" s="4"/>
      <c r="AB370" s="4"/>
      <c r="AG370" s="4"/>
      <c r="AL370" s="4"/>
      <c r="AQ370" s="4"/>
    </row>
    <row r="371" spans="8:43" s="1" customFormat="1" ht="53.45" customHeight="1">
      <c r="H371" s="4"/>
      <c r="M371" s="4"/>
      <c r="R371" s="4"/>
      <c r="W371" s="4"/>
      <c r="AB371" s="4"/>
      <c r="AG371" s="4"/>
      <c r="AL371" s="4"/>
      <c r="AQ371" s="4"/>
    </row>
    <row r="372" spans="8:43" s="1" customFormat="1" ht="53.45" customHeight="1">
      <c r="H372" s="4"/>
      <c r="M372" s="4"/>
      <c r="R372" s="4"/>
      <c r="W372" s="4"/>
      <c r="AB372" s="4"/>
      <c r="AG372" s="4"/>
      <c r="AL372" s="4"/>
      <c r="AQ372" s="4"/>
    </row>
    <row r="373" spans="8:43" s="1" customFormat="1" ht="53.45" customHeight="1">
      <c r="H373" s="4"/>
      <c r="M373" s="4"/>
      <c r="R373" s="4"/>
      <c r="W373" s="4"/>
      <c r="AB373" s="4"/>
      <c r="AG373" s="4"/>
      <c r="AL373" s="4"/>
      <c r="AQ373" s="4"/>
    </row>
    <row r="374" spans="8:43" s="1" customFormat="1" ht="53.45" customHeight="1">
      <c r="H374" s="4"/>
      <c r="M374" s="4"/>
      <c r="R374" s="4"/>
      <c r="W374" s="4"/>
      <c r="AB374" s="4"/>
      <c r="AG374" s="4"/>
      <c r="AL374" s="4"/>
      <c r="AQ374" s="4"/>
    </row>
    <row r="375" spans="8:43" s="1" customFormat="1" ht="53.45" customHeight="1">
      <c r="H375" s="4"/>
      <c r="M375" s="4"/>
      <c r="R375" s="4"/>
      <c r="W375" s="4"/>
      <c r="AB375" s="4"/>
      <c r="AG375" s="4"/>
      <c r="AL375" s="4"/>
      <c r="AQ375" s="4"/>
    </row>
    <row r="376" spans="8:43" s="1" customFormat="1" ht="53.45" customHeight="1">
      <c r="H376" s="4"/>
      <c r="M376" s="4"/>
      <c r="R376" s="4"/>
      <c r="W376" s="4"/>
      <c r="AB376" s="4"/>
      <c r="AG376" s="4"/>
      <c r="AL376" s="4"/>
      <c r="AQ376" s="4"/>
    </row>
    <row r="377" spans="8:43" s="1" customFormat="1" ht="53.45" customHeight="1">
      <c r="H377" s="4"/>
      <c r="M377" s="4"/>
      <c r="R377" s="4"/>
      <c r="W377" s="4"/>
      <c r="AB377" s="4"/>
      <c r="AG377" s="4"/>
      <c r="AL377" s="4"/>
      <c r="AQ377" s="4"/>
    </row>
    <row r="378" spans="8:43" s="1" customFormat="1" ht="53.45" customHeight="1">
      <c r="H378" s="4"/>
      <c r="M378" s="4"/>
      <c r="R378" s="4"/>
      <c r="W378" s="4"/>
      <c r="AB378" s="4"/>
      <c r="AG378" s="4"/>
      <c r="AL378" s="4"/>
      <c r="AQ378" s="4"/>
    </row>
    <row r="379" spans="8:43" s="1" customFormat="1" ht="53.45" customHeight="1">
      <c r="H379" s="4"/>
      <c r="M379" s="4"/>
      <c r="R379" s="4"/>
      <c r="W379" s="4"/>
      <c r="AB379" s="4"/>
      <c r="AG379" s="4"/>
      <c r="AL379" s="4"/>
      <c r="AQ379" s="4"/>
    </row>
    <row r="380" spans="8:43" s="1" customFormat="1" ht="53.45" customHeight="1">
      <c r="H380" s="4"/>
      <c r="M380" s="4"/>
      <c r="R380" s="4"/>
      <c r="W380" s="4"/>
      <c r="AB380" s="4"/>
      <c r="AG380" s="4"/>
      <c r="AL380" s="4"/>
      <c r="AQ380" s="4"/>
    </row>
    <row r="381" spans="8:43" s="1" customFormat="1" ht="53.45" customHeight="1">
      <c r="H381" s="4"/>
      <c r="M381" s="4"/>
      <c r="R381" s="4"/>
      <c r="W381" s="4"/>
      <c r="AB381" s="4"/>
      <c r="AG381" s="4"/>
      <c r="AL381" s="4"/>
      <c r="AQ381" s="4"/>
    </row>
    <row r="382" spans="8:43" s="1" customFormat="1" ht="53.45" customHeight="1">
      <c r="H382" s="4"/>
      <c r="M382" s="4"/>
      <c r="R382" s="4"/>
      <c r="W382" s="4"/>
      <c r="AB382" s="4"/>
      <c r="AG382" s="4"/>
      <c r="AL382" s="4"/>
      <c r="AQ382" s="4"/>
    </row>
    <row r="383" spans="8:43" s="1" customFormat="1" ht="53.45" customHeight="1">
      <c r="H383" s="4"/>
      <c r="M383" s="4"/>
      <c r="R383" s="4"/>
      <c r="W383" s="4"/>
      <c r="AB383" s="4"/>
      <c r="AG383" s="4"/>
      <c r="AL383" s="4"/>
      <c r="AQ383" s="4"/>
    </row>
    <row r="384" spans="8:43" s="1" customFormat="1" ht="53.45" customHeight="1">
      <c r="H384" s="4"/>
      <c r="M384" s="4"/>
      <c r="R384" s="4"/>
      <c r="W384" s="4"/>
      <c r="AB384" s="4"/>
      <c r="AG384" s="4"/>
      <c r="AL384" s="4"/>
      <c r="AQ384" s="4"/>
    </row>
    <row r="385" spans="8:43" s="1" customFormat="1" ht="53.45" customHeight="1">
      <c r="H385" s="4"/>
      <c r="M385" s="4"/>
      <c r="R385" s="4"/>
      <c r="W385" s="4"/>
      <c r="AB385" s="4"/>
      <c r="AG385" s="4"/>
      <c r="AL385" s="4"/>
      <c r="AQ385" s="4"/>
    </row>
    <row r="386" spans="8:43" s="1" customFormat="1" ht="53.45" customHeight="1">
      <c r="H386" s="4"/>
      <c r="M386" s="4"/>
      <c r="R386" s="4"/>
      <c r="W386" s="4"/>
      <c r="AB386" s="4"/>
      <c r="AG386" s="4"/>
      <c r="AL386" s="4"/>
      <c r="AQ386" s="4"/>
    </row>
    <row r="387" spans="8:43" s="1" customFormat="1" ht="53.45" customHeight="1">
      <c r="H387" s="4"/>
      <c r="M387" s="4"/>
      <c r="R387" s="4"/>
      <c r="W387" s="4"/>
      <c r="AB387" s="4"/>
      <c r="AG387" s="4"/>
      <c r="AL387" s="4"/>
      <c r="AQ387" s="4"/>
    </row>
    <row r="388" spans="8:43" s="1" customFormat="1" ht="53.45" customHeight="1">
      <c r="H388" s="4"/>
      <c r="M388" s="4"/>
      <c r="R388" s="4"/>
      <c r="W388" s="4"/>
      <c r="AB388" s="4"/>
      <c r="AG388" s="4"/>
      <c r="AL388" s="4"/>
      <c r="AQ388" s="4"/>
    </row>
    <row r="389" spans="8:43" s="1" customFormat="1" ht="53.45" customHeight="1">
      <c r="H389" s="4"/>
      <c r="M389" s="4"/>
      <c r="R389" s="4"/>
      <c r="W389" s="4"/>
      <c r="AB389" s="4"/>
      <c r="AG389" s="4"/>
      <c r="AL389" s="4"/>
      <c r="AQ389" s="4"/>
    </row>
    <row r="390" spans="8:43" s="1" customFormat="1" ht="53.45" customHeight="1">
      <c r="H390" s="4"/>
      <c r="M390" s="4"/>
      <c r="R390" s="4"/>
      <c r="W390" s="4"/>
      <c r="AB390" s="4"/>
      <c r="AG390" s="4"/>
      <c r="AL390" s="4"/>
      <c r="AQ390" s="4"/>
    </row>
    <row r="391" spans="8:43" s="1" customFormat="1" ht="53.45" customHeight="1">
      <c r="H391" s="4"/>
      <c r="M391" s="4"/>
      <c r="R391" s="4"/>
      <c r="W391" s="4"/>
      <c r="AB391" s="4"/>
      <c r="AG391" s="4"/>
      <c r="AL391" s="4"/>
      <c r="AQ391" s="4"/>
    </row>
    <row r="392" spans="8:43" s="1" customFormat="1" ht="53.45" customHeight="1">
      <c r="H392" s="4"/>
      <c r="M392" s="4"/>
      <c r="R392" s="4"/>
      <c r="W392" s="4"/>
      <c r="AB392" s="4"/>
      <c r="AG392" s="4"/>
      <c r="AL392" s="4"/>
      <c r="AQ392" s="4"/>
    </row>
    <row r="393" spans="8:43" s="1" customFormat="1" ht="53.45" customHeight="1">
      <c r="H393" s="4"/>
      <c r="M393" s="4"/>
      <c r="R393" s="4"/>
      <c r="W393" s="4"/>
      <c r="AB393" s="4"/>
      <c r="AG393" s="4"/>
      <c r="AL393" s="4"/>
      <c r="AQ393" s="4"/>
    </row>
    <row r="394" spans="8:43" s="1" customFormat="1" ht="53.45" customHeight="1">
      <c r="H394" s="4"/>
      <c r="M394" s="4"/>
      <c r="R394" s="4"/>
      <c r="W394" s="4"/>
      <c r="AB394" s="4"/>
      <c r="AG394" s="4"/>
      <c r="AL394" s="4"/>
      <c r="AQ394" s="4"/>
    </row>
    <row r="395" spans="8:43" s="1" customFormat="1" ht="53.45" customHeight="1">
      <c r="H395" s="4"/>
      <c r="M395" s="4"/>
      <c r="R395" s="4"/>
      <c r="W395" s="4"/>
      <c r="AB395" s="4"/>
      <c r="AG395" s="4"/>
      <c r="AL395" s="4"/>
      <c r="AQ395" s="4"/>
    </row>
    <row r="396" spans="8:43" s="1" customFormat="1" ht="53.45" customHeight="1">
      <c r="H396" s="4"/>
      <c r="M396" s="4"/>
      <c r="R396" s="4"/>
      <c r="W396" s="4"/>
      <c r="AB396" s="4"/>
      <c r="AG396" s="4"/>
      <c r="AL396" s="4"/>
      <c r="AQ396" s="4"/>
    </row>
    <row r="397" spans="8:43" s="1" customFormat="1" ht="53.45" customHeight="1">
      <c r="H397" s="4"/>
      <c r="M397" s="4"/>
      <c r="R397" s="4"/>
      <c r="W397" s="4"/>
      <c r="AB397" s="4"/>
      <c r="AG397" s="4"/>
      <c r="AL397" s="4"/>
      <c r="AQ397" s="4"/>
    </row>
    <row r="398" spans="8:43" s="1" customFormat="1" ht="53.45" customHeight="1">
      <c r="H398" s="4"/>
      <c r="M398" s="4"/>
      <c r="R398" s="4"/>
      <c r="W398" s="4"/>
      <c r="AB398" s="4"/>
      <c r="AG398" s="4"/>
      <c r="AL398" s="4"/>
      <c r="AQ398" s="4"/>
    </row>
    <row r="399" spans="8:43" s="1" customFormat="1" ht="53.45" customHeight="1">
      <c r="H399" s="4"/>
      <c r="M399" s="4"/>
      <c r="R399" s="4"/>
      <c r="W399" s="4"/>
      <c r="AB399" s="4"/>
      <c r="AG399" s="4"/>
      <c r="AL399" s="4"/>
      <c r="AQ399" s="4"/>
    </row>
    <row r="400" spans="8:43" s="1" customFormat="1" ht="53.45" customHeight="1">
      <c r="H400" s="4"/>
      <c r="M400" s="4"/>
      <c r="R400" s="4"/>
      <c r="W400" s="4"/>
      <c r="AB400" s="4"/>
      <c r="AG400" s="4"/>
      <c r="AL400" s="4"/>
      <c r="AQ400" s="4"/>
    </row>
    <row r="401" spans="8:43" s="1" customFormat="1" ht="53.45" customHeight="1">
      <c r="H401" s="4"/>
      <c r="M401" s="4"/>
      <c r="R401" s="4"/>
      <c r="W401" s="4"/>
      <c r="AB401" s="4"/>
      <c r="AG401" s="4"/>
      <c r="AL401" s="4"/>
      <c r="AQ401" s="4"/>
    </row>
    <row r="402" spans="8:43" s="1" customFormat="1" ht="53.45" customHeight="1">
      <c r="H402" s="4"/>
      <c r="M402" s="4"/>
      <c r="R402" s="4"/>
      <c r="W402" s="4"/>
      <c r="AB402" s="4"/>
      <c r="AG402" s="4"/>
      <c r="AL402" s="4"/>
      <c r="AQ402" s="4"/>
    </row>
    <row r="403" spans="8:43" s="1" customFormat="1" ht="53.45" customHeight="1">
      <c r="H403" s="4"/>
      <c r="M403" s="4"/>
      <c r="R403" s="4"/>
      <c r="W403" s="4"/>
      <c r="AB403" s="4"/>
      <c r="AG403" s="4"/>
      <c r="AL403" s="4"/>
      <c r="AQ403" s="4"/>
    </row>
    <row r="404" spans="8:43" s="1" customFormat="1" ht="53.45" customHeight="1">
      <c r="H404" s="4"/>
      <c r="M404" s="4"/>
      <c r="R404" s="4"/>
      <c r="W404" s="4"/>
      <c r="AB404" s="4"/>
      <c r="AG404" s="4"/>
      <c r="AL404" s="4"/>
      <c r="AQ404" s="4"/>
    </row>
    <row r="405" spans="8:43" s="1" customFormat="1" ht="53.45" customHeight="1">
      <c r="H405" s="4"/>
      <c r="M405" s="4"/>
      <c r="R405" s="4"/>
      <c r="W405" s="4"/>
      <c r="AB405" s="4"/>
      <c r="AG405" s="4"/>
      <c r="AL405" s="4"/>
      <c r="AQ405" s="4"/>
    </row>
    <row r="406" spans="8:43" s="1" customFormat="1" ht="53.45" customHeight="1">
      <c r="H406" s="4"/>
      <c r="M406" s="4"/>
      <c r="R406" s="4"/>
      <c r="W406" s="4"/>
      <c r="AB406" s="4"/>
      <c r="AG406" s="4"/>
      <c r="AL406" s="4"/>
      <c r="AQ406" s="4"/>
    </row>
    <row r="407" spans="8:43" s="1" customFormat="1" ht="53.45" customHeight="1">
      <c r="H407" s="4"/>
      <c r="M407" s="4"/>
      <c r="R407" s="4"/>
      <c r="W407" s="4"/>
      <c r="AB407" s="4"/>
      <c r="AG407" s="4"/>
      <c r="AL407" s="4"/>
      <c r="AQ407" s="4"/>
    </row>
    <row r="408" spans="8:43" s="1" customFormat="1" ht="53.45" customHeight="1">
      <c r="H408" s="4"/>
      <c r="M408" s="4"/>
      <c r="R408" s="4"/>
      <c r="W408" s="4"/>
      <c r="AB408" s="4"/>
      <c r="AG408" s="4"/>
      <c r="AL408" s="4"/>
      <c r="AQ408" s="4"/>
    </row>
    <row r="409" spans="8:43" s="1" customFormat="1" ht="53.45" customHeight="1">
      <c r="H409" s="4"/>
      <c r="M409" s="4"/>
      <c r="R409" s="4"/>
      <c r="W409" s="4"/>
      <c r="AB409" s="4"/>
      <c r="AG409" s="4"/>
      <c r="AL409" s="4"/>
      <c r="AQ409" s="4"/>
    </row>
    <row r="410" spans="8:43" s="1" customFormat="1" ht="53.45" customHeight="1">
      <c r="H410" s="4"/>
      <c r="M410" s="4"/>
      <c r="R410" s="4"/>
      <c r="W410" s="4"/>
      <c r="AB410" s="4"/>
      <c r="AG410" s="4"/>
      <c r="AL410" s="4"/>
      <c r="AQ410" s="4"/>
    </row>
    <row r="411" spans="8:43" s="1" customFormat="1" ht="53.45" customHeight="1">
      <c r="H411" s="4"/>
      <c r="M411" s="4"/>
      <c r="R411" s="4"/>
      <c r="W411" s="4"/>
      <c r="AB411" s="4"/>
      <c r="AG411" s="4"/>
      <c r="AL411" s="4"/>
      <c r="AQ411" s="4"/>
    </row>
    <row r="412" spans="8:43" s="1" customFormat="1" ht="53.45" customHeight="1">
      <c r="H412" s="4"/>
      <c r="M412" s="4"/>
      <c r="R412" s="4"/>
      <c r="W412" s="4"/>
      <c r="AB412" s="4"/>
      <c r="AG412" s="4"/>
      <c r="AL412" s="4"/>
      <c r="AQ412" s="4"/>
    </row>
    <row r="413" spans="8:43" s="1" customFormat="1" ht="53.45" customHeight="1">
      <c r="H413" s="4"/>
      <c r="M413" s="4"/>
      <c r="R413" s="4"/>
      <c r="W413" s="4"/>
      <c r="AB413" s="4"/>
      <c r="AG413" s="4"/>
      <c r="AL413" s="4"/>
      <c r="AQ413" s="4"/>
    </row>
    <row r="414" spans="8:43" s="1" customFormat="1" ht="53.45" customHeight="1">
      <c r="H414" s="4"/>
      <c r="M414" s="4"/>
      <c r="R414" s="4"/>
      <c r="W414" s="4"/>
      <c r="AB414" s="4"/>
      <c r="AG414" s="4"/>
      <c r="AL414" s="4"/>
      <c r="AQ414" s="4"/>
    </row>
    <row r="415" spans="8:43" s="1" customFormat="1" ht="53.45" customHeight="1">
      <c r="H415" s="4"/>
      <c r="M415" s="4"/>
      <c r="R415" s="4"/>
      <c r="W415" s="4"/>
      <c r="AB415" s="4"/>
      <c r="AG415" s="4"/>
      <c r="AL415" s="4"/>
      <c r="AQ415" s="4"/>
    </row>
    <row r="416" spans="8:43" s="1" customFormat="1" ht="53.45" customHeight="1">
      <c r="H416" s="4"/>
      <c r="M416" s="4"/>
      <c r="R416" s="4"/>
      <c r="W416" s="4"/>
      <c r="AB416" s="4"/>
      <c r="AG416" s="4"/>
      <c r="AL416" s="4"/>
      <c r="AQ416" s="4"/>
    </row>
    <row r="417" spans="8:43" s="1" customFormat="1" ht="53.45" customHeight="1">
      <c r="H417" s="4"/>
      <c r="M417" s="4"/>
      <c r="R417" s="4"/>
      <c r="W417" s="4"/>
      <c r="AB417" s="4"/>
      <c r="AG417" s="4"/>
      <c r="AL417" s="4"/>
      <c r="AQ417" s="4"/>
    </row>
    <row r="418" spans="8:43" s="1" customFormat="1" ht="53.45" customHeight="1">
      <c r="H418" s="4"/>
      <c r="M418" s="4"/>
      <c r="R418" s="4"/>
      <c r="W418" s="4"/>
      <c r="AB418" s="4"/>
      <c r="AG418" s="4"/>
      <c r="AL418" s="4"/>
      <c r="AQ418" s="4"/>
    </row>
    <row r="419" spans="8:43" s="1" customFormat="1" ht="53.45" customHeight="1">
      <c r="H419" s="4"/>
      <c r="M419" s="4"/>
      <c r="R419" s="4"/>
      <c r="W419" s="4"/>
      <c r="AB419" s="4"/>
      <c r="AG419" s="4"/>
      <c r="AL419" s="4"/>
      <c r="AQ419" s="4"/>
    </row>
    <row r="420" spans="8:43" s="1" customFormat="1" ht="53.45" customHeight="1">
      <c r="H420" s="4"/>
      <c r="M420" s="4"/>
      <c r="R420" s="4"/>
      <c r="W420" s="4"/>
      <c r="AB420" s="4"/>
      <c r="AG420" s="4"/>
      <c r="AL420" s="4"/>
      <c r="AQ420" s="4"/>
    </row>
    <row r="421" spans="8:43" s="1" customFormat="1" ht="53.45" customHeight="1">
      <c r="H421" s="4"/>
      <c r="M421" s="4"/>
      <c r="R421" s="4"/>
      <c r="W421" s="4"/>
      <c r="AB421" s="4"/>
      <c r="AG421" s="4"/>
      <c r="AL421" s="4"/>
      <c r="AQ421" s="4"/>
    </row>
    <row r="422" spans="8:43" s="1" customFormat="1" ht="53.45" customHeight="1">
      <c r="H422" s="4"/>
      <c r="M422" s="4"/>
      <c r="R422" s="4"/>
      <c r="W422" s="4"/>
      <c r="AB422" s="4"/>
      <c r="AG422" s="4"/>
      <c r="AL422" s="4"/>
      <c r="AQ422" s="4"/>
    </row>
    <row r="423" spans="8:43" s="1" customFormat="1" ht="53.45" customHeight="1">
      <c r="H423" s="4"/>
      <c r="M423" s="4"/>
      <c r="R423" s="4"/>
      <c r="W423" s="4"/>
      <c r="AB423" s="4"/>
      <c r="AG423" s="4"/>
      <c r="AL423" s="4"/>
      <c r="AQ423" s="4"/>
    </row>
    <row r="424" spans="8:43" s="1" customFormat="1" ht="53.45" customHeight="1">
      <c r="H424" s="4"/>
      <c r="M424" s="4"/>
      <c r="R424" s="4"/>
      <c r="W424" s="4"/>
      <c r="AB424" s="4"/>
      <c r="AG424" s="4"/>
      <c r="AL424" s="4"/>
      <c r="AQ424" s="4"/>
    </row>
    <row r="425" spans="8:43" s="1" customFormat="1" ht="53.45" customHeight="1">
      <c r="H425" s="4"/>
      <c r="M425" s="4"/>
      <c r="R425" s="4"/>
      <c r="W425" s="4"/>
      <c r="AB425" s="4"/>
      <c r="AG425" s="4"/>
      <c r="AL425" s="4"/>
      <c r="AQ425" s="4"/>
    </row>
    <row r="426" spans="8:43" s="1" customFormat="1" ht="53.45" customHeight="1">
      <c r="H426" s="4"/>
      <c r="M426" s="4"/>
      <c r="R426" s="4"/>
      <c r="W426" s="4"/>
      <c r="AB426" s="4"/>
      <c r="AG426" s="4"/>
      <c r="AL426" s="4"/>
      <c r="AQ426" s="4"/>
    </row>
    <row r="427" spans="8:43" s="1" customFormat="1" ht="53.45" customHeight="1">
      <c r="H427" s="4"/>
      <c r="M427" s="4"/>
      <c r="R427" s="4"/>
      <c r="W427" s="4"/>
      <c r="AB427" s="4"/>
      <c r="AG427" s="4"/>
      <c r="AL427" s="4"/>
      <c r="AQ427" s="4"/>
    </row>
    <row r="428" spans="8:43" s="1" customFormat="1" ht="53.45" customHeight="1">
      <c r="H428" s="4"/>
      <c r="M428" s="4"/>
      <c r="R428" s="4"/>
      <c r="W428" s="4"/>
      <c r="AB428" s="4"/>
      <c r="AG428" s="4"/>
      <c r="AL428" s="4"/>
      <c r="AQ428" s="4"/>
    </row>
    <row r="429" spans="8:43" s="1" customFormat="1" ht="53.45" customHeight="1">
      <c r="H429" s="4"/>
      <c r="M429" s="4"/>
      <c r="R429" s="4"/>
      <c r="W429" s="4"/>
      <c r="AB429" s="4"/>
      <c r="AG429" s="4"/>
      <c r="AL429" s="4"/>
      <c r="AQ429" s="4"/>
    </row>
    <row r="430" spans="8:43" s="1" customFormat="1" ht="53.45" customHeight="1">
      <c r="H430" s="4"/>
      <c r="M430" s="4"/>
      <c r="R430" s="4"/>
      <c r="W430" s="4"/>
      <c r="AB430" s="4"/>
      <c r="AG430" s="4"/>
      <c r="AL430" s="4"/>
      <c r="AQ430" s="4"/>
    </row>
    <row r="431" spans="8:43" s="1" customFormat="1" ht="53.45" customHeight="1">
      <c r="H431" s="4"/>
      <c r="M431" s="4"/>
      <c r="R431" s="4"/>
      <c r="W431" s="4"/>
      <c r="AB431" s="4"/>
      <c r="AG431" s="4"/>
      <c r="AL431" s="4"/>
      <c r="AQ431" s="4"/>
    </row>
    <row r="432" spans="8:43" s="1" customFormat="1" ht="53.45" customHeight="1">
      <c r="H432" s="4"/>
      <c r="M432" s="4"/>
      <c r="R432" s="4"/>
      <c r="W432" s="4"/>
      <c r="AB432" s="4"/>
      <c r="AG432" s="4"/>
      <c r="AL432" s="4"/>
      <c r="AQ432" s="4"/>
    </row>
    <row r="433" spans="8:43" s="1" customFormat="1" ht="53.45" customHeight="1">
      <c r="H433" s="4"/>
      <c r="M433" s="4"/>
      <c r="R433" s="4"/>
      <c r="W433" s="4"/>
      <c r="AB433" s="4"/>
      <c r="AG433" s="4"/>
      <c r="AL433" s="4"/>
      <c r="AQ433" s="4"/>
    </row>
    <row r="434" spans="8:43" s="1" customFormat="1" ht="53.45" customHeight="1">
      <c r="H434" s="4"/>
      <c r="M434" s="4"/>
      <c r="R434" s="4"/>
      <c r="W434" s="4"/>
      <c r="AB434" s="4"/>
      <c r="AG434" s="4"/>
      <c r="AL434" s="4"/>
      <c r="AQ434" s="4"/>
    </row>
    <row r="435" spans="8:43" s="1" customFormat="1" ht="53.45" customHeight="1">
      <c r="H435" s="4"/>
      <c r="M435" s="4"/>
      <c r="R435" s="4"/>
      <c r="W435" s="4"/>
      <c r="AB435" s="4"/>
      <c r="AG435" s="4"/>
      <c r="AL435" s="4"/>
      <c r="AQ435" s="4"/>
    </row>
    <row r="436" spans="8:43" s="1" customFormat="1" ht="53.45" customHeight="1">
      <c r="H436" s="4"/>
      <c r="M436" s="4"/>
      <c r="R436" s="4"/>
      <c r="W436" s="4"/>
      <c r="AB436" s="4"/>
      <c r="AG436" s="4"/>
      <c r="AL436" s="4"/>
      <c r="AQ436" s="4"/>
    </row>
    <row r="437" spans="8:43" s="1" customFormat="1" ht="53.45" customHeight="1">
      <c r="H437" s="4"/>
      <c r="M437" s="4"/>
      <c r="R437" s="4"/>
      <c r="W437" s="4"/>
      <c r="AB437" s="4"/>
      <c r="AG437" s="4"/>
      <c r="AL437" s="4"/>
      <c r="AQ437" s="4"/>
    </row>
    <row r="438" spans="8:43" s="1" customFormat="1" ht="53.45" customHeight="1">
      <c r="H438" s="4"/>
      <c r="M438" s="4"/>
      <c r="R438" s="4"/>
      <c r="W438" s="4"/>
      <c r="AB438" s="4"/>
      <c r="AG438" s="4"/>
      <c r="AL438" s="4"/>
      <c r="AQ438" s="4"/>
    </row>
    <row r="439" spans="8:43" s="1" customFormat="1" ht="53.45" customHeight="1">
      <c r="H439" s="4"/>
      <c r="M439" s="4"/>
      <c r="R439" s="4"/>
      <c r="W439" s="4"/>
      <c r="AB439" s="4"/>
      <c r="AG439" s="4"/>
      <c r="AL439" s="4"/>
      <c r="AQ439" s="4"/>
    </row>
    <row r="440" spans="8:43" s="1" customFormat="1" ht="53.45" customHeight="1">
      <c r="H440" s="4"/>
      <c r="M440" s="4"/>
      <c r="R440" s="4"/>
      <c r="W440" s="4"/>
      <c r="AB440" s="4"/>
      <c r="AG440" s="4"/>
      <c r="AL440" s="4"/>
      <c r="AQ440" s="4"/>
    </row>
    <row r="441" spans="8:43" s="1" customFormat="1" ht="53.45" customHeight="1">
      <c r="H441" s="4"/>
      <c r="M441" s="4"/>
      <c r="R441" s="4"/>
      <c r="W441" s="4"/>
      <c r="AB441" s="4"/>
      <c r="AG441" s="4"/>
      <c r="AL441" s="4"/>
      <c r="AQ441" s="4"/>
    </row>
    <row r="442" spans="8:43" s="1" customFormat="1" ht="53.45" customHeight="1">
      <c r="H442" s="4"/>
      <c r="M442" s="4"/>
      <c r="R442" s="4"/>
      <c r="W442" s="4"/>
      <c r="AB442" s="4"/>
      <c r="AG442" s="4"/>
      <c r="AL442" s="4"/>
      <c r="AQ442" s="4"/>
    </row>
    <row r="443" spans="8:43" s="1" customFormat="1" ht="53.45" customHeight="1">
      <c r="H443" s="4"/>
      <c r="M443" s="4"/>
      <c r="R443" s="4"/>
      <c r="W443" s="4"/>
      <c r="AB443" s="4"/>
      <c r="AG443" s="4"/>
      <c r="AL443" s="4"/>
      <c r="AQ443" s="4"/>
    </row>
    <row r="444" spans="8:43" s="1" customFormat="1" ht="53.45" customHeight="1">
      <c r="H444" s="4"/>
      <c r="M444" s="4"/>
      <c r="R444" s="4"/>
      <c r="W444" s="4"/>
      <c r="AB444" s="4"/>
      <c r="AG444" s="4"/>
      <c r="AL444" s="4"/>
      <c r="AQ444" s="4"/>
    </row>
    <row r="445" spans="8:43" s="1" customFormat="1" ht="53.45" customHeight="1">
      <c r="H445" s="4"/>
      <c r="M445" s="4"/>
      <c r="R445" s="4"/>
      <c r="W445" s="4"/>
      <c r="AB445" s="4"/>
      <c r="AG445" s="4"/>
      <c r="AL445" s="4"/>
      <c r="AQ445" s="4"/>
    </row>
    <row r="446" spans="8:43" s="1" customFormat="1" ht="53.45" customHeight="1">
      <c r="H446" s="4"/>
      <c r="M446" s="4"/>
      <c r="R446" s="4"/>
      <c r="W446" s="4"/>
      <c r="AB446" s="4"/>
      <c r="AG446" s="4"/>
      <c r="AL446" s="4"/>
      <c r="AQ446" s="4"/>
    </row>
    <row r="447" spans="8:43" s="1" customFormat="1" ht="53.45" customHeight="1">
      <c r="H447" s="4"/>
      <c r="M447" s="4"/>
      <c r="R447" s="4"/>
      <c r="W447" s="4"/>
      <c r="AB447" s="4"/>
      <c r="AG447" s="4"/>
      <c r="AL447" s="4"/>
      <c r="AQ447" s="4"/>
    </row>
    <row r="448" spans="8:43" s="1" customFormat="1" ht="53.45" customHeight="1">
      <c r="H448" s="4"/>
      <c r="M448" s="4"/>
      <c r="R448" s="4"/>
      <c r="W448" s="4"/>
      <c r="AB448" s="4"/>
      <c r="AG448" s="4"/>
      <c r="AL448" s="4"/>
      <c r="AQ448" s="4"/>
    </row>
    <row r="449" spans="8:43" s="1" customFormat="1" ht="53.45" customHeight="1">
      <c r="H449" s="4"/>
      <c r="M449" s="4"/>
      <c r="R449" s="4"/>
      <c r="W449" s="4"/>
      <c r="AB449" s="4"/>
      <c r="AG449" s="4"/>
      <c r="AL449" s="4"/>
      <c r="AQ449" s="4"/>
    </row>
    <row r="450" spans="8:43" s="1" customFormat="1" ht="53.45" customHeight="1">
      <c r="H450" s="4"/>
      <c r="M450" s="4"/>
      <c r="R450" s="4"/>
      <c r="W450" s="4"/>
      <c r="AB450" s="4"/>
      <c r="AG450" s="4"/>
      <c r="AL450" s="4"/>
      <c r="AQ450" s="4"/>
    </row>
    <row r="451" spans="8:43" s="1" customFormat="1" ht="53.45" customHeight="1">
      <c r="H451" s="4"/>
      <c r="M451" s="4"/>
      <c r="R451" s="4"/>
      <c r="W451" s="4"/>
      <c r="AB451" s="4"/>
      <c r="AG451" s="4"/>
      <c r="AL451" s="4"/>
      <c r="AQ451" s="4"/>
    </row>
    <row r="452" spans="8:43" s="1" customFormat="1" ht="53.45" customHeight="1">
      <c r="H452" s="4"/>
      <c r="M452" s="4"/>
      <c r="R452" s="4"/>
      <c r="W452" s="4"/>
      <c r="AB452" s="4"/>
      <c r="AG452" s="4"/>
      <c r="AL452" s="4"/>
      <c r="AQ452" s="4"/>
    </row>
    <row r="453" spans="8:43" s="1" customFormat="1" ht="53.45" customHeight="1">
      <c r="H453" s="4"/>
      <c r="M453" s="4"/>
      <c r="R453" s="4"/>
      <c r="W453" s="4"/>
      <c r="AB453" s="4"/>
      <c r="AG453" s="4"/>
      <c r="AL453" s="4"/>
      <c r="AQ453" s="4"/>
    </row>
    <row r="454" spans="8:43" s="1" customFormat="1" ht="53.45" customHeight="1">
      <c r="H454" s="4"/>
      <c r="M454" s="4"/>
      <c r="R454" s="4"/>
      <c r="W454" s="4"/>
      <c r="AB454" s="4"/>
      <c r="AG454" s="4"/>
      <c r="AL454" s="4"/>
      <c r="AQ454" s="4"/>
    </row>
    <row r="455" spans="8:43" s="1" customFormat="1" ht="53.45" customHeight="1">
      <c r="H455" s="4"/>
      <c r="M455" s="4"/>
      <c r="R455" s="4"/>
      <c r="W455" s="4"/>
      <c r="AB455" s="4"/>
      <c r="AG455" s="4"/>
      <c r="AL455" s="4"/>
      <c r="AQ455" s="4"/>
    </row>
    <row r="456" spans="8:43" s="1" customFormat="1" ht="53.45" customHeight="1">
      <c r="H456" s="4"/>
      <c r="M456" s="4"/>
      <c r="R456" s="4"/>
      <c r="W456" s="4"/>
      <c r="AB456" s="4"/>
      <c r="AG456" s="4"/>
      <c r="AL456" s="4"/>
      <c r="AQ456" s="4"/>
    </row>
    <row r="457" spans="8:43" s="1" customFormat="1" ht="53.45" customHeight="1">
      <c r="H457" s="4"/>
      <c r="M457" s="4"/>
      <c r="R457" s="4"/>
      <c r="W457" s="4"/>
      <c r="AB457" s="4"/>
      <c r="AG457" s="4"/>
      <c r="AL457" s="4"/>
      <c r="AQ457" s="4"/>
    </row>
    <row r="458" spans="8:43" s="1" customFormat="1" ht="53.45" customHeight="1">
      <c r="H458" s="4"/>
      <c r="M458" s="4"/>
      <c r="R458" s="4"/>
      <c r="W458" s="4"/>
      <c r="AB458" s="4"/>
      <c r="AG458" s="4"/>
      <c r="AL458" s="4"/>
      <c r="AQ458" s="4"/>
    </row>
    <row r="459" spans="8:43" s="1" customFormat="1" ht="53.45" customHeight="1">
      <c r="H459" s="4"/>
      <c r="M459" s="4"/>
      <c r="R459" s="4"/>
      <c r="W459" s="4"/>
      <c r="AB459" s="4"/>
      <c r="AG459" s="4"/>
      <c r="AL459" s="4"/>
      <c r="AQ459" s="4"/>
    </row>
    <row r="460" spans="8:43" s="1" customFormat="1" ht="53.45" customHeight="1">
      <c r="H460" s="4"/>
      <c r="M460" s="4"/>
      <c r="R460" s="4"/>
      <c r="W460" s="4"/>
      <c r="AB460" s="4"/>
      <c r="AG460" s="4"/>
      <c r="AL460" s="4"/>
      <c r="AQ460" s="4"/>
    </row>
    <row r="461" spans="8:43" s="1" customFormat="1" ht="53.45" customHeight="1">
      <c r="H461" s="4"/>
      <c r="M461" s="4"/>
      <c r="R461" s="4"/>
      <c r="W461" s="4"/>
      <c r="AB461" s="4"/>
      <c r="AG461" s="4"/>
      <c r="AL461" s="4"/>
      <c r="AQ461" s="4"/>
    </row>
    <row r="462" spans="8:43" s="1" customFormat="1" ht="53.45" customHeight="1">
      <c r="H462" s="4"/>
      <c r="M462" s="4"/>
      <c r="R462" s="4"/>
      <c r="W462" s="4"/>
      <c r="AB462" s="4"/>
      <c r="AG462" s="4"/>
      <c r="AL462" s="4"/>
      <c r="AQ462" s="4"/>
    </row>
    <row r="463" spans="8:43" s="1" customFormat="1" ht="53.45" customHeight="1">
      <c r="H463" s="4"/>
      <c r="M463" s="4"/>
      <c r="R463" s="4"/>
      <c r="W463" s="4"/>
      <c r="AB463" s="4"/>
      <c r="AG463" s="4"/>
      <c r="AL463" s="4"/>
      <c r="AQ463" s="4"/>
    </row>
    <row r="464" spans="8:43" s="1" customFormat="1" ht="53.45" customHeight="1">
      <c r="H464" s="4"/>
      <c r="M464" s="4"/>
      <c r="R464" s="4"/>
      <c r="W464" s="4"/>
      <c r="AB464" s="4"/>
      <c r="AG464" s="4"/>
      <c r="AL464" s="4"/>
      <c r="AQ464" s="4"/>
    </row>
    <row r="465" spans="8:43" s="1" customFormat="1" ht="53.45" customHeight="1">
      <c r="H465" s="4"/>
      <c r="M465" s="4"/>
      <c r="R465" s="4"/>
      <c r="W465" s="4"/>
      <c r="AB465" s="4"/>
      <c r="AG465" s="4"/>
      <c r="AL465" s="4"/>
      <c r="AQ465" s="4"/>
    </row>
    <row r="466" spans="8:43" s="1" customFormat="1" ht="53.45" customHeight="1">
      <c r="H466" s="4"/>
      <c r="M466" s="4"/>
      <c r="R466" s="4"/>
      <c r="W466" s="4"/>
      <c r="AB466" s="4"/>
      <c r="AG466" s="4"/>
      <c r="AL466" s="4"/>
      <c r="AQ466" s="4"/>
    </row>
    <row r="467" spans="8:43" s="1" customFormat="1" ht="53.45" customHeight="1">
      <c r="H467" s="4"/>
      <c r="M467" s="4"/>
      <c r="R467" s="4"/>
      <c r="W467" s="4"/>
      <c r="AB467" s="4"/>
      <c r="AG467" s="4"/>
      <c r="AL467" s="4"/>
      <c r="AQ467" s="4"/>
    </row>
    <row r="468" spans="8:43" s="1" customFormat="1" ht="53.45" customHeight="1">
      <c r="H468" s="4"/>
      <c r="M468" s="4"/>
      <c r="R468" s="4"/>
      <c r="W468" s="4"/>
      <c r="AB468" s="4"/>
      <c r="AG468" s="4"/>
      <c r="AL468" s="4"/>
      <c r="AQ468" s="4"/>
    </row>
    <row r="469" spans="8:43" s="1" customFormat="1" ht="53.45" customHeight="1">
      <c r="H469" s="4"/>
      <c r="M469" s="4"/>
      <c r="R469" s="4"/>
      <c r="W469" s="4"/>
      <c r="AB469" s="4"/>
      <c r="AG469" s="4"/>
      <c r="AL469" s="4"/>
      <c r="AQ469" s="4"/>
    </row>
    <row r="470" spans="8:43" s="1" customFormat="1" ht="53.45" customHeight="1">
      <c r="H470" s="4"/>
      <c r="M470" s="4"/>
      <c r="R470" s="4"/>
      <c r="W470" s="4"/>
      <c r="AB470" s="4"/>
      <c r="AG470" s="4"/>
      <c r="AL470" s="4"/>
      <c r="AQ470" s="4"/>
    </row>
    <row r="471" spans="8:43" s="1" customFormat="1" ht="53.45" customHeight="1">
      <c r="H471" s="4"/>
      <c r="M471" s="4"/>
      <c r="R471" s="4"/>
      <c r="W471" s="4"/>
      <c r="AB471" s="4"/>
      <c r="AG471" s="4"/>
      <c r="AL471" s="4"/>
      <c r="AQ471" s="4"/>
    </row>
    <row r="472" spans="8:43" s="1" customFormat="1" ht="53.45" customHeight="1">
      <c r="H472" s="4"/>
      <c r="M472" s="4"/>
      <c r="R472" s="4"/>
      <c r="W472" s="4"/>
      <c r="AB472" s="4"/>
      <c r="AG472" s="4"/>
      <c r="AL472" s="4"/>
      <c r="AQ472" s="4"/>
    </row>
    <row r="473" spans="8:43" s="1" customFormat="1" ht="53.45" customHeight="1">
      <c r="H473" s="4"/>
      <c r="M473" s="4"/>
      <c r="R473" s="4"/>
      <c r="W473" s="4"/>
      <c r="AB473" s="4"/>
      <c r="AG473" s="4"/>
      <c r="AL473" s="4"/>
      <c r="AQ473" s="4"/>
    </row>
    <row r="474" spans="8:43" s="1" customFormat="1" ht="53.45" customHeight="1">
      <c r="H474" s="4"/>
      <c r="M474" s="4"/>
      <c r="R474" s="4"/>
      <c r="W474" s="4"/>
      <c r="AB474" s="4"/>
      <c r="AG474" s="4"/>
      <c r="AL474" s="4"/>
      <c r="AQ474" s="4"/>
    </row>
    <row r="475" spans="8:43" s="1" customFormat="1" ht="53.45" customHeight="1">
      <c r="H475" s="4"/>
      <c r="M475" s="4"/>
      <c r="R475" s="4"/>
      <c r="W475" s="4"/>
      <c r="AB475" s="4"/>
      <c r="AG475" s="4"/>
      <c r="AL475" s="4"/>
      <c r="AQ475" s="4"/>
    </row>
    <row r="476" spans="8:43" s="1" customFormat="1" ht="53.45" customHeight="1">
      <c r="H476" s="4"/>
      <c r="M476" s="4"/>
      <c r="R476" s="4"/>
      <c r="W476" s="4"/>
      <c r="AB476" s="4"/>
      <c r="AG476" s="4"/>
      <c r="AL476" s="4"/>
      <c r="AQ476" s="4"/>
    </row>
    <row r="477" spans="8:43" s="1" customFormat="1" ht="53.45" customHeight="1">
      <c r="H477" s="4"/>
      <c r="M477" s="4"/>
      <c r="R477" s="4"/>
      <c r="W477" s="4"/>
      <c r="AB477" s="4"/>
      <c r="AG477" s="4"/>
      <c r="AL477" s="4"/>
      <c r="AQ477" s="4"/>
    </row>
    <row r="478" spans="8:43" s="1" customFormat="1" ht="53.45" customHeight="1">
      <c r="H478" s="4"/>
      <c r="M478" s="4"/>
      <c r="R478" s="4"/>
      <c r="W478" s="4"/>
      <c r="AB478" s="4"/>
      <c r="AG478" s="4"/>
      <c r="AL478" s="4"/>
      <c r="AQ478" s="4"/>
    </row>
    <row r="479" spans="8:43" s="1" customFormat="1" ht="53.45" customHeight="1">
      <c r="H479" s="4"/>
      <c r="M479" s="4"/>
      <c r="R479" s="4"/>
      <c r="W479" s="4"/>
      <c r="AB479" s="4"/>
      <c r="AG479" s="4"/>
      <c r="AL479" s="4"/>
      <c r="AQ479" s="4"/>
    </row>
  </sheetData>
  <mergeCells count="23">
    <mergeCell ref="AQ14:AQ15"/>
    <mergeCell ref="H14:H15"/>
    <mergeCell ref="M14:M15"/>
    <mergeCell ref="R14:R15"/>
    <mergeCell ref="W14:W15"/>
    <mergeCell ref="AB14:AB15"/>
    <mergeCell ref="AG14:AG15"/>
    <mergeCell ref="AL14:AL15"/>
    <mergeCell ref="V2:X2"/>
    <mergeCell ref="Z2:AB2"/>
    <mergeCell ref="V3:X3"/>
    <mergeCell ref="Z3:AB3"/>
    <mergeCell ref="H1:AU1"/>
    <mergeCell ref="R3:T3"/>
    <mergeCell ref="M3:P3"/>
    <mergeCell ref="H3:K3"/>
    <mergeCell ref="AC2:AE2"/>
    <mergeCell ref="AC3:AE3"/>
    <mergeCell ref="H2:K2"/>
    <mergeCell ref="M2:P2"/>
    <mergeCell ref="R2:T2"/>
    <mergeCell ref="AH2:AI2"/>
    <mergeCell ref="AH3:AI3"/>
  </mergeCells>
  <printOptions horizontalCentered="1" verticalCentered="1"/>
  <pageMargins left="0" right="0" top="0" bottom="0" header="0" footer="0"/>
  <pageSetup paperSize="9" scale="1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481"/>
  <sheetViews>
    <sheetView view="pageBreakPreview" zoomScale="40" zoomScaleNormal="20" zoomScaleSheetLayoutView="40" workbookViewId="0">
      <selection activeCell="V4" sqref="V4"/>
    </sheetView>
  </sheetViews>
  <sheetFormatPr defaultRowHeight="15"/>
  <cols>
    <col min="1" max="1" width="2.42578125" customWidth="1"/>
    <col min="2" max="2" width="36.42578125" customWidth="1"/>
    <col min="4" max="4" width="8.85546875" customWidth="1"/>
    <col min="7" max="7" width="2.42578125" customWidth="1"/>
    <col min="8" max="8" width="6.5703125" style="15" bestFit="1" customWidth="1"/>
    <col min="9" max="9" width="60.7109375" customWidth="1"/>
    <col min="10" max="12" width="11.28515625" customWidth="1"/>
    <col min="13" max="13" width="6.5703125" style="15" bestFit="1" customWidth="1"/>
    <col min="14" max="14" width="60.7109375" customWidth="1"/>
    <col min="15" max="17" width="11.28515625" customWidth="1"/>
    <col min="18" max="18" width="6.5703125" style="15" bestFit="1" customWidth="1"/>
    <col min="19" max="19" width="60.7109375" customWidth="1"/>
    <col min="20" max="22" width="11.28515625" customWidth="1"/>
    <col min="23" max="23" width="6.5703125" style="15" bestFit="1" customWidth="1"/>
    <col min="24" max="24" width="60.7109375" customWidth="1"/>
    <col min="25" max="27" width="11.28515625" customWidth="1"/>
    <col min="28" max="28" width="6.5703125" style="15" bestFit="1" customWidth="1"/>
    <col min="29" max="29" width="60.7109375" customWidth="1"/>
    <col min="30" max="32" width="11.28515625" customWidth="1"/>
    <col min="33" max="33" width="6.5703125" style="15" bestFit="1" customWidth="1"/>
    <col min="34" max="34" width="60.7109375" customWidth="1"/>
    <col min="35" max="37" width="11.28515625" customWidth="1"/>
    <col min="38" max="38" width="5.7109375" style="15" customWidth="1"/>
    <col min="39" max="39" width="60.7109375" customWidth="1"/>
    <col min="40" max="42" width="11.28515625" customWidth="1"/>
    <col min="43" max="43" width="5.7109375" style="15" customWidth="1"/>
    <col min="44" max="44" width="60.7109375" customWidth="1"/>
    <col min="45" max="47" width="11.28515625" customWidth="1"/>
    <col min="48" max="48" width="5.7109375" style="15" customWidth="1"/>
    <col min="49" max="49" width="60.7109375" customWidth="1"/>
    <col min="50" max="52" width="11.28515625" customWidth="1"/>
    <col min="53" max="53" width="5.7109375" style="15" customWidth="1"/>
    <col min="54" max="54" width="60.7109375" customWidth="1"/>
    <col min="55" max="57" width="11.28515625" customWidth="1"/>
  </cols>
  <sheetData>
    <row r="1" spans="2:57" s="1" customFormat="1" ht="47.45" customHeight="1">
      <c r="C1" s="16"/>
      <c r="D1" s="16"/>
      <c r="E1" s="16"/>
      <c r="F1" s="16"/>
      <c r="G1" s="16"/>
      <c r="H1" s="46" t="str">
        <f>'YAMAZUMI цеха'!H1</f>
        <v>YAMAZUMI ""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</row>
    <row r="2" spans="2:57" s="1" customFormat="1" ht="51.6" customHeight="1">
      <c r="H2" s="47" t="s">
        <v>12</v>
      </c>
      <c r="I2" s="47"/>
      <c r="J2" s="47"/>
      <c r="K2" s="47"/>
      <c r="L2" s="2"/>
      <c r="M2" s="47" t="s">
        <v>6</v>
      </c>
      <c r="N2" s="47"/>
      <c r="O2" s="47"/>
      <c r="P2" s="47"/>
      <c r="Q2" s="2"/>
      <c r="R2" s="47" t="s">
        <v>7</v>
      </c>
      <c r="S2" s="47"/>
      <c r="T2" s="47"/>
      <c r="U2" s="2"/>
      <c r="V2" s="47" t="s">
        <v>0</v>
      </c>
      <c r="W2" s="47"/>
      <c r="X2" s="47"/>
      <c r="Y2" s="2"/>
      <c r="Z2" s="47" t="s">
        <v>13</v>
      </c>
      <c r="AA2" s="47"/>
      <c r="AB2" s="47"/>
      <c r="AC2" s="30">
        <f>MAX(E5:E14)*1.1</f>
        <v>0</v>
      </c>
      <c r="AE2" s="41" t="s">
        <v>30</v>
      </c>
      <c r="AF2" s="41"/>
      <c r="AG2" s="4"/>
      <c r="AL2" s="4"/>
      <c r="AQ2" s="4"/>
      <c r="AV2" s="4"/>
      <c r="BA2" s="4"/>
    </row>
    <row r="3" spans="2:57" s="1" customFormat="1" ht="51.6" customHeight="1">
      <c r="H3" s="47">
        <f>COUNTA(I18:I153,N18:N153,S18:S153,X18:X153,AC18:AC153)</f>
        <v>0</v>
      </c>
      <c r="I3" s="47"/>
      <c r="J3" s="47"/>
      <c r="K3" s="47"/>
      <c r="L3" s="2"/>
      <c r="M3" s="47">
        <f>COUNTA(I18,N18,S18,X18,AC18)</f>
        <v>0</v>
      </c>
      <c r="N3" s="47"/>
      <c r="O3" s="47"/>
      <c r="P3" s="47"/>
      <c r="Q3" s="2"/>
      <c r="R3" s="48">
        <f>'YAMAZUMI цеха'!R3</f>
        <v>0</v>
      </c>
      <c r="S3" s="47"/>
      <c r="T3" s="47"/>
      <c r="U3" s="2"/>
      <c r="V3" s="47"/>
      <c r="W3" s="47"/>
      <c r="X3" s="47"/>
      <c r="Y3" s="2"/>
      <c r="Z3" s="47" t="s">
        <v>8</v>
      </c>
      <c r="AA3" s="47"/>
      <c r="AB3" s="47"/>
      <c r="AC3" s="30">
        <f>MAX(E5:E14)</f>
        <v>0</v>
      </c>
      <c r="AE3" s="42" t="e">
        <f>26700/AC2</f>
        <v>#DIV/0!</v>
      </c>
      <c r="AF3" s="42"/>
      <c r="AG3" s="4"/>
      <c r="AL3" s="4"/>
      <c r="AQ3" s="4"/>
      <c r="AV3" s="4"/>
      <c r="BA3" s="4"/>
    </row>
    <row r="4" spans="2:57" s="1" customFormat="1" ht="81.599999999999994" customHeight="1">
      <c r="B4" s="28" t="s">
        <v>9</v>
      </c>
      <c r="C4" s="6" t="s">
        <v>2</v>
      </c>
      <c r="D4" s="6" t="s">
        <v>3</v>
      </c>
      <c r="E4" s="6" t="s">
        <v>10</v>
      </c>
      <c r="F4" s="6" t="s">
        <v>5</v>
      </c>
      <c r="H4" s="4"/>
      <c r="M4" s="4"/>
      <c r="R4" s="4"/>
      <c r="W4" s="4"/>
      <c r="AB4" s="4"/>
      <c r="AG4" s="4"/>
      <c r="AL4" s="4"/>
      <c r="AQ4" s="4"/>
      <c r="AV4" s="4"/>
      <c r="BA4" s="4"/>
    </row>
    <row r="5" spans="2:57" s="1" customFormat="1" ht="51.6" customHeight="1">
      <c r="B5" s="7" t="s">
        <v>20</v>
      </c>
      <c r="C5" s="30">
        <f>J17</f>
        <v>0</v>
      </c>
      <c r="D5" s="30">
        <f>K17</f>
        <v>0</v>
      </c>
      <c r="E5" s="30">
        <f>L17</f>
        <v>0</v>
      </c>
      <c r="F5" s="30">
        <f>AC2</f>
        <v>0</v>
      </c>
      <c r="H5" s="4"/>
      <c r="M5" s="4"/>
      <c r="R5" s="4"/>
      <c r="W5" s="4"/>
      <c r="AB5" s="4"/>
      <c r="AG5" s="4"/>
      <c r="AL5" s="4"/>
      <c r="AQ5" s="4"/>
      <c r="AV5" s="4"/>
      <c r="BA5" s="4"/>
    </row>
    <row r="6" spans="2:57" s="1" customFormat="1" ht="51.6" customHeight="1">
      <c r="B6" s="7" t="s">
        <v>21</v>
      </c>
      <c r="C6" s="30">
        <f>O17</f>
        <v>0</v>
      </c>
      <c r="D6" s="30">
        <f>P17</f>
        <v>0</v>
      </c>
      <c r="E6" s="30">
        <f>Q17</f>
        <v>0</v>
      </c>
      <c r="F6" s="30">
        <f>AC2</f>
        <v>0</v>
      </c>
      <c r="H6" s="4"/>
      <c r="M6" s="4"/>
      <c r="R6" s="4"/>
      <c r="W6" s="4"/>
      <c r="AB6" s="4"/>
      <c r="AG6" s="4"/>
      <c r="AL6" s="4"/>
      <c r="AQ6" s="4"/>
      <c r="AV6" s="4"/>
      <c r="BA6" s="4"/>
    </row>
    <row r="7" spans="2:57" s="1" customFormat="1" ht="51.6" customHeight="1">
      <c r="B7" s="7" t="s">
        <v>22</v>
      </c>
      <c r="C7" s="30">
        <f>T17</f>
        <v>0</v>
      </c>
      <c r="D7" s="30">
        <f>U17</f>
        <v>0</v>
      </c>
      <c r="E7" s="30">
        <f>V17</f>
        <v>0</v>
      </c>
      <c r="F7" s="30">
        <f>AC2</f>
        <v>0</v>
      </c>
      <c r="H7" s="4"/>
      <c r="M7" s="4"/>
      <c r="R7" s="4"/>
      <c r="W7" s="4"/>
      <c r="AB7" s="4"/>
      <c r="AG7" s="4"/>
      <c r="AL7" s="4"/>
      <c r="AQ7" s="4"/>
      <c r="AV7" s="4"/>
      <c r="BA7" s="4"/>
    </row>
    <row r="8" spans="2:57" s="1" customFormat="1" ht="51.6" customHeight="1">
      <c r="B8" s="7" t="s">
        <v>23</v>
      </c>
      <c r="C8" s="30">
        <f>Y17</f>
        <v>0</v>
      </c>
      <c r="D8" s="30">
        <f>Z17</f>
        <v>0</v>
      </c>
      <c r="E8" s="30">
        <f>AA17</f>
        <v>0</v>
      </c>
      <c r="F8" s="30">
        <f>AC2</f>
        <v>0</v>
      </c>
      <c r="H8" s="4"/>
      <c r="M8" s="4"/>
      <c r="R8" s="4"/>
      <c r="W8" s="4"/>
      <c r="AB8" s="4"/>
      <c r="AG8" s="4"/>
      <c r="AL8" s="4"/>
      <c r="AQ8" s="4"/>
      <c r="AV8" s="4"/>
      <c r="BA8" s="4"/>
    </row>
    <row r="9" spans="2:57" s="1" customFormat="1" ht="51.6" customHeight="1">
      <c r="B9" s="7" t="s">
        <v>24</v>
      </c>
      <c r="C9" s="30">
        <f>AD17</f>
        <v>0</v>
      </c>
      <c r="D9" s="30">
        <f>AE17</f>
        <v>0</v>
      </c>
      <c r="E9" s="30">
        <f>AF17</f>
        <v>0</v>
      </c>
      <c r="F9" s="30">
        <f>AC2</f>
        <v>0</v>
      </c>
      <c r="H9" s="4"/>
      <c r="M9" s="4"/>
      <c r="R9" s="4"/>
      <c r="W9" s="4"/>
      <c r="AB9" s="4"/>
      <c r="AG9" s="4"/>
      <c r="AL9" s="4"/>
      <c r="AQ9" s="4"/>
      <c r="AV9" s="4"/>
      <c r="BA9" s="4"/>
    </row>
    <row r="10" spans="2:57" s="1" customFormat="1" ht="51.6" customHeight="1">
      <c r="B10" s="7" t="s">
        <v>25</v>
      </c>
      <c r="C10" s="30">
        <f>AI17</f>
        <v>0</v>
      </c>
      <c r="D10" s="30">
        <f>AJ17</f>
        <v>0</v>
      </c>
      <c r="E10" s="30">
        <f>AK17</f>
        <v>0</v>
      </c>
      <c r="F10" s="30">
        <f>AC2</f>
        <v>0</v>
      </c>
      <c r="H10" s="4"/>
      <c r="M10" s="4"/>
      <c r="R10" s="4"/>
      <c r="W10" s="4"/>
      <c r="AB10" s="4"/>
      <c r="AG10" s="4"/>
      <c r="AL10" s="4"/>
      <c r="AQ10" s="4"/>
      <c r="AV10" s="4"/>
      <c r="BA10" s="4"/>
    </row>
    <row r="11" spans="2:57" s="1" customFormat="1" ht="51.6" customHeight="1">
      <c r="B11" s="7" t="s">
        <v>26</v>
      </c>
      <c r="C11" s="30">
        <f>AN17</f>
        <v>0</v>
      </c>
      <c r="D11" s="30">
        <f>AO17</f>
        <v>0</v>
      </c>
      <c r="E11" s="30">
        <f>AP17</f>
        <v>0</v>
      </c>
      <c r="F11" s="30">
        <f>AC2</f>
        <v>0</v>
      </c>
      <c r="H11" s="4"/>
      <c r="M11" s="4"/>
      <c r="R11" s="4"/>
      <c r="W11" s="4"/>
      <c r="AB11" s="4"/>
      <c r="AG11" s="4"/>
      <c r="AL11" s="4"/>
      <c r="AQ11" s="4"/>
      <c r="AV11" s="4"/>
      <c r="BA11" s="4"/>
    </row>
    <row r="12" spans="2:57" s="1" customFormat="1" ht="51.6" customHeight="1">
      <c r="B12" s="7" t="s">
        <v>27</v>
      </c>
      <c r="C12" s="30">
        <f>AS17</f>
        <v>0</v>
      </c>
      <c r="D12" s="30">
        <f>AT17</f>
        <v>0</v>
      </c>
      <c r="E12" s="30">
        <f>AU17</f>
        <v>0</v>
      </c>
      <c r="F12" s="30">
        <f>AC2</f>
        <v>0</v>
      </c>
      <c r="H12" s="4"/>
      <c r="M12" s="4"/>
      <c r="R12" s="4"/>
      <c r="W12" s="4"/>
      <c r="AB12" s="4"/>
      <c r="AG12" s="4"/>
      <c r="AL12" s="4"/>
      <c r="AQ12" s="4"/>
      <c r="AV12" s="4"/>
      <c r="BA12" s="4"/>
    </row>
    <row r="13" spans="2:57" s="1" customFormat="1" ht="51.6" customHeight="1">
      <c r="B13" s="7" t="s">
        <v>28</v>
      </c>
      <c r="C13" s="30">
        <f>AX17</f>
        <v>0</v>
      </c>
      <c r="D13" s="30">
        <f>AY17</f>
        <v>0</v>
      </c>
      <c r="E13" s="30">
        <f>AZ17</f>
        <v>0</v>
      </c>
      <c r="F13" s="30">
        <f>AC2</f>
        <v>0</v>
      </c>
      <c r="H13" s="4"/>
      <c r="M13" s="4"/>
      <c r="R13" s="4"/>
      <c r="W13" s="4"/>
      <c r="AB13" s="4"/>
      <c r="AG13" s="4"/>
      <c r="AL13" s="4"/>
      <c r="AQ13" s="4"/>
      <c r="AV13" s="4"/>
      <c r="BA13" s="4"/>
    </row>
    <row r="14" spans="2:57" s="1" customFormat="1" ht="51.6" customHeight="1">
      <c r="B14" s="7" t="s">
        <v>29</v>
      </c>
      <c r="C14" s="30">
        <f>BC17</f>
        <v>0</v>
      </c>
      <c r="D14" s="30">
        <f>BD17</f>
        <v>0</v>
      </c>
      <c r="E14" s="30">
        <f>BE17</f>
        <v>0</v>
      </c>
      <c r="F14" s="30">
        <f>AC2</f>
        <v>0</v>
      </c>
      <c r="H14" s="4"/>
      <c r="M14" s="4"/>
      <c r="R14" s="4"/>
      <c r="W14" s="4"/>
      <c r="AB14" s="4"/>
      <c r="AG14" s="4"/>
      <c r="AL14" s="4"/>
      <c r="AQ14" s="4"/>
      <c r="AV14" s="4"/>
      <c r="BA14" s="4"/>
    </row>
    <row r="15" spans="2:57" s="1" customFormat="1" ht="15.75">
      <c r="H15" s="4"/>
      <c r="M15" s="4"/>
      <c r="R15" s="4"/>
      <c r="W15" s="4"/>
      <c r="AB15" s="4"/>
      <c r="AG15" s="4"/>
      <c r="AL15" s="4"/>
      <c r="AQ15" s="4"/>
      <c r="AV15" s="4"/>
      <c r="BA15" s="4"/>
    </row>
    <row r="16" spans="2:57" s="2" customFormat="1" ht="94.15" customHeight="1">
      <c r="H16" s="43" t="s">
        <v>1</v>
      </c>
      <c r="I16" s="30" t="s">
        <v>20</v>
      </c>
      <c r="J16" s="8" t="s">
        <v>2</v>
      </c>
      <c r="K16" s="8" t="s">
        <v>3</v>
      </c>
      <c r="L16" s="8" t="s">
        <v>10</v>
      </c>
      <c r="M16" s="43" t="s">
        <v>1</v>
      </c>
      <c r="N16" s="30" t="s">
        <v>21</v>
      </c>
      <c r="O16" s="8" t="s">
        <v>2</v>
      </c>
      <c r="P16" s="8" t="s">
        <v>3</v>
      </c>
      <c r="Q16" s="8" t="s">
        <v>10</v>
      </c>
      <c r="R16" s="43" t="s">
        <v>1</v>
      </c>
      <c r="S16" s="30" t="s">
        <v>22</v>
      </c>
      <c r="T16" s="8" t="s">
        <v>2</v>
      </c>
      <c r="U16" s="8" t="s">
        <v>3</v>
      </c>
      <c r="V16" s="8" t="s">
        <v>10</v>
      </c>
      <c r="W16" s="43" t="s">
        <v>1</v>
      </c>
      <c r="X16" s="30" t="s">
        <v>23</v>
      </c>
      <c r="Y16" s="8" t="s">
        <v>2</v>
      </c>
      <c r="Z16" s="8" t="s">
        <v>3</v>
      </c>
      <c r="AA16" s="8" t="s">
        <v>10</v>
      </c>
      <c r="AB16" s="43" t="s">
        <v>1</v>
      </c>
      <c r="AC16" s="30" t="s">
        <v>24</v>
      </c>
      <c r="AD16" s="8" t="s">
        <v>2</v>
      </c>
      <c r="AE16" s="8" t="s">
        <v>3</v>
      </c>
      <c r="AF16" s="8" t="s">
        <v>10</v>
      </c>
      <c r="AG16" s="43" t="s">
        <v>1</v>
      </c>
      <c r="AH16" s="30" t="s">
        <v>25</v>
      </c>
      <c r="AI16" s="8" t="s">
        <v>2</v>
      </c>
      <c r="AJ16" s="8" t="s">
        <v>3</v>
      </c>
      <c r="AK16" s="8" t="s">
        <v>10</v>
      </c>
      <c r="AL16" s="43" t="s">
        <v>1</v>
      </c>
      <c r="AM16" s="30" t="s">
        <v>26</v>
      </c>
      <c r="AN16" s="8" t="s">
        <v>2</v>
      </c>
      <c r="AO16" s="8" t="s">
        <v>3</v>
      </c>
      <c r="AP16" s="8" t="s">
        <v>10</v>
      </c>
      <c r="AQ16" s="43" t="s">
        <v>1</v>
      </c>
      <c r="AR16" s="30" t="s">
        <v>27</v>
      </c>
      <c r="AS16" s="8" t="s">
        <v>2</v>
      </c>
      <c r="AT16" s="8" t="s">
        <v>3</v>
      </c>
      <c r="AU16" s="8" t="s">
        <v>10</v>
      </c>
      <c r="AV16" s="43" t="s">
        <v>1</v>
      </c>
      <c r="AW16" s="30" t="s">
        <v>28</v>
      </c>
      <c r="AX16" s="8" t="s">
        <v>2</v>
      </c>
      <c r="AY16" s="8" t="s">
        <v>3</v>
      </c>
      <c r="AZ16" s="8" t="s">
        <v>10</v>
      </c>
      <c r="BA16" s="43" t="s">
        <v>1</v>
      </c>
      <c r="BB16" s="30" t="s">
        <v>29</v>
      </c>
      <c r="BC16" s="8" t="s">
        <v>2</v>
      </c>
      <c r="BD16" s="8" t="s">
        <v>3</v>
      </c>
      <c r="BE16" s="8" t="s">
        <v>10</v>
      </c>
    </row>
    <row r="17" spans="1:57" s="2" customFormat="1" ht="63.6" customHeight="1">
      <c r="H17" s="43"/>
      <c r="I17" s="28" t="s">
        <v>4</v>
      </c>
      <c r="J17" s="9">
        <f>SUM(J18:J73)</f>
        <v>0</v>
      </c>
      <c r="K17" s="9">
        <f>SUM(K18:K73)</f>
        <v>0</v>
      </c>
      <c r="L17" s="9">
        <f>SUM(L18:L73)</f>
        <v>0</v>
      </c>
      <c r="M17" s="43"/>
      <c r="N17" s="28" t="s">
        <v>4</v>
      </c>
      <c r="O17" s="9">
        <f>SUM(O18:O73)</f>
        <v>0</v>
      </c>
      <c r="P17" s="9">
        <f>SUM(P18:P73)</f>
        <v>0</v>
      </c>
      <c r="Q17" s="9">
        <f>SUM(Q18:Q73)</f>
        <v>0</v>
      </c>
      <c r="R17" s="43"/>
      <c r="S17" s="28" t="s">
        <v>4</v>
      </c>
      <c r="T17" s="9">
        <f>SUM(T18:T73)</f>
        <v>0</v>
      </c>
      <c r="U17" s="9">
        <f>SUM(U18:U73)</f>
        <v>0</v>
      </c>
      <c r="V17" s="9">
        <f>SUM(V18:V73)</f>
        <v>0</v>
      </c>
      <c r="W17" s="43"/>
      <c r="X17" s="28" t="s">
        <v>4</v>
      </c>
      <c r="Y17" s="9">
        <f>SUM(Y18:Y73)</f>
        <v>0</v>
      </c>
      <c r="Z17" s="9">
        <f>SUM(Z18:Z73)</f>
        <v>0</v>
      </c>
      <c r="AA17" s="9">
        <f>SUM(AA18:AA73)</f>
        <v>0</v>
      </c>
      <c r="AB17" s="43"/>
      <c r="AC17" s="28" t="s">
        <v>4</v>
      </c>
      <c r="AD17" s="9">
        <f>SUM(AD18:AD73)</f>
        <v>0</v>
      </c>
      <c r="AE17" s="9">
        <f>SUM(AE18:AE73)</f>
        <v>0</v>
      </c>
      <c r="AF17" s="9">
        <f>SUM(AF18:AF73)</f>
        <v>0</v>
      </c>
      <c r="AG17" s="43"/>
      <c r="AH17" s="28" t="s">
        <v>4</v>
      </c>
      <c r="AI17" s="9">
        <f>SUM(AI18:AI73)</f>
        <v>0</v>
      </c>
      <c r="AJ17" s="9">
        <f>SUM(AJ18:AJ73)</f>
        <v>0</v>
      </c>
      <c r="AK17" s="9">
        <f>SUM(AK18:AK73)</f>
        <v>0</v>
      </c>
      <c r="AL17" s="43"/>
      <c r="AM17" s="28" t="s">
        <v>4</v>
      </c>
      <c r="AN17" s="9">
        <f>SUM(AN18:AN73)</f>
        <v>0</v>
      </c>
      <c r="AO17" s="9">
        <f>SUM(AO18:AO73)</f>
        <v>0</v>
      </c>
      <c r="AP17" s="9">
        <f>SUM(AP18:AP73)</f>
        <v>0</v>
      </c>
      <c r="AQ17" s="43"/>
      <c r="AR17" s="28" t="s">
        <v>4</v>
      </c>
      <c r="AS17" s="9">
        <f>SUM(AS18:AS73)</f>
        <v>0</v>
      </c>
      <c r="AT17" s="9">
        <f>SUM(AT18:AT73)</f>
        <v>0</v>
      </c>
      <c r="AU17" s="9">
        <f>SUM(AU18:AU73)</f>
        <v>0</v>
      </c>
      <c r="AV17" s="43"/>
      <c r="AW17" s="28" t="s">
        <v>4</v>
      </c>
      <c r="AX17" s="9">
        <f>SUM(AX18:AX73)</f>
        <v>0</v>
      </c>
      <c r="AY17" s="9">
        <f>SUM(AY18:AY73)</f>
        <v>0</v>
      </c>
      <c r="AZ17" s="9">
        <f>SUM(AZ18:AZ73)</f>
        <v>0</v>
      </c>
      <c r="BA17" s="43"/>
      <c r="BB17" s="28" t="s">
        <v>4</v>
      </c>
      <c r="BC17" s="9">
        <f>SUM(BC18:BC73)</f>
        <v>0</v>
      </c>
      <c r="BD17" s="9">
        <f>SUM(BD18:BD73)</f>
        <v>0</v>
      </c>
      <c r="BE17" s="9">
        <f>SUM(BE18:BE73)</f>
        <v>0</v>
      </c>
    </row>
    <row r="18" spans="1:57" s="2" customFormat="1" ht="90" customHeight="1">
      <c r="H18" s="29">
        <v>1</v>
      </c>
      <c r="I18" s="11"/>
      <c r="J18" s="12"/>
      <c r="K18" s="12"/>
      <c r="L18" s="12">
        <f>SUM(J18:K18)</f>
        <v>0</v>
      </c>
      <c r="M18" s="29">
        <v>1</v>
      </c>
      <c r="N18" s="11"/>
      <c r="O18" s="12"/>
      <c r="P18" s="12"/>
      <c r="Q18" s="12">
        <f>SUM(O18:P18)</f>
        <v>0</v>
      </c>
      <c r="R18" s="29">
        <v>1</v>
      </c>
      <c r="S18" s="13"/>
      <c r="T18" s="14"/>
      <c r="U18" s="14"/>
      <c r="V18" s="12">
        <f>SUM(T18:U18)</f>
        <v>0</v>
      </c>
      <c r="W18" s="29">
        <v>1</v>
      </c>
      <c r="X18" s="13"/>
      <c r="Y18" s="14"/>
      <c r="Z18" s="14"/>
      <c r="AA18" s="12">
        <f>SUM(Y18:Z18)</f>
        <v>0</v>
      </c>
      <c r="AB18" s="29">
        <v>1</v>
      </c>
      <c r="AC18" s="11"/>
      <c r="AD18" s="12"/>
      <c r="AE18" s="12"/>
      <c r="AF18" s="12">
        <f>SUM(AD18:AE18)</f>
        <v>0</v>
      </c>
      <c r="AG18" s="29">
        <v>1</v>
      </c>
      <c r="AH18" s="11"/>
      <c r="AI18" s="12"/>
      <c r="AJ18" s="12"/>
      <c r="AK18" s="12">
        <f>SUM(AI18:AJ18)</f>
        <v>0</v>
      </c>
      <c r="AL18" s="29">
        <v>1</v>
      </c>
      <c r="AM18" s="11"/>
      <c r="AN18" s="12"/>
      <c r="AO18" s="12"/>
      <c r="AP18" s="12">
        <f>SUM(AN18:AO18)</f>
        <v>0</v>
      </c>
      <c r="AQ18" s="29">
        <v>1</v>
      </c>
      <c r="AR18" s="11"/>
      <c r="AS18" s="12"/>
      <c r="AT18" s="12"/>
      <c r="AU18" s="12">
        <f>SUM(AS18:AT18)</f>
        <v>0</v>
      </c>
      <c r="AV18" s="29">
        <v>1</v>
      </c>
      <c r="AW18" s="11"/>
      <c r="AX18" s="12"/>
      <c r="AY18" s="12"/>
      <c r="AZ18" s="12">
        <f>SUM(AX18:AY18)</f>
        <v>0</v>
      </c>
      <c r="BA18" s="29">
        <v>1</v>
      </c>
      <c r="BB18" s="11"/>
      <c r="BC18" s="12"/>
      <c r="BD18" s="12"/>
      <c r="BE18" s="12">
        <f>SUM(BC18:BD18)</f>
        <v>0</v>
      </c>
    </row>
    <row r="19" spans="1:57" s="2" customFormat="1" ht="90" customHeight="1">
      <c r="H19" s="28">
        <v>2</v>
      </c>
      <c r="I19" s="13"/>
      <c r="J19" s="14"/>
      <c r="K19" s="14"/>
      <c r="L19" s="14">
        <f t="shared" ref="L19:L73" si="0">SUM(J19:K19)</f>
        <v>0</v>
      </c>
      <c r="M19" s="28">
        <v>2</v>
      </c>
      <c r="N19" s="13"/>
      <c r="O19" s="14"/>
      <c r="P19" s="14"/>
      <c r="Q19" s="14">
        <f t="shared" ref="Q19:Q73" si="1">SUM(O19:P19)</f>
        <v>0</v>
      </c>
      <c r="R19" s="28">
        <v>2</v>
      </c>
      <c r="S19" s="11"/>
      <c r="T19" s="12"/>
      <c r="U19" s="12"/>
      <c r="V19" s="14">
        <f t="shared" ref="V19:V73" si="2">SUM(T19:U19)</f>
        <v>0</v>
      </c>
      <c r="W19" s="28">
        <v>2</v>
      </c>
      <c r="X19" s="11"/>
      <c r="Y19" s="12"/>
      <c r="Z19" s="12"/>
      <c r="AA19" s="14">
        <f t="shared" ref="AA19:AA73" si="3">SUM(Y19:Z19)</f>
        <v>0</v>
      </c>
      <c r="AB19" s="28">
        <v>2</v>
      </c>
      <c r="AC19" s="13"/>
      <c r="AD19" s="14"/>
      <c r="AE19" s="14"/>
      <c r="AF19" s="14">
        <f t="shared" ref="AF19:AF73" si="4">SUM(AD19:AE19)</f>
        <v>0</v>
      </c>
      <c r="AG19" s="28">
        <v>2</v>
      </c>
      <c r="AH19" s="13"/>
      <c r="AI19" s="14"/>
      <c r="AJ19" s="14"/>
      <c r="AK19" s="14">
        <f t="shared" ref="AK19:AK73" si="5">SUM(AI19:AJ19)</f>
        <v>0</v>
      </c>
      <c r="AL19" s="28">
        <v>2</v>
      </c>
      <c r="AM19" s="13"/>
      <c r="AN19" s="14"/>
      <c r="AO19" s="14"/>
      <c r="AP19" s="14">
        <f t="shared" ref="AP19:AP73" si="6">SUM(AN19:AO19)</f>
        <v>0</v>
      </c>
      <c r="AQ19" s="28">
        <v>2</v>
      </c>
      <c r="AR19" s="13"/>
      <c r="AS19" s="14"/>
      <c r="AT19" s="14"/>
      <c r="AU19" s="14">
        <f t="shared" ref="AU19:AU73" si="7">SUM(AS19:AT19)</f>
        <v>0</v>
      </c>
      <c r="AV19" s="28">
        <v>2</v>
      </c>
      <c r="AW19" s="13"/>
      <c r="AX19" s="14"/>
      <c r="AY19" s="14"/>
      <c r="AZ19" s="14">
        <f t="shared" ref="AZ19:AZ73" si="8">SUM(AX19:AY19)</f>
        <v>0</v>
      </c>
      <c r="BA19" s="28">
        <v>2</v>
      </c>
      <c r="BB19" s="13"/>
      <c r="BC19" s="14"/>
      <c r="BD19" s="14"/>
      <c r="BE19" s="14">
        <f t="shared" ref="BE19:BE73" si="9">SUM(BC19:BD19)</f>
        <v>0</v>
      </c>
    </row>
    <row r="20" spans="1:57" s="2" customFormat="1" ht="90" customHeight="1">
      <c r="A20" s="18"/>
      <c r="H20" s="28">
        <v>3</v>
      </c>
      <c r="I20" s="13"/>
      <c r="J20" s="14"/>
      <c r="K20" s="14"/>
      <c r="L20" s="14">
        <f t="shared" si="0"/>
        <v>0</v>
      </c>
      <c r="M20" s="28">
        <v>3</v>
      </c>
      <c r="N20" s="13"/>
      <c r="O20" s="14"/>
      <c r="P20" s="14"/>
      <c r="Q20" s="14">
        <f t="shared" si="1"/>
        <v>0</v>
      </c>
      <c r="R20" s="28">
        <v>3</v>
      </c>
      <c r="S20" s="13"/>
      <c r="T20" s="14"/>
      <c r="U20" s="14"/>
      <c r="V20" s="14">
        <f t="shared" si="2"/>
        <v>0</v>
      </c>
      <c r="W20" s="28">
        <v>3</v>
      </c>
      <c r="X20" s="13"/>
      <c r="Y20" s="14"/>
      <c r="Z20" s="14"/>
      <c r="AA20" s="14">
        <f t="shared" si="3"/>
        <v>0</v>
      </c>
      <c r="AB20" s="28">
        <v>3</v>
      </c>
      <c r="AC20" s="13"/>
      <c r="AD20" s="14"/>
      <c r="AE20" s="14"/>
      <c r="AF20" s="14">
        <f t="shared" si="4"/>
        <v>0</v>
      </c>
      <c r="AG20" s="28">
        <v>3</v>
      </c>
      <c r="AH20" s="13"/>
      <c r="AI20" s="14"/>
      <c r="AJ20" s="14"/>
      <c r="AK20" s="14">
        <f t="shared" si="5"/>
        <v>0</v>
      </c>
      <c r="AL20" s="28">
        <v>3</v>
      </c>
      <c r="AM20" s="13"/>
      <c r="AN20" s="14"/>
      <c r="AO20" s="14"/>
      <c r="AP20" s="14">
        <f t="shared" si="6"/>
        <v>0</v>
      </c>
      <c r="AQ20" s="28">
        <v>3</v>
      </c>
      <c r="AR20" s="13"/>
      <c r="AS20" s="14"/>
      <c r="AT20" s="14"/>
      <c r="AU20" s="14">
        <f t="shared" si="7"/>
        <v>0</v>
      </c>
      <c r="AV20" s="28">
        <v>3</v>
      </c>
      <c r="AW20" s="13"/>
      <c r="AX20" s="14"/>
      <c r="AY20" s="14"/>
      <c r="AZ20" s="14">
        <f t="shared" si="8"/>
        <v>0</v>
      </c>
      <c r="BA20" s="28">
        <v>3</v>
      </c>
      <c r="BB20" s="13"/>
      <c r="BC20" s="14"/>
      <c r="BD20" s="14"/>
      <c r="BE20" s="14">
        <f t="shared" si="9"/>
        <v>0</v>
      </c>
    </row>
    <row r="21" spans="1:57" s="2" customFormat="1" ht="90" customHeight="1">
      <c r="H21" s="28">
        <v>4</v>
      </c>
      <c r="I21" s="13"/>
      <c r="J21" s="14"/>
      <c r="K21" s="14"/>
      <c r="L21" s="14">
        <f t="shared" si="0"/>
        <v>0</v>
      </c>
      <c r="M21" s="28">
        <v>4</v>
      </c>
      <c r="N21" s="13"/>
      <c r="O21" s="14"/>
      <c r="P21" s="14"/>
      <c r="Q21" s="14">
        <f t="shared" si="1"/>
        <v>0</v>
      </c>
      <c r="R21" s="28">
        <v>4</v>
      </c>
      <c r="S21" s="13"/>
      <c r="T21" s="14"/>
      <c r="U21" s="14"/>
      <c r="V21" s="14">
        <f t="shared" si="2"/>
        <v>0</v>
      </c>
      <c r="W21" s="28">
        <v>4</v>
      </c>
      <c r="X21" s="13"/>
      <c r="Y21" s="14"/>
      <c r="Z21" s="14"/>
      <c r="AA21" s="14">
        <f t="shared" si="3"/>
        <v>0</v>
      </c>
      <c r="AB21" s="28">
        <v>4</v>
      </c>
      <c r="AC21" s="13"/>
      <c r="AD21" s="14"/>
      <c r="AE21" s="14"/>
      <c r="AF21" s="14">
        <f t="shared" si="4"/>
        <v>0</v>
      </c>
      <c r="AG21" s="28">
        <v>4</v>
      </c>
      <c r="AH21" s="13"/>
      <c r="AI21" s="14"/>
      <c r="AJ21" s="14"/>
      <c r="AK21" s="14">
        <f t="shared" si="5"/>
        <v>0</v>
      </c>
      <c r="AL21" s="28">
        <v>4</v>
      </c>
      <c r="AM21" s="13"/>
      <c r="AN21" s="14"/>
      <c r="AO21" s="14"/>
      <c r="AP21" s="14">
        <f t="shared" si="6"/>
        <v>0</v>
      </c>
      <c r="AQ21" s="28">
        <v>4</v>
      </c>
      <c r="AR21" s="13"/>
      <c r="AS21" s="14"/>
      <c r="AT21" s="14"/>
      <c r="AU21" s="14">
        <f t="shared" si="7"/>
        <v>0</v>
      </c>
      <c r="AV21" s="28">
        <v>4</v>
      </c>
      <c r="AW21" s="13"/>
      <c r="AX21" s="14"/>
      <c r="AY21" s="14"/>
      <c r="AZ21" s="14">
        <f t="shared" si="8"/>
        <v>0</v>
      </c>
      <c r="BA21" s="28">
        <v>4</v>
      </c>
      <c r="BB21" s="13"/>
      <c r="BC21" s="14"/>
      <c r="BD21" s="14"/>
      <c r="BE21" s="14">
        <f t="shared" si="9"/>
        <v>0</v>
      </c>
    </row>
    <row r="22" spans="1:57" s="2" customFormat="1" ht="90" customHeight="1">
      <c r="H22" s="28">
        <v>5</v>
      </c>
      <c r="I22" s="13"/>
      <c r="J22" s="14"/>
      <c r="K22" s="14"/>
      <c r="L22" s="14">
        <f t="shared" si="0"/>
        <v>0</v>
      </c>
      <c r="M22" s="28">
        <v>5</v>
      </c>
      <c r="N22" s="13"/>
      <c r="O22" s="14"/>
      <c r="P22" s="14"/>
      <c r="Q22" s="14">
        <f t="shared" si="1"/>
        <v>0</v>
      </c>
      <c r="R22" s="28">
        <v>5</v>
      </c>
      <c r="S22" s="26"/>
      <c r="T22" s="14"/>
      <c r="U22" s="14"/>
      <c r="V22" s="14">
        <f t="shared" si="2"/>
        <v>0</v>
      </c>
      <c r="W22" s="28">
        <v>5</v>
      </c>
      <c r="X22" s="13"/>
      <c r="Y22" s="14"/>
      <c r="Z22" s="14"/>
      <c r="AA22" s="14">
        <f t="shared" si="3"/>
        <v>0</v>
      </c>
      <c r="AB22" s="28">
        <v>5</v>
      </c>
      <c r="AC22" s="13"/>
      <c r="AD22" s="14"/>
      <c r="AE22" s="14"/>
      <c r="AF22" s="14">
        <f t="shared" si="4"/>
        <v>0</v>
      </c>
      <c r="AG22" s="28">
        <v>5</v>
      </c>
      <c r="AH22" s="13"/>
      <c r="AI22" s="14"/>
      <c r="AJ22" s="14"/>
      <c r="AK22" s="14">
        <f t="shared" si="5"/>
        <v>0</v>
      </c>
      <c r="AL22" s="28">
        <v>5</v>
      </c>
      <c r="AM22" s="13"/>
      <c r="AN22" s="14"/>
      <c r="AO22" s="14"/>
      <c r="AP22" s="14">
        <f t="shared" si="6"/>
        <v>0</v>
      </c>
      <c r="AQ22" s="28">
        <v>5</v>
      </c>
      <c r="AR22" s="13"/>
      <c r="AS22" s="14"/>
      <c r="AT22" s="14"/>
      <c r="AU22" s="14">
        <f t="shared" si="7"/>
        <v>0</v>
      </c>
      <c r="AV22" s="28">
        <v>5</v>
      </c>
      <c r="AW22" s="13"/>
      <c r="AX22" s="14"/>
      <c r="AY22" s="14"/>
      <c r="AZ22" s="14">
        <f t="shared" si="8"/>
        <v>0</v>
      </c>
      <c r="BA22" s="28">
        <v>5</v>
      </c>
      <c r="BB22" s="13"/>
      <c r="BC22" s="14"/>
      <c r="BD22" s="14"/>
      <c r="BE22" s="14">
        <f t="shared" si="9"/>
        <v>0</v>
      </c>
    </row>
    <row r="23" spans="1:57" s="2" customFormat="1" ht="90" customHeight="1">
      <c r="H23" s="28">
        <v>6</v>
      </c>
      <c r="I23" s="13"/>
      <c r="J23" s="14"/>
      <c r="K23" s="14"/>
      <c r="L23" s="14">
        <f t="shared" si="0"/>
        <v>0</v>
      </c>
      <c r="M23" s="28">
        <v>6</v>
      </c>
      <c r="N23" s="13"/>
      <c r="O23" s="14"/>
      <c r="P23" s="14"/>
      <c r="Q23" s="14">
        <f t="shared" si="1"/>
        <v>0</v>
      </c>
      <c r="R23" s="28">
        <v>6</v>
      </c>
      <c r="S23" s="13"/>
      <c r="T23" s="14"/>
      <c r="U23" s="14"/>
      <c r="V23" s="14">
        <f t="shared" si="2"/>
        <v>0</v>
      </c>
      <c r="W23" s="28">
        <v>6</v>
      </c>
      <c r="X23" s="13"/>
      <c r="Y23" s="14"/>
      <c r="Z23" s="14"/>
      <c r="AA23" s="14">
        <f t="shared" si="3"/>
        <v>0</v>
      </c>
      <c r="AB23" s="28">
        <v>6</v>
      </c>
      <c r="AC23" s="13"/>
      <c r="AD23" s="14"/>
      <c r="AE23" s="14"/>
      <c r="AF23" s="14">
        <f t="shared" si="4"/>
        <v>0</v>
      </c>
      <c r="AG23" s="28">
        <v>6</v>
      </c>
      <c r="AH23" s="13"/>
      <c r="AI23" s="14"/>
      <c r="AJ23" s="14"/>
      <c r="AK23" s="14">
        <f t="shared" si="5"/>
        <v>0</v>
      </c>
      <c r="AL23" s="28">
        <v>6</v>
      </c>
      <c r="AM23" s="13"/>
      <c r="AN23" s="14"/>
      <c r="AO23" s="14"/>
      <c r="AP23" s="14">
        <f t="shared" si="6"/>
        <v>0</v>
      </c>
      <c r="AQ23" s="28">
        <v>6</v>
      </c>
      <c r="AR23" s="13"/>
      <c r="AS23" s="14"/>
      <c r="AT23" s="14"/>
      <c r="AU23" s="14">
        <f t="shared" si="7"/>
        <v>0</v>
      </c>
      <c r="AV23" s="28">
        <v>6</v>
      </c>
      <c r="AW23" s="13"/>
      <c r="AX23" s="14"/>
      <c r="AY23" s="14"/>
      <c r="AZ23" s="14">
        <f t="shared" si="8"/>
        <v>0</v>
      </c>
      <c r="BA23" s="28">
        <v>6</v>
      </c>
      <c r="BB23" s="13"/>
      <c r="BC23" s="14"/>
      <c r="BD23" s="14"/>
      <c r="BE23" s="14">
        <f t="shared" si="9"/>
        <v>0</v>
      </c>
    </row>
    <row r="24" spans="1:57" s="2" customFormat="1" ht="90" customHeight="1">
      <c r="H24" s="28">
        <v>7</v>
      </c>
      <c r="I24" s="11"/>
      <c r="J24" s="12"/>
      <c r="K24" s="12"/>
      <c r="L24" s="14">
        <f t="shared" si="0"/>
        <v>0</v>
      </c>
      <c r="M24" s="28">
        <v>7</v>
      </c>
      <c r="N24" s="13"/>
      <c r="O24" s="14"/>
      <c r="P24" s="14"/>
      <c r="Q24" s="14">
        <f t="shared" si="1"/>
        <v>0</v>
      </c>
      <c r="R24" s="28">
        <v>7</v>
      </c>
      <c r="S24" s="13"/>
      <c r="T24" s="14"/>
      <c r="U24" s="14"/>
      <c r="V24" s="14">
        <f t="shared" si="2"/>
        <v>0</v>
      </c>
      <c r="W24" s="28">
        <v>7</v>
      </c>
      <c r="X24" s="13"/>
      <c r="Y24" s="14"/>
      <c r="Z24" s="14"/>
      <c r="AA24" s="14">
        <f t="shared" si="3"/>
        <v>0</v>
      </c>
      <c r="AB24" s="28">
        <v>7</v>
      </c>
      <c r="AC24" s="13"/>
      <c r="AD24" s="14"/>
      <c r="AE24" s="14"/>
      <c r="AF24" s="14">
        <f t="shared" si="4"/>
        <v>0</v>
      </c>
      <c r="AG24" s="28">
        <v>7</v>
      </c>
      <c r="AH24" s="13"/>
      <c r="AI24" s="14"/>
      <c r="AJ24" s="14"/>
      <c r="AK24" s="14">
        <f t="shared" si="5"/>
        <v>0</v>
      </c>
      <c r="AL24" s="28">
        <v>7</v>
      </c>
      <c r="AM24" s="13"/>
      <c r="AN24" s="14"/>
      <c r="AO24" s="14"/>
      <c r="AP24" s="14">
        <f t="shared" si="6"/>
        <v>0</v>
      </c>
      <c r="AQ24" s="28">
        <v>7</v>
      </c>
      <c r="AR24" s="13"/>
      <c r="AS24" s="14"/>
      <c r="AT24" s="14"/>
      <c r="AU24" s="14">
        <f t="shared" si="7"/>
        <v>0</v>
      </c>
      <c r="AV24" s="28">
        <v>7</v>
      </c>
      <c r="AW24" s="13"/>
      <c r="AX24" s="14"/>
      <c r="AY24" s="14"/>
      <c r="AZ24" s="14">
        <f t="shared" si="8"/>
        <v>0</v>
      </c>
      <c r="BA24" s="28">
        <v>7</v>
      </c>
      <c r="BB24" s="13"/>
      <c r="BC24" s="14"/>
      <c r="BD24" s="14"/>
      <c r="BE24" s="14">
        <f t="shared" si="9"/>
        <v>0</v>
      </c>
    </row>
    <row r="25" spans="1:57" s="2" customFormat="1" ht="90" customHeight="1">
      <c r="H25" s="28">
        <v>8</v>
      </c>
      <c r="I25" s="13"/>
      <c r="J25" s="14"/>
      <c r="K25" s="14"/>
      <c r="L25" s="14">
        <f t="shared" si="0"/>
        <v>0</v>
      </c>
      <c r="M25" s="28">
        <v>8</v>
      </c>
      <c r="N25" s="13"/>
      <c r="O25" s="14"/>
      <c r="P25" s="14"/>
      <c r="Q25" s="14">
        <f t="shared" si="1"/>
        <v>0</v>
      </c>
      <c r="R25" s="28">
        <v>8</v>
      </c>
      <c r="S25" s="13"/>
      <c r="T25" s="14"/>
      <c r="U25" s="14"/>
      <c r="V25" s="14">
        <f t="shared" si="2"/>
        <v>0</v>
      </c>
      <c r="W25" s="28">
        <v>8</v>
      </c>
      <c r="X25" s="13"/>
      <c r="Y25" s="14"/>
      <c r="Z25" s="14"/>
      <c r="AA25" s="14">
        <f t="shared" si="3"/>
        <v>0</v>
      </c>
      <c r="AB25" s="28">
        <v>8</v>
      </c>
      <c r="AC25" s="13"/>
      <c r="AD25" s="14"/>
      <c r="AE25" s="14"/>
      <c r="AF25" s="14">
        <f t="shared" si="4"/>
        <v>0</v>
      </c>
      <c r="AG25" s="28">
        <v>8</v>
      </c>
      <c r="AH25" s="13"/>
      <c r="AI25" s="14"/>
      <c r="AJ25" s="14"/>
      <c r="AK25" s="14">
        <f t="shared" si="5"/>
        <v>0</v>
      </c>
      <c r="AL25" s="28">
        <v>8</v>
      </c>
      <c r="AM25" s="13"/>
      <c r="AN25" s="14"/>
      <c r="AO25" s="14"/>
      <c r="AP25" s="14">
        <f t="shared" si="6"/>
        <v>0</v>
      </c>
      <c r="AQ25" s="28">
        <v>8</v>
      </c>
      <c r="AR25" s="13"/>
      <c r="AS25" s="14"/>
      <c r="AT25" s="14"/>
      <c r="AU25" s="14">
        <f t="shared" si="7"/>
        <v>0</v>
      </c>
      <c r="AV25" s="28">
        <v>8</v>
      </c>
      <c r="AW25" s="13"/>
      <c r="AX25" s="14"/>
      <c r="AY25" s="14"/>
      <c r="AZ25" s="14">
        <f t="shared" si="8"/>
        <v>0</v>
      </c>
      <c r="BA25" s="28">
        <v>8</v>
      </c>
      <c r="BB25" s="13"/>
      <c r="BC25" s="14"/>
      <c r="BD25" s="14"/>
      <c r="BE25" s="14">
        <f t="shared" si="9"/>
        <v>0</v>
      </c>
    </row>
    <row r="26" spans="1:57" s="2" customFormat="1" ht="90" customHeight="1">
      <c r="H26" s="28">
        <v>9</v>
      </c>
      <c r="I26" s="13"/>
      <c r="J26" s="14"/>
      <c r="K26" s="14"/>
      <c r="L26" s="14">
        <f t="shared" si="0"/>
        <v>0</v>
      </c>
      <c r="M26" s="28">
        <v>9</v>
      </c>
      <c r="N26" s="13"/>
      <c r="O26" s="14"/>
      <c r="P26" s="14"/>
      <c r="Q26" s="14">
        <f t="shared" si="1"/>
        <v>0</v>
      </c>
      <c r="R26" s="28">
        <v>9</v>
      </c>
      <c r="S26" s="13"/>
      <c r="T26" s="14"/>
      <c r="U26" s="14"/>
      <c r="V26" s="14">
        <f t="shared" si="2"/>
        <v>0</v>
      </c>
      <c r="W26" s="28">
        <v>9</v>
      </c>
      <c r="X26" s="13"/>
      <c r="Y26" s="14"/>
      <c r="Z26" s="14"/>
      <c r="AA26" s="14">
        <f t="shared" si="3"/>
        <v>0</v>
      </c>
      <c r="AB26" s="28">
        <v>9</v>
      </c>
      <c r="AC26" s="13"/>
      <c r="AD26" s="14"/>
      <c r="AE26" s="14"/>
      <c r="AF26" s="14">
        <f t="shared" si="4"/>
        <v>0</v>
      </c>
      <c r="AG26" s="28">
        <v>9</v>
      </c>
      <c r="AH26" s="13"/>
      <c r="AI26" s="14"/>
      <c r="AJ26" s="14"/>
      <c r="AK26" s="14">
        <f t="shared" si="5"/>
        <v>0</v>
      </c>
      <c r="AL26" s="28">
        <v>9</v>
      </c>
      <c r="AM26" s="13"/>
      <c r="AN26" s="14"/>
      <c r="AO26" s="14"/>
      <c r="AP26" s="14">
        <f t="shared" si="6"/>
        <v>0</v>
      </c>
      <c r="AQ26" s="28">
        <v>9</v>
      </c>
      <c r="AR26" s="13"/>
      <c r="AS26" s="14"/>
      <c r="AT26" s="14"/>
      <c r="AU26" s="14">
        <f t="shared" si="7"/>
        <v>0</v>
      </c>
      <c r="AV26" s="28">
        <v>9</v>
      </c>
      <c r="AW26" s="13"/>
      <c r="AX26" s="14"/>
      <c r="AY26" s="14"/>
      <c r="AZ26" s="14">
        <f t="shared" si="8"/>
        <v>0</v>
      </c>
      <c r="BA26" s="28">
        <v>9</v>
      </c>
      <c r="BB26" s="13"/>
      <c r="BC26" s="14"/>
      <c r="BD26" s="14"/>
      <c r="BE26" s="14">
        <f t="shared" si="9"/>
        <v>0</v>
      </c>
    </row>
    <row r="27" spans="1:57" s="2" customFormat="1" ht="85.15" customHeight="1">
      <c r="H27" s="28">
        <v>10</v>
      </c>
      <c r="I27" s="13"/>
      <c r="J27" s="14"/>
      <c r="K27" s="14"/>
      <c r="L27" s="14">
        <f t="shared" si="0"/>
        <v>0</v>
      </c>
      <c r="M27" s="28">
        <v>10</v>
      </c>
      <c r="N27" s="13"/>
      <c r="O27" s="14"/>
      <c r="P27" s="14"/>
      <c r="Q27" s="14">
        <f t="shared" si="1"/>
        <v>0</v>
      </c>
      <c r="R27" s="28">
        <v>10</v>
      </c>
      <c r="S27" s="13"/>
      <c r="T27" s="14"/>
      <c r="U27" s="14"/>
      <c r="V27" s="14">
        <f t="shared" si="2"/>
        <v>0</v>
      </c>
      <c r="W27" s="28">
        <v>10</v>
      </c>
      <c r="X27" s="13"/>
      <c r="Y27" s="14"/>
      <c r="Z27" s="14"/>
      <c r="AA27" s="14">
        <f t="shared" si="3"/>
        <v>0</v>
      </c>
      <c r="AB27" s="28">
        <v>10</v>
      </c>
      <c r="AC27" s="13"/>
      <c r="AD27" s="14"/>
      <c r="AE27" s="14"/>
      <c r="AF27" s="14">
        <f t="shared" si="4"/>
        <v>0</v>
      </c>
      <c r="AG27" s="28">
        <v>10</v>
      </c>
      <c r="AH27" s="13"/>
      <c r="AI27" s="14"/>
      <c r="AJ27" s="14"/>
      <c r="AK27" s="14">
        <f t="shared" si="5"/>
        <v>0</v>
      </c>
      <c r="AL27" s="28">
        <v>10</v>
      </c>
      <c r="AM27" s="13"/>
      <c r="AN27" s="14"/>
      <c r="AO27" s="14"/>
      <c r="AP27" s="14">
        <f t="shared" si="6"/>
        <v>0</v>
      </c>
      <c r="AQ27" s="28">
        <v>10</v>
      </c>
      <c r="AR27" s="13"/>
      <c r="AS27" s="14"/>
      <c r="AT27" s="14"/>
      <c r="AU27" s="14">
        <f t="shared" si="7"/>
        <v>0</v>
      </c>
      <c r="AV27" s="28">
        <v>10</v>
      </c>
      <c r="AW27" s="13"/>
      <c r="AX27" s="14"/>
      <c r="AY27" s="14"/>
      <c r="AZ27" s="14">
        <f t="shared" si="8"/>
        <v>0</v>
      </c>
      <c r="BA27" s="28">
        <v>10</v>
      </c>
      <c r="BB27" s="13"/>
      <c r="BC27" s="14"/>
      <c r="BD27" s="14"/>
      <c r="BE27" s="14">
        <f t="shared" si="9"/>
        <v>0</v>
      </c>
    </row>
    <row r="28" spans="1:57" s="2" customFormat="1" ht="85.15" customHeight="1">
      <c r="H28" s="28">
        <v>11</v>
      </c>
      <c r="I28" s="13"/>
      <c r="J28" s="14"/>
      <c r="K28" s="14"/>
      <c r="L28" s="14">
        <f t="shared" si="0"/>
        <v>0</v>
      </c>
      <c r="M28" s="28">
        <v>11</v>
      </c>
      <c r="N28" s="13"/>
      <c r="O28" s="14"/>
      <c r="P28" s="14"/>
      <c r="Q28" s="14">
        <f t="shared" si="1"/>
        <v>0</v>
      </c>
      <c r="R28" s="28">
        <v>11</v>
      </c>
      <c r="S28" s="13"/>
      <c r="T28" s="14"/>
      <c r="U28" s="14"/>
      <c r="V28" s="14">
        <f t="shared" si="2"/>
        <v>0</v>
      </c>
      <c r="W28" s="28">
        <v>11</v>
      </c>
      <c r="X28" s="13"/>
      <c r="Y28" s="14"/>
      <c r="Z28" s="14"/>
      <c r="AA28" s="14">
        <f t="shared" si="3"/>
        <v>0</v>
      </c>
      <c r="AB28" s="28">
        <v>11</v>
      </c>
      <c r="AC28" s="13"/>
      <c r="AD28" s="14"/>
      <c r="AE28" s="14"/>
      <c r="AF28" s="14">
        <f t="shared" si="4"/>
        <v>0</v>
      </c>
      <c r="AG28" s="28">
        <v>11</v>
      </c>
      <c r="AH28" s="13"/>
      <c r="AI28" s="14"/>
      <c r="AJ28" s="14"/>
      <c r="AK28" s="14">
        <f t="shared" si="5"/>
        <v>0</v>
      </c>
      <c r="AL28" s="28">
        <v>11</v>
      </c>
      <c r="AM28" s="13"/>
      <c r="AN28" s="14"/>
      <c r="AO28" s="14"/>
      <c r="AP28" s="14">
        <f t="shared" si="6"/>
        <v>0</v>
      </c>
      <c r="AQ28" s="28">
        <v>11</v>
      </c>
      <c r="AR28" s="13"/>
      <c r="AS28" s="14"/>
      <c r="AT28" s="14"/>
      <c r="AU28" s="14">
        <f t="shared" si="7"/>
        <v>0</v>
      </c>
      <c r="AV28" s="28">
        <v>11</v>
      </c>
      <c r="AW28" s="13"/>
      <c r="AX28" s="14"/>
      <c r="AY28" s="14"/>
      <c r="AZ28" s="14">
        <f t="shared" si="8"/>
        <v>0</v>
      </c>
      <c r="BA28" s="28">
        <v>11</v>
      </c>
      <c r="BB28" s="13"/>
      <c r="BC28" s="14"/>
      <c r="BD28" s="14"/>
      <c r="BE28" s="14">
        <f t="shared" si="9"/>
        <v>0</v>
      </c>
    </row>
    <row r="29" spans="1:57" s="2" customFormat="1" ht="85.15" customHeight="1">
      <c r="H29" s="28">
        <v>12</v>
      </c>
      <c r="I29" s="13"/>
      <c r="J29" s="14"/>
      <c r="K29" s="14"/>
      <c r="L29" s="14">
        <f t="shared" si="0"/>
        <v>0</v>
      </c>
      <c r="M29" s="28">
        <v>12</v>
      </c>
      <c r="N29" s="13"/>
      <c r="O29" s="14"/>
      <c r="P29" s="14"/>
      <c r="Q29" s="14">
        <f t="shared" si="1"/>
        <v>0</v>
      </c>
      <c r="R29" s="28">
        <v>12</v>
      </c>
      <c r="S29" s="13"/>
      <c r="T29" s="14"/>
      <c r="U29" s="14"/>
      <c r="V29" s="14">
        <f t="shared" si="2"/>
        <v>0</v>
      </c>
      <c r="W29" s="28">
        <v>12</v>
      </c>
      <c r="X29" s="13"/>
      <c r="Y29" s="14"/>
      <c r="Z29" s="14"/>
      <c r="AA29" s="14">
        <f t="shared" si="3"/>
        <v>0</v>
      </c>
      <c r="AB29" s="28">
        <v>12</v>
      </c>
      <c r="AC29" s="13"/>
      <c r="AD29" s="14"/>
      <c r="AE29" s="14"/>
      <c r="AF29" s="14">
        <f t="shared" si="4"/>
        <v>0</v>
      </c>
      <c r="AG29" s="28">
        <v>12</v>
      </c>
      <c r="AH29" s="13"/>
      <c r="AI29" s="14"/>
      <c r="AJ29" s="14"/>
      <c r="AK29" s="14">
        <f t="shared" si="5"/>
        <v>0</v>
      </c>
      <c r="AL29" s="28">
        <v>12</v>
      </c>
      <c r="AM29" s="13"/>
      <c r="AN29" s="14"/>
      <c r="AO29" s="14"/>
      <c r="AP29" s="14">
        <f t="shared" si="6"/>
        <v>0</v>
      </c>
      <c r="AQ29" s="28">
        <v>12</v>
      </c>
      <c r="AR29" s="13"/>
      <c r="AS29" s="14"/>
      <c r="AT29" s="14"/>
      <c r="AU29" s="14">
        <f t="shared" si="7"/>
        <v>0</v>
      </c>
      <c r="AV29" s="28">
        <v>12</v>
      </c>
      <c r="AW29" s="13"/>
      <c r="AX29" s="14"/>
      <c r="AY29" s="14"/>
      <c r="AZ29" s="14">
        <f t="shared" si="8"/>
        <v>0</v>
      </c>
      <c r="BA29" s="28">
        <v>12</v>
      </c>
      <c r="BB29" s="13"/>
      <c r="BC29" s="14"/>
      <c r="BD29" s="14"/>
      <c r="BE29" s="14">
        <f t="shared" si="9"/>
        <v>0</v>
      </c>
    </row>
    <row r="30" spans="1:57" s="2" customFormat="1" ht="85.15" customHeight="1">
      <c r="H30" s="28">
        <v>13</v>
      </c>
      <c r="I30" s="13"/>
      <c r="J30" s="14"/>
      <c r="K30" s="14"/>
      <c r="L30" s="14">
        <f t="shared" si="0"/>
        <v>0</v>
      </c>
      <c r="M30" s="28">
        <v>13</v>
      </c>
      <c r="N30" s="13"/>
      <c r="O30" s="14"/>
      <c r="P30" s="14"/>
      <c r="Q30" s="14">
        <f t="shared" si="1"/>
        <v>0</v>
      </c>
      <c r="R30" s="28">
        <v>13</v>
      </c>
      <c r="S30" s="13"/>
      <c r="T30" s="14"/>
      <c r="U30" s="14"/>
      <c r="V30" s="14">
        <f t="shared" si="2"/>
        <v>0</v>
      </c>
      <c r="W30" s="28">
        <v>13</v>
      </c>
      <c r="X30" s="13"/>
      <c r="Y30" s="14"/>
      <c r="Z30" s="14"/>
      <c r="AA30" s="14">
        <f t="shared" si="3"/>
        <v>0</v>
      </c>
      <c r="AB30" s="28">
        <v>13</v>
      </c>
      <c r="AC30" s="13"/>
      <c r="AD30" s="14"/>
      <c r="AE30" s="14"/>
      <c r="AF30" s="14">
        <f t="shared" si="4"/>
        <v>0</v>
      </c>
      <c r="AG30" s="28">
        <v>13</v>
      </c>
      <c r="AH30" s="13"/>
      <c r="AI30" s="14"/>
      <c r="AJ30" s="14"/>
      <c r="AK30" s="14">
        <f t="shared" si="5"/>
        <v>0</v>
      </c>
      <c r="AL30" s="28">
        <v>13</v>
      </c>
      <c r="AM30" s="13"/>
      <c r="AN30" s="14"/>
      <c r="AO30" s="14"/>
      <c r="AP30" s="14">
        <f t="shared" si="6"/>
        <v>0</v>
      </c>
      <c r="AQ30" s="28">
        <v>13</v>
      </c>
      <c r="AR30" s="13"/>
      <c r="AS30" s="14"/>
      <c r="AT30" s="14"/>
      <c r="AU30" s="14">
        <f t="shared" si="7"/>
        <v>0</v>
      </c>
      <c r="AV30" s="28">
        <v>13</v>
      </c>
      <c r="AW30" s="13"/>
      <c r="AX30" s="14"/>
      <c r="AY30" s="14"/>
      <c r="AZ30" s="14">
        <f t="shared" si="8"/>
        <v>0</v>
      </c>
      <c r="BA30" s="28">
        <v>13</v>
      </c>
      <c r="BB30" s="13"/>
      <c r="BC30" s="14"/>
      <c r="BD30" s="14"/>
      <c r="BE30" s="14">
        <f t="shared" si="9"/>
        <v>0</v>
      </c>
    </row>
    <row r="31" spans="1:57" s="2" customFormat="1" ht="85.15" customHeight="1">
      <c r="H31" s="28">
        <v>14</v>
      </c>
      <c r="I31" s="13"/>
      <c r="J31" s="14"/>
      <c r="K31" s="14"/>
      <c r="L31" s="14">
        <f t="shared" si="0"/>
        <v>0</v>
      </c>
      <c r="M31" s="28">
        <v>14</v>
      </c>
      <c r="N31" s="13"/>
      <c r="O31" s="14"/>
      <c r="P31" s="14"/>
      <c r="Q31" s="14">
        <f t="shared" si="1"/>
        <v>0</v>
      </c>
      <c r="R31" s="28">
        <v>14</v>
      </c>
      <c r="S31" s="13"/>
      <c r="T31" s="14"/>
      <c r="U31" s="14"/>
      <c r="V31" s="14">
        <f t="shared" si="2"/>
        <v>0</v>
      </c>
      <c r="W31" s="28">
        <v>14</v>
      </c>
      <c r="X31" s="13"/>
      <c r="Y31" s="14"/>
      <c r="Z31" s="14"/>
      <c r="AA31" s="14">
        <f t="shared" si="3"/>
        <v>0</v>
      </c>
      <c r="AB31" s="28">
        <v>14</v>
      </c>
      <c r="AC31" s="13"/>
      <c r="AD31" s="14"/>
      <c r="AE31" s="14"/>
      <c r="AF31" s="14">
        <f t="shared" si="4"/>
        <v>0</v>
      </c>
      <c r="AG31" s="28">
        <v>14</v>
      </c>
      <c r="AH31" s="13"/>
      <c r="AI31" s="14"/>
      <c r="AJ31" s="14"/>
      <c r="AK31" s="14">
        <f t="shared" si="5"/>
        <v>0</v>
      </c>
      <c r="AL31" s="28">
        <v>14</v>
      </c>
      <c r="AM31" s="13"/>
      <c r="AN31" s="14"/>
      <c r="AO31" s="14"/>
      <c r="AP31" s="14">
        <f t="shared" si="6"/>
        <v>0</v>
      </c>
      <c r="AQ31" s="28">
        <v>14</v>
      </c>
      <c r="AR31" s="13"/>
      <c r="AS31" s="14"/>
      <c r="AT31" s="14"/>
      <c r="AU31" s="14">
        <f t="shared" si="7"/>
        <v>0</v>
      </c>
      <c r="AV31" s="28">
        <v>14</v>
      </c>
      <c r="AW31" s="13"/>
      <c r="AX31" s="14"/>
      <c r="AY31" s="14"/>
      <c r="AZ31" s="14">
        <f t="shared" si="8"/>
        <v>0</v>
      </c>
      <c r="BA31" s="28">
        <v>14</v>
      </c>
      <c r="BB31" s="13"/>
      <c r="BC31" s="14"/>
      <c r="BD31" s="14"/>
      <c r="BE31" s="14">
        <f t="shared" si="9"/>
        <v>0</v>
      </c>
    </row>
    <row r="32" spans="1:57" s="2" customFormat="1" ht="85.15" customHeight="1">
      <c r="H32" s="28">
        <v>15</v>
      </c>
      <c r="I32" s="13"/>
      <c r="J32" s="14"/>
      <c r="K32" s="14"/>
      <c r="L32" s="14">
        <f t="shared" si="0"/>
        <v>0</v>
      </c>
      <c r="M32" s="28">
        <v>15</v>
      </c>
      <c r="N32" s="13"/>
      <c r="O32" s="14"/>
      <c r="P32" s="14"/>
      <c r="Q32" s="14">
        <f t="shared" si="1"/>
        <v>0</v>
      </c>
      <c r="R32" s="28">
        <v>15</v>
      </c>
      <c r="S32" s="13"/>
      <c r="T32" s="14"/>
      <c r="U32" s="14"/>
      <c r="V32" s="14">
        <f t="shared" si="2"/>
        <v>0</v>
      </c>
      <c r="W32" s="28">
        <v>15</v>
      </c>
      <c r="X32" s="13"/>
      <c r="Y32" s="14"/>
      <c r="Z32" s="14"/>
      <c r="AA32" s="14">
        <f t="shared" si="3"/>
        <v>0</v>
      </c>
      <c r="AB32" s="28">
        <v>15</v>
      </c>
      <c r="AC32" s="13"/>
      <c r="AD32" s="14"/>
      <c r="AE32" s="14"/>
      <c r="AF32" s="14">
        <f t="shared" si="4"/>
        <v>0</v>
      </c>
      <c r="AG32" s="28">
        <v>15</v>
      </c>
      <c r="AH32" s="13"/>
      <c r="AI32" s="14"/>
      <c r="AJ32" s="14"/>
      <c r="AK32" s="14">
        <f t="shared" si="5"/>
        <v>0</v>
      </c>
      <c r="AL32" s="28">
        <v>15</v>
      </c>
      <c r="AM32" s="13"/>
      <c r="AN32" s="14"/>
      <c r="AO32" s="14"/>
      <c r="AP32" s="14">
        <f t="shared" si="6"/>
        <v>0</v>
      </c>
      <c r="AQ32" s="28">
        <v>15</v>
      </c>
      <c r="AR32" s="13"/>
      <c r="AS32" s="14"/>
      <c r="AT32" s="14"/>
      <c r="AU32" s="14">
        <f t="shared" si="7"/>
        <v>0</v>
      </c>
      <c r="AV32" s="28">
        <v>15</v>
      </c>
      <c r="AW32" s="13"/>
      <c r="AX32" s="14"/>
      <c r="AY32" s="14"/>
      <c r="AZ32" s="14">
        <f t="shared" si="8"/>
        <v>0</v>
      </c>
      <c r="BA32" s="28">
        <v>15</v>
      </c>
      <c r="BB32" s="13"/>
      <c r="BC32" s="14"/>
      <c r="BD32" s="14"/>
      <c r="BE32" s="14">
        <f t="shared" si="9"/>
        <v>0</v>
      </c>
    </row>
    <row r="33" spans="8:57" s="2" customFormat="1" ht="85.15" customHeight="1">
      <c r="H33" s="28">
        <v>16</v>
      </c>
      <c r="I33" s="13"/>
      <c r="J33" s="14"/>
      <c r="K33" s="14"/>
      <c r="L33" s="14">
        <f t="shared" si="0"/>
        <v>0</v>
      </c>
      <c r="M33" s="28">
        <v>16</v>
      </c>
      <c r="N33" s="13"/>
      <c r="O33" s="14"/>
      <c r="P33" s="14"/>
      <c r="Q33" s="14">
        <f t="shared" si="1"/>
        <v>0</v>
      </c>
      <c r="R33" s="28">
        <v>16</v>
      </c>
      <c r="S33" s="13"/>
      <c r="T33" s="14"/>
      <c r="U33" s="14"/>
      <c r="V33" s="14">
        <f t="shared" si="2"/>
        <v>0</v>
      </c>
      <c r="W33" s="28">
        <v>16</v>
      </c>
      <c r="X33" s="13"/>
      <c r="Y33" s="14"/>
      <c r="Z33" s="14"/>
      <c r="AA33" s="14">
        <f t="shared" si="3"/>
        <v>0</v>
      </c>
      <c r="AB33" s="28">
        <v>16</v>
      </c>
      <c r="AC33" s="13"/>
      <c r="AD33" s="14"/>
      <c r="AE33" s="14"/>
      <c r="AF33" s="14">
        <f t="shared" si="4"/>
        <v>0</v>
      </c>
      <c r="AG33" s="28">
        <v>16</v>
      </c>
      <c r="AH33" s="13"/>
      <c r="AI33" s="14"/>
      <c r="AJ33" s="14"/>
      <c r="AK33" s="14">
        <f t="shared" si="5"/>
        <v>0</v>
      </c>
      <c r="AL33" s="28">
        <v>16</v>
      </c>
      <c r="AM33" s="13"/>
      <c r="AN33" s="14"/>
      <c r="AO33" s="14"/>
      <c r="AP33" s="14">
        <f t="shared" si="6"/>
        <v>0</v>
      </c>
      <c r="AQ33" s="28">
        <v>16</v>
      </c>
      <c r="AR33" s="13"/>
      <c r="AS33" s="14"/>
      <c r="AT33" s="14"/>
      <c r="AU33" s="14">
        <f t="shared" si="7"/>
        <v>0</v>
      </c>
      <c r="AV33" s="28">
        <v>16</v>
      </c>
      <c r="AW33" s="13"/>
      <c r="AX33" s="14"/>
      <c r="AY33" s="14"/>
      <c r="AZ33" s="14">
        <f t="shared" si="8"/>
        <v>0</v>
      </c>
      <c r="BA33" s="28">
        <v>16</v>
      </c>
      <c r="BB33" s="13"/>
      <c r="BC33" s="14"/>
      <c r="BD33" s="14"/>
      <c r="BE33" s="14">
        <f t="shared" si="9"/>
        <v>0</v>
      </c>
    </row>
    <row r="34" spans="8:57" s="2" customFormat="1" ht="85.15" customHeight="1">
      <c r="H34" s="28">
        <v>17</v>
      </c>
      <c r="I34" s="13"/>
      <c r="J34" s="14"/>
      <c r="K34" s="14"/>
      <c r="L34" s="14">
        <f t="shared" si="0"/>
        <v>0</v>
      </c>
      <c r="M34" s="28">
        <v>17</v>
      </c>
      <c r="N34" s="13"/>
      <c r="O34" s="14"/>
      <c r="P34" s="14"/>
      <c r="Q34" s="14">
        <f t="shared" si="1"/>
        <v>0</v>
      </c>
      <c r="R34" s="28">
        <v>17</v>
      </c>
      <c r="S34" s="13"/>
      <c r="T34" s="14"/>
      <c r="U34" s="14"/>
      <c r="V34" s="14">
        <f t="shared" si="2"/>
        <v>0</v>
      </c>
      <c r="W34" s="28">
        <v>17</v>
      </c>
      <c r="X34" s="13"/>
      <c r="Y34" s="14"/>
      <c r="Z34" s="14"/>
      <c r="AA34" s="14">
        <f t="shared" si="3"/>
        <v>0</v>
      </c>
      <c r="AB34" s="28">
        <v>17</v>
      </c>
      <c r="AC34" s="13"/>
      <c r="AD34" s="14"/>
      <c r="AE34" s="14"/>
      <c r="AF34" s="14">
        <f t="shared" si="4"/>
        <v>0</v>
      </c>
      <c r="AG34" s="28">
        <v>17</v>
      </c>
      <c r="AH34" s="13"/>
      <c r="AI34" s="14"/>
      <c r="AJ34" s="14"/>
      <c r="AK34" s="14">
        <f t="shared" si="5"/>
        <v>0</v>
      </c>
      <c r="AL34" s="28">
        <v>17</v>
      </c>
      <c r="AM34" s="13"/>
      <c r="AN34" s="14"/>
      <c r="AO34" s="14"/>
      <c r="AP34" s="14">
        <f t="shared" si="6"/>
        <v>0</v>
      </c>
      <c r="AQ34" s="28">
        <v>17</v>
      </c>
      <c r="AR34" s="13"/>
      <c r="AS34" s="14"/>
      <c r="AT34" s="14"/>
      <c r="AU34" s="14">
        <f t="shared" si="7"/>
        <v>0</v>
      </c>
      <c r="AV34" s="28">
        <v>17</v>
      </c>
      <c r="AW34" s="13"/>
      <c r="AX34" s="14"/>
      <c r="AY34" s="14"/>
      <c r="AZ34" s="14">
        <f t="shared" si="8"/>
        <v>0</v>
      </c>
      <c r="BA34" s="28">
        <v>17</v>
      </c>
      <c r="BB34" s="13"/>
      <c r="BC34" s="14"/>
      <c r="BD34" s="14"/>
      <c r="BE34" s="14">
        <f t="shared" si="9"/>
        <v>0</v>
      </c>
    </row>
    <row r="35" spans="8:57" s="2" customFormat="1" ht="85.15" customHeight="1">
      <c r="H35" s="28">
        <v>18</v>
      </c>
      <c r="I35" s="13"/>
      <c r="J35" s="14"/>
      <c r="K35" s="14"/>
      <c r="L35" s="14">
        <f t="shared" si="0"/>
        <v>0</v>
      </c>
      <c r="M35" s="28">
        <v>18</v>
      </c>
      <c r="N35" s="13"/>
      <c r="O35" s="14"/>
      <c r="P35" s="14"/>
      <c r="Q35" s="14">
        <f t="shared" si="1"/>
        <v>0</v>
      </c>
      <c r="R35" s="28">
        <v>18</v>
      </c>
      <c r="S35" s="13"/>
      <c r="T35" s="14"/>
      <c r="U35" s="14"/>
      <c r="V35" s="14">
        <f t="shared" si="2"/>
        <v>0</v>
      </c>
      <c r="W35" s="28">
        <v>18</v>
      </c>
      <c r="X35" s="13"/>
      <c r="Y35" s="14"/>
      <c r="Z35" s="14"/>
      <c r="AA35" s="14">
        <f t="shared" si="3"/>
        <v>0</v>
      </c>
      <c r="AB35" s="28">
        <v>18</v>
      </c>
      <c r="AC35" s="13"/>
      <c r="AD35" s="14"/>
      <c r="AE35" s="14"/>
      <c r="AF35" s="14">
        <f t="shared" si="4"/>
        <v>0</v>
      </c>
      <c r="AG35" s="28">
        <v>18</v>
      </c>
      <c r="AH35" s="13"/>
      <c r="AI35" s="14"/>
      <c r="AJ35" s="14"/>
      <c r="AK35" s="14">
        <f t="shared" si="5"/>
        <v>0</v>
      </c>
      <c r="AL35" s="28">
        <v>18</v>
      </c>
      <c r="AM35" s="13"/>
      <c r="AN35" s="14"/>
      <c r="AO35" s="14"/>
      <c r="AP35" s="14">
        <f t="shared" si="6"/>
        <v>0</v>
      </c>
      <c r="AQ35" s="28">
        <v>18</v>
      </c>
      <c r="AR35" s="13"/>
      <c r="AS35" s="14"/>
      <c r="AT35" s="14"/>
      <c r="AU35" s="14">
        <f t="shared" si="7"/>
        <v>0</v>
      </c>
      <c r="AV35" s="28">
        <v>18</v>
      </c>
      <c r="AW35" s="13"/>
      <c r="AX35" s="14"/>
      <c r="AY35" s="14"/>
      <c r="AZ35" s="14">
        <f t="shared" si="8"/>
        <v>0</v>
      </c>
      <c r="BA35" s="28">
        <v>18</v>
      </c>
      <c r="BB35" s="13"/>
      <c r="BC35" s="14"/>
      <c r="BD35" s="14"/>
      <c r="BE35" s="14">
        <f t="shared" si="9"/>
        <v>0</v>
      </c>
    </row>
    <row r="36" spans="8:57" s="2" customFormat="1" ht="85.15" customHeight="1">
      <c r="H36" s="28">
        <v>19</v>
      </c>
      <c r="I36" s="13"/>
      <c r="J36" s="14"/>
      <c r="K36" s="14"/>
      <c r="L36" s="14">
        <f t="shared" si="0"/>
        <v>0</v>
      </c>
      <c r="M36" s="28">
        <v>19</v>
      </c>
      <c r="N36" s="13"/>
      <c r="O36" s="14"/>
      <c r="P36" s="14"/>
      <c r="Q36" s="14">
        <f t="shared" si="1"/>
        <v>0</v>
      </c>
      <c r="R36" s="28">
        <v>19</v>
      </c>
      <c r="S36" s="13"/>
      <c r="T36" s="14"/>
      <c r="U36" s="14"/>
      <c r="V36" s="14">
        <f t="shared" si="2"/>
        <v>0</v>
      </c>
      <c r="W36" s="28">
        <v>19</v>
      </c>
      <c r="X36" s="13"/>
      <c r="Y36" s="14"/>
      <c r="Z36" s="14"/>
      <c r="AA36" s="14">
        <f t="shared" si="3"/>
        <v>0</v>
      </c>
      <c r="AB36" s="28">
        <v>19</v>
      </c>
      <c r="AC36" s="13"/>
      <c r="AD36" s="14"/>
      <c r="AE36" s="14"/>
      <c r="AF36" s="14">
        <f t="shared" si="4"/>
        <v>0</v>
      </c>
      <c r="AG36" s="28">
        <v>19</v>
      </c>
      <c r="AH36" s="13"/>
      <c r="AI36" s="14"/>
      <c r="AJ36" s="14"/>
      <c r="AK36" s="14">
        <f t="shared" si="5"/>
        <v>0</v>
      </c>
      <c r="AL36" s="28">
        <v>19</v>
      </c>
      <c r="AM36" s="13"/>
      <c r="AN36" s="14"/>
      <c r="AO36" s="14"/>
      <c r="AP36" s="14">
        <f t="shared" si="6"/>
        <v>0</v>
      </c>
      <c r="AQ36" s="28">
        <v>19</v>
      </c>
      <c r="AR36" s="13"/>
      <c r="AS36" s="14"/>
      <c r="AT36" s="14"/>
      <c r="AU36" s="14">
        <f t="shared" si="7"/>
        <v>0</v>
      </c>
      <c r="AV36" s="28">
        <v>19</v>
      </c>
      <c r="AW36" s="13"/>
      <c r="AX36" s="14"/>
      <c r="AY36" s="14"/>
      <c r="AZ36" s="14">
        <f t="shared" si="8"/>
        <v>0</v>
      </c>
      <c r="BA36" s="28">
        <v>19</v>
      </c>
      <c r="BB36" s="13"/>
      <c r="BC36" s="14"/>
      <c r="BD36" s="14"/>
      <c r="BE36" s="14">
        <f t="shared" si="9"/>
        <v>0</v>
      </c>
    </row>
    <row r="37" spans="8:57" s="2" customFormat="1" ht="85.15" customHeight="1">
      <c r="H37" s="28">
        <v>20</v>
      </c>
      <c r="I37" s="13"/>
      <c r="J37" s="14"/>
      <c r="K37" s="14"/>
      <c r="L37" s="14">
        <f t="shared" si="0"/>
        <v>0</v>
      </c>
      <c r="M37" s="28">
        <v>20</v>
      </c>
      <c r="N37" s="13"/>
      <c r="O37" s="14"/>
      <c r="P37" s="14"/>
      <c r="Q37" s="14">
        <f t="shared" si="1"/>
        <v>0</v>
      </c>
      <c r="R37" s="28">
        <v>20</v>
      </c>
      <c r="S37" s="13"/>
      <c r="T37" s="14"/>
      <c r="U37" s="14"/>
      <c r="V37" s="14">
        <f t="shared" si="2"/>
        <v>0</v>
      </c>
      <c r="W37" s="28">
        <v>20</v>
      </c>
      <c r="X37" s="13"/>
      <c r="Y37" s="14"/>
      <c r="Z37" s="14"/>
      <c r="AA37" s="14">
        <f t="shared" si="3"/>
        <v>0</v>
      </c>
      <c r="AB37" s="28">
        <v>20</v>
      </c>
      <c r="AC37" s="13"/>
      <c r="AD37" s="14"/>
      <c r="AE37" s="14"/>
      <c r="AF37" s="14">
        <f t="shared" si="4"/>
        <v>0</v>
      </c>
      <c r="AG37" s="28">
        <v>20</v>
      </c>
      <c r="AH37" s="13"/>
      <c r="AI37" s="14"/>
      <c r="AJ37" s="14"/>
      <c r="AK37" s="14">
        <f t="shared" si="5"/>
        <v>0</v>
      </c>
      <c r="AL37" s="28">
        <v>20</v>
      </c>
      <c r="AM37" s="13"/>
      <c r="AN37" s="14"/>
      <c r="AO37" s="14"/>
      <c r="AP37" s="14">
        <f t="shared" si="6"/>
        <v>0</v>
      </c>
      <c r="AQ37" s="28">
        <v>20</v>
      </c>
      <c r="AR37" s="13"/>
      <c r="AS37" s="14"/>
      <c r="AT37" s="14"/>
      <c r="AU37" s="14">
        <f t="shared" si="7"/>
        <v>0</v>
      </c>
      <c r="AV37" s="28">
        <v>20</v>
      </c>
      <c r="AW37" s="13"/>
      <c r="AX37" s="14"/>
      <c r="AY37" s="14"/>
      <c r="AZ37" s="14">
        <f t="shared" si="8"/>
        <v>0</v>
      </c>
      <c r="BA37" s="28">
        <v>20</v>
      </c>
      <c r="BB37" s="13"/>
      <c r="BC37" s="14"/>
      <c r="BD37" s="14"/>
      <c r="BE37" s="14">
        <f t="shared" si="9"/>
        <v>0</v>
      </c>
    </row>
    <row r="38" spans="8:57" s="2" customFormat="1" ht="85.15" customHeight="1">
      <c r="H38" s="28">
        <v>21</v>
      </c>
      <c r="I38" s="13"/>
      <c r="J38" s="14"/>
      <c r="K38" s="14"/>
      <c r="L38" s="14">
        <f t="shared" si="0"/>
        <v>0</v>
      </c>
      <c r="M38" s="28">
        <v>21</v>
      </c>
      <c r="N38" s="13"/>
      <c r="O38" s="14"/>
      <c r="P38" s="14"/>
      <c r="Q38" s="14">
        <f t="shared" si="1"/>
        <v>0</v>
      </c>
      <c r="R38" s="28">
        <v>21</v>
      </c>
      <c r="S38" s="13"/>
      <c r="T38" s="14"/>
      <c r="U38" s="14"/>
      <c r="V38" s="14">
        <f t="shared" si="2"/>
        <v>0</v>
      </c>
      <c r="W38" s="28">
        <v>21</v>
      </c>
      <c r="X38" s="13"/>
      <c r="Y38" s="14"/>
      <c r="Z38" s="14"/>
      <c r="AA38" s="14">
        <f t="shared" si="3"/>
        <v>0</v>
      </c>
      <c r="AB38" s="28">
        <v>21</v>
      </c>
      <c r="AC38" s="13"/>
      <c r="AD38" s="14"/>
      <c r="AE38" s="14"/>
      <c r="AF38" s="14">
        <f t="shared" si="4"/>
        <v>0</v>
      </c>
      <c r="AG38" s="28">
        <v>21</v>
      </c>
      <c r="AH38" s="13"/>
      <c r="AI38" s="14"/>
      <c r="AJ38" s="14"/>
      <c r="AK38" s="14">
        <f t="shared" si="5"/>
        <v>0</v>
      </c>
      <c r="AL38" s="28">
        <v>21</v>
      </c>
      <c r="AM38" s="13"/>
      <c r="AN38" s="14"/>
      <c r="AO38" s="14"/>
      <c r="AP38" s="14">
        <f t="shared" si="6"/>
        <v>0</v>
      </c>
      <c r="AQ38" s="28">
        <v>21</v>
      </c>
      <c r="AR38" s="13"/>
      <c r="AS38" s="14"/>
      <c r="AT38" s="14"/>
      <c r="AU38" s="14">
        <f t="shared" si="7"/>
        <v>0</v>
      </c>
      <c r="AV38" s="28">
        <v>21</v>
      </c>
      <c r="AW38" s="13"/>
      <c r="AX38" s="14"/>
      <c r="AY38" s="14"/>
      <c r="AZ38" s="14">
        <f t="shared" si="8"/>
        <v>0</v>
      </c>
      <c r="BA38" s="28">
        <v>21</v>
      </c>
      <c r="BB38" s="13"/>
      <c r="BC38" s="14"/>
      <c r="BD38" s="14"/>
      <c r="BE38" s="14">
        <f t="shared" si="9"/>
        <v>0</v>
      </c>
    </row>
    <row r="39" spans="8:57" s="2" customFormat="1" ht="85.15" customHeight="1">
      <c r="H39" s="28">
        <v>22</v>
      </c>
      <c r="I39" s="13"/>
      <c r="J39" s="14"/>
      <c r="K39" s="14"/>
      <c r="L39" s="14">
        <f t="shared" si="0"/>
        <v>0</v>
      </c>
      <c r="M39" s="28">
        <v>22</v>
      </c>
      <c r="N39" s="13"/>
      <c r="O39" s="14"/>
      <c r="P39" s="14"/>
      <c r="Q39" s="14">
        <f t="shared" si="1"/>
        <v>0</v>
      </c>
      <c r="R39" s="28">
        <v>22</v>
      </c>
      <c r="S39" s="13"/>
      <c r="T39" s="14"/>
      <c r="U39" s="14"/>
      <c r="V39" s="14">
        <f t="shared" si="2"/>
        <v>0</v>
      </c>
      <c r="W39" s="28">
        <v>22</v>
      </c>
      <c r="X39" s="13"/>
      <c r="Y39" s="14"/>
      <c r="Z39" s="14"/>
      <c r="AA39" s="14">
        <f t="shared" si="3"/>
        <v>0</v>
      </c>
      <c r="AB39" s="28">
        <v>22</v>
      </c>
      <c r="AC39" s="13"/>
      <c r="AD39" s="14"/>
      <c r="AE39" s="14"/>
      <c r="AF39" s="14">
        <f t="shared" si="4"/>
        <v>0</v>
      </c>
      <c r="AG39" s="28">
        <v>22</v>
      </c>
      <c r="AH39" s="13"/>
      <c r="AI39" s="14"/>
      <c r="AJ39" s="14"/>
      <c r="AK39" s="14">
        <f t="shared" si="5"/>
        <v>0</v>
      </c>
      <c r="AL39" s="28">
        <v>22</v>
      </c>
      <c r="AM39" s="13"/>
      <c r="AN39" s="14"/>
      <c r="AO39" s="14"/>
      <c r="AP39" s="14">
        <f t="shared" si="6"/>
        <v>0</v>
      </c>
      <c r="AQ39" s="28">
        <v>22</v>
      </c>
      <c r="AR39" s="13"/>
      <c r="AS39" s="14"/>
      <c r="AT39" s="14"/>
      <c r="AU39" s="14">
        <f t="shared" si="7"/>
        <v>0</v>
      </c>
      <c r="AV39" s="28">
        <v>22</v>
      </c>
      <c r="AW39" s="13"/>
      <c r="AX39" s="14"/>
      <c r="AY39" s="14"/>
      <c r="AZ39" s="14">
        <f t="shared" si="8"/>
        <v>0</v>
      </c>
      <c r="BA39" s="28">
        <v>22</v>
      </c>
      <c r="BB39" s="13"/>
      <c r="BC39" s="14"/>
      <c r="BD39" s="14"/>
      <c r="BE39" s="14">
        <f t="shared" si="9"/>
        <v>0</v>
      </c>
    </row>
    <row r="40" spans="8:57" s="2" customFormat="1" ht="85.15" customHeight="1">
      <c r="H40" s="28">
        <v>23</v>
      </c>
      <c r="I40" s="13"/>
      <c r="J40" s="14"/>
      <c r="K40" s="14"/>
      <c r="L40" s="14">
        <f t="shared" si="0"/>
        <v>0</v>
      </c>
      <c r="M40" s="28">
        <v>23</v>
      </c>
      <c r="N40" s="13"/>
      <c r="O40" s="14"/>
      <c r="P40" s="14"/>
      <c r="Q40" s="14">
        <f t="shared" si="1"/>
        <v>0</v>
      </c>
      <c r="R40" s="28">
        <v>23</v>
      </c>
      <c r="S40" s="13"/>
      <c r="T40" s="14"/>
      <c r="U40" s="14"/>
      <c r="V40" s="14">
        <f t="shared" si="2"/>
        <v>0</v>
      </c>
      <c r="W40" s="28">
        <v>23</v>
      </c>
      <c r="X40" s="13"/>
      <c r="Y40" s="14"/>
      <c r="Z40" s="14"/>
      <c r="AA40" s="14">
        <f t="shared" si="3"/>
        <v>0</v>
      </c>
      <c r="AB40" s="28">
        <v>23</v>
      </c>
      <c r="AC40" s="13"/>
      <c r="AD40" s="14"/>
      <c r="AE40" s="14"/>
      <c r="AF40" s="14">
        <f t="shared" si="4"/>
        <v>0</v>
      </c>
      <c r="AG40" s="28">
        <v>23</v>
      </c>
      <c r="AH40" s="13"/>
      <c r="AI40" s="14"/>
      <c r="AJ40" s="14"/>
      <c r="AK40" s="14">
        <f t="shared" si="5"/>
        <v>0</v>
      </c>
      <c r="AL40" s="28">
        <v>23</v>
      </c>
      <c r="AM40" s="13"/>
      <c r="AN40" s="14"/>
      <c r="AO40" s="14"/>
      <c r="AP40" s="14">
        <f t="shared" si="6"/>
        <v>0</v>
      </c>
      <c r="AQ40" s="28">
        <v>23</v>
      </c>
      <c r="AR40" s="13"/>
      <c r="AS40" s="14"/>
      <c r="AT40" s="14"/>
      <c r="AU40" s="14">
        <f t="shared" si="7"/>
        <v>0</v>
      </c>
      <c r="AV40" s="28">
        <v>23</v>
      </c>
      <c r="AW40" s="13"/>
      <c r="AX40" s="14"/>
      <c r="AY40" s="14"/>
      <c r="AZ40" s="14">
        <f t="shared" si="8"/>
        <v>0</v>
      </c>
      <c r="BA40" s="28">
        <v>23</v>
      </c>
      <c r="BB40" s="13"/>
      <c r="BC40" s="14"/>
      <c r="BD40" s="14"/>
      <c r="BE40" s="14">
        <f t="shared" si="9"/>
        <v>0</v>
      </c>
    </row>
    <row r="41" spans="8:57" s="2" customFormat="1" ht="85.15" customHeight="1">
      <c r="H41" s="28">
        <v>24</v>
      </c>
      <c r="I41" s="13"/>
      <c r="J41" s="14"/>
      <c r="K41" s="14"/>
      <c r="L41" s="14">
        <f t="shared" si="0"/>
        <v>0</v>
      </c>
      <c r="M41" s="28">
        <v>24</v>
      </c>
      <c r="N41" s="13"/>
      <c r="O41" s="14"/>
      <c r="P41" s="14"/>
      <c r="Q41" s="14">
        <f t="shared" si="1"/>
        <v>0</v>
      </c>
      <c r="R41" s="28">
        <v>24</v>
      </c>
      <c r="S41" s="13"/>
      <c r="T41" s="14"/>
      <c r="U41" s="14"/>
      <c r="V41" s="14">
        <f t="shared" si="2"/>
        <v>0</v>
      </c>
      <c r="W41" s="28">
        <v>24</v>
      </c>
      <c r="X41" s="13"/>
      <c r="Y41" s="14"/>
      <c r="Z41" s="14"/>
      <c r="AA41" s="14">
        <f t="shared" si="3"/>
        <v>0</v>
      </c>
      <c r="AB41" s="28">
        <v>24</v>
      </c>
      <c r="AC41" s="13"/>
      <c r="AD41" s="14"/>
      <c r="AE41" s="14"/>
      <c r="AF41" s="14">
        <f t="shared" si="4"/>
        <v>0</v>
      </c>
      <c r="AG41" s="28">
        <v>24</v>
      </c>
      <c r="AH41" s="13"/>
      <c r="AI41" s="14"/>
      <c r="AJ41" s="14"/>
      <c r="AK41" s="14">
        <f t="shared" si="5"/>
        <v>0</v>
      </c>
      <c r="AL41" s="28">
        <v>24</v>
      </c>
      <c r="AM41" s="13"/>
      <c r="AN41" s="14"/>
      <c r="AO41" s="14"/>
      <c r="AP41" s="14">
        <f t="shared" si="6"/>
        <v>0</v>
      </c>
      <c r="AQ41" s="28">
        <v>24</v>
      </c>
      <c r="AR41" s="13"/>
      <c r="AS41" s="14"/>
      <c r="AT41" s="14"/>
      <c r="AU41" s="14">
        <f t="shared" si="7"/>
        <v>0</v>
      </c>
      <c r="AV41" s="28">
        <v>24</v>
      </c>
      <c r="AW41" s="13"/>
      <c r="AX41" s="14"/>
      <c r="AY41" s="14"/>
      <c r="AZ41" s="14">
        <f t="shared" si="8"/>
        <v>0</v>
      </c>
      <c r="BA41" s="28">
        <v>24</v>
      </c>
      <c r="BB41" s="13"/>
      <c r="BC41" s="14"/>
      <c r="BD41" s="14"/>
      <c r="BE41" s="14">
        <f t="shared" si="9"/>
        <v>0</v>
      </c>
    </row>
    <row r="42" spans="8:57" s="2" customFormat="1" ht="85.15" customHeight="1">
      <c r="H42" s="28">
        <v>25</v>
      </c>
      <c r="I42" s="13"/>
      <c r="J42" s="14"/>
      <c r="K42" s="14"/>
      <c r="L42" s="14">
        <f t="shared" si="0"/>
        <v>0</v>
      </c>
      <c r="M42" s="28">
        <v>25</v>
      </c>
      <c r="N42" s="13"/>
      <c r="O42" s="14"/>
      <c r="P42" s="14"/>
      <c r="Q42" s="14">
        <f t="shared" si="1"/>
        <v>0</v>
      </c>
      <c r="R42" s="28">
        <v>25</v>
      </c>
      <c r="S42" s="13"/>
      <c r="T42" s="14"/>
      <c r="U42" s="14"/>
      <c r="V42" s="14">
        <f t="shared" si="2"/>
        <v>0</v>
      </c>
      <c r="W42" s="28">
        <v>25</v>
      </c>
      <c r="X42" s="13"/>
      <c r="Y42" s="14"/>
      <c r="Z42" s="14"/>
      <c r="AA42" s="14">
        <f t="shared" si="3"/>
        <v>0</v>
      </c>
      <c r="AB42" s="28">
        <v>25</v>
      </c>
      <c r="AC42" s="13"/>
      <c r="AD42" s="14"/>
      <c r="AE42" s="14"/>
      <c r="AF42" s="14">
        <f t="shared" si="4"/>
        <v>0</v>
      </c>
      <c r="AG42" s="28">
        <v>25</v>
      </c>
      <c r="AH42" s="13"/>
      <c r="AI42" s="14"/>
      <c r="AJ42" s="14"/>
      <c r="AK42" s="14">
        <f t="shared" si="5"/>
        <v>0</v>
      </c>
      <c r="AL42" s="28">
        <v>25</v>
      </c>
      <c r="AM42" s="13"/>
      <c r="AN42" s="14"/>
      <c r="AO42" s="14"/>
      <c r="AP42" s="14">
        <f t="shared" si="6"/>
        <v>0</v>
      </c>
      <c r="AQ42" s="28">
        <v>25</v>
      </c>
      <c r="AR42" s="13"/>
      <c r="AS42" s="14"/>
      <c r="AT42" s="14"/>
      <c r="AU42" s="14">
        <f t="shared" si="7"/>
        <v>0</v>
      </c>
      <c r="AV42" s="28">
        <v>25</v>
      </c>
      <c r="AW42" s="13"/>
      <c r="AX42" s="14"/>
      <c r="AY42" s="14"/>
      <c r="AZ42" s="14">
        <f t="shared" si="8"/>
        <v>0</v>
      </c>
      <c r="BA42" s="28">
        <v>25</v>
      </c>
      <c r="BB42" s="13"/>
      <c r="BC42" s="14"/>
      <c r="BD42" s="14"/>
      <c r="BE42" s="14">
        <f t="shared" si="9"/>
        <v>0</v>
      </c>
    </row>
    <row r="43" spans="8:57" s="2" customFormat="1" ht="85.15" customHeight="1">
      <c r="H43" s="28">
        <v>26</v>
      </c>
      <c r="I43" s="13"/>
      <c r="J43" s="14"/>
      <c r="K43" s="14"/>
      <c r="L43" s="14">
        <f t="shared" si="0"/>
        <v>0</v>
      </c>
      <c r="M43" s="28">
        <v>26</v>
      </c>
      <c r="N43" s="13"/>
      <c r="O43" s="14"/>
      <c r="P43" s="14"/>
      <c r="Q43" s="14">
        <f t="shared" si="1"/>
        <v>0</v>
      </c>
      <c r="R43" s="28">
        <v>26</v>
      </c>
      <c r="S43" s="13"/>
      <c r="T43" s="14"/>
      <c r="U43" s="14"/>
      <c r="V43" s="14">
        <f t="shared" si="2"/>
        <v>0</v>
      </c>
      <c r="W43" s="28">
        <v>26</v>
      </c>
      <c r="X43" s="13"/>
      <c r="Y43" s="14"/>
      <c r="Z43" s="14"/>
      <c r="AA43" s="14">
        <f t="shared" si="3"/>
        <v>0</v>
      </c>
      <c r="AB43" s="28">
        <v>26</v>
      </c>
      <c r="AC43" s="13"/>
      <c r="AD43" s="14"/>
      <c r="AE43" s="14"/>
      <c r="AF43" s="14">
        <f t="shared" si="4"/>
        <v>0</v>
      </c>
      <c r="AG43" s="28">
        <v>26</v>
      </c>
      <c r="AH43" s="13"/>
      <c r="AI43" s="14"/>
      <c r="AJ43" s="14"/>
      <c r="AK43" s="14">
        <f t="shared" si="5"/>
        <v>0</v>
      </c>
      <c r="AL43" s="28">
        <v>26</v>
      </c>
      <c r="AM43" s="13"/>
      <c r="AN43" s="14"/>
      <c r="AO43" s="14"/>
      <c r="AP43" s="14">
        <f t="shared" si="6"/>
        <v>0</v>
      </c>
      <c r="AQ43" s="28">
        <v>26</v>
      </c>
      <c r="AR43" s="13"/>
      <c r="AS43" s="14"/>
      <c r="AT43" s="14"/>
      <c r="AU43" s="14">
        <f t="shared" si="7"/>
        <v>0</v>
      </c>
      <c r="AV43" s="28">
        <v>26</v>
      </c>
      <c r="AW43" s="13"/>
      <c r="AX43" s="14"/>
      <c r="AY43" s="14"/>
      <c r="AZ43" s="14">
        <f t="shared" si="8"/>
        <v>0</v>
      </c>
      <c r="BA43" s="28">
        <v>26</v>
      </c>
      <c r="BB43" s="13"/>
      <c r="BC43" s="14"/>
      <c r="BD43" s="14"/>
      <c r="BE43" s="14">
        <f t="shared" si="9"/>
        <v>0</v>
      </c>
    </row>
    <row r="44" spans="8:57" s="2" customFormat="1" ht="85.15" customHeight="1">
      <c r="H44" s="28">
        <v>27</v>
      </c>
      <c r="I44" s="13"/>
      <c r="J44" s="14"/>
      <c r="K44" s="14"/>
      <c r="L44" s="14">
        <f t="shared" si="0"/>
        <v>0</v>
      </c>
      <c r="M44" s="28">
        <v>27</v>
      </c>
      <c r="N44" s="13"/>
      <c r="O44" s="14"/>
      <c r="P44" s="14"/>
      <c r="Q44" s="14">
        <f t="shared" si="1"/>
        <v>0</v>
      </c>
      <c r="R44" s="28">
        <v>27</v>
      </c>
      <c r="S44" s="13"/>
      <c r="T44" s="14"/>
      <c r="U44" s="14"/>
      <c r="V44" s="14">
        <f t="shared" si="2"/>
        <v>0</v>
      </c>
      <c r="W44" s="28">
        <v>27</v>
      </c>
      <c r="X44" s="13"/>
      <c r="Y44" s="14"/>
      <c r="Z44" s="14"/>
      <c r="AA44" s="14">
        <f t="shared" si="3"/>
        <v>0</v>
      </c>
      <c r="AB44" s="28">
        <v>27</v>
      </c>
      <c r="AC44" s="13"/>
      <c r="AD44" s="14"/>
      <c r="AE44" s="14"/>
      <c r="AF44" s="14">
        <f t="shared" si="4"/>
        <v>0</v>
      </c>
      <c r="AG44" s="28">
        <v>27</v>
      </c>
      <c r="AH44" s="13"/>
      <c r="AI44" s="14"/>
      <c r="AJ44" s="14"/>
      <c r="AK44" s="14">
        <f t="shared" si="5"/>
        <v>0</v>
      </c>
      <c r="AL44" s="28">
        <v>27</v>
      </c>
      <c r="AM44" s="13"/>
      <c r="AN44" s="14"/>
      <c r="AO44" s="14"/>
      <c r="AP44" s="14">
        <f t="shared" si="6"/>
        <v>0</v>
      </c>
      <c r="AQ44" s="28">
        <v>27</v>
      </c>
      <c r="AR44" s="13"/>
      <c r="AS44" s="14"/>
      <c r="AT44" s="14"/>
      <c r="AU44" s="14">
        <f t="shared" si="7"/>
        <v>0</v>
      </c>
      <c r="AV44" s="28">
        <v>27</v>
      </c>
      <c r="AW44" s="13"/>
      <c r="AX44" s="14"/>
      <c r="AY44" s="14"/>
      <c r="AZ44" s="14">
        <f t="shared" si="8"/>
        <v>0</v>
      </c>
      <c r="BA44" s="28">
        <v>27</v>
      </c>
      <c r="BB44" s="13"/>
      <c r="BC44" s="14"/>
      <c r="BD44" s="14"/>
      <c r="BE44" s="14">
        <f t="shared" si="9"/>
        <v>0</v>
      </c>
    </row>
    <row r="45" spans="8:57" s="2" customFormat="1" ht="85.15" customHeight="1">
      <c r="H45" s="28">
        <v>28</v>
      </c>
      <c r="I45" s="13"/>
      <c r="J45" s="14"/>
      <c r="K45" s="14"/>
      <c r="L45" s="14">
        <f t="shared" si="0"/>
        <v>0</v>
      </c>
      <c r="M45" s="28">
        <v>28</v>
      </c>
      <c r="N45" s="13"/>
      <c r="O45" s="14"/>
      <c r="P45" s="14"/>
      <c r="Q45" s="14">
        <f t="shared" si="1"/>
        <v>0</v>
      </c>
      <c r="R45" s="28">
        <v>28</v>
      </c>
      <c r="S45" s="13"/>
      <c r="T45" s="14"/>
      <c r="U45" s="14"/>
      <c r="V45" s="14">
        <f t="shared" si="2"/>
        <v>0</v>
      </c>
      <c r="W45" s="28">
        <v>28</v>
      </c>
      <c r="X45" s="13"/>
      <c r="Y45" s="14"/>
      <c r="Z45" s="14"/>
      <c r="AA45" s="14">
        <f t="shared" si="3"/>
        <v>0</v>
      </c>
      <c r="AB45" s="28">
        <v>28</v>
      </c>
      <c r="AC45" s="13"/>
      <c r="AD45" s="14"/>
      <c r="AE45" s="14"/>
      <c r="AF45" s="14">
        <f t="shared" si="4"/>
        <v>0</v>
      </c>
      <c r="AG45" s="28">
        <v>28</v>
      </c>
      <c r="AH45" s="13"/>
      <c r="AI45" s="14"/>
      <c r="AJ45" s="14"/>
      <c r="AK45" s="14">
        <f t="shared" si="5"/>
        <v>0</v>
      </c>
      <c r="AL45" s="28">
        <v>28</v>
      </c>
      <c r="AM45" s="13"/>
      <c r="AN45" s="14"/>
      <c r="AO45" s="14"/>
      <c r="AP45" s="14">
        <f t="shared" si="6"/>
        <v>0</v>
      </c>
      <c r="AQ45" s="28">
        <v>28</v>
      </c>
      <c r="AR45" s="13"/>
      <c r="AS45" s="14"/>
      <c r="AT45" s="14"/>
      <c r="AU45" s="14">
        <f t="shared" si="7"/>
        <v>0</v>
      </c>
      <c r="AV45" s="28">
        <v>28</v>
      </c>
      <c r="AW45" s="13"/>
      <c r="AX45" s="14"/>
      <c r="AY45" s="14"/>
      <c r="AZ45" s="14">
        <f t="shared" si="8"/>
        <v>0</v>
      </c>
      <c r="BA45" s="28">
        <v>28</v>
      </c>
      <c r="BB45" s="13"/>
      <c r="BC45" s="14"/>
      <c r="BD45" s="14"/>
      <c r="BE45" s="14">
        <f t="shared" si="9"/>
        <v>0</v>
      </c>
    </row>
    <row r="46" spans="8:57" s="2" customFormat="1" ht="85.15" customHeight="1">
      <c r="H46" s="28">
        <v>29</v>
      </c>
      <c r="I46" s="13"/>
      <c r="J46" s="14"/>
      <c r="K46" s="14"/>
      <c r="L46" s="14">
        <f t="shared" si="0"/>
        <v>0</v>
      </c>
      <c r="M46" s="28">
        <v>29</v>
      </c>
      <c r="N46" s="13"/>
      <c r="O46" s="14"/>
      <c r="P46" s="14"/>
      <c r="Q46" s="14">
        <f t="shared" si="1"/>
        <v>0</v>
      </c>
      <c r="R46" s="28">
        <v>29</v>
      </c>
      <c r="S46" s="13"/>
      <c r="T46" s="14"/>
      <c r="U46" s="14"/>
      <c r="V46" s="14">
        <f t="shared" si="2"/>
        <v>0</v>
      </c>
      <c r="W46" s="28">
        <v>29</v>
      </c>
      <c r="X46" s="13"/>
      <c r="Y46" s="14"/>
      <c r="Z46" s="14"/>
      <c r="AA46" s="14">
        <f t="shared" si="3"/>
        <v>0</v>
      </c>
      <c r="AB46" s="28">
        <v>29</v>
      </c>
      <c r="AC46" s="13"/>
      <c r="AD46" s="14"/>
      <c r="AE46" s="14"/>
      <c r="AF46" s="14">
        <f t="shared" si="4"/>
        <v>0</v>
      </c>
      <c r="AG46" s="28">
        <v>29</v>
      </c>
      <c r="AH46" s="13"/>
      <c r="AI46" s="14"/>
      <c r="AJ46" s="14"/>
      <c r="AK46" s="14">
        <f t="shared" si="5"/>
        <v>0</v>
      </c>
      <c r="AL46" s="28">
        <v>29</v>
      </c>
      <c r="AM46" s="13"/>
      <c r="AN46" s="14"/>
      <c r="AO46" s="14"/>
      <c r="AP46" s="14">
        <f t="shared" si="6"/>
        <v>0</v>
      </c>
      <c r="AQ46" s="28">
        <v>29</v>
      </c>
      <c r="AR46" s="13"/>
      <c r="AS46" s="14"/>
      <c r="AT46" s="14"/>
      <c r="AU46" s="14">
        <f t="shared" si="7"/>
        <v>0</v>
      </c>
      <c r="AV46" s="28">
        <v>29</v>
      </c>
      <c r="AW46" s="13"/>
      <c r="AX46" s="14"/>
      <c r="AY46" s="14"/>
      <c r="AZ46" s="14">
        <f t="shared" si="8"/>
        <v>0</v>
      </c>
      <c r="BA46" s="28">
        <v>29</v>
      </c>
      <c r="BB46" s="13"/>
      <c r="BC46" s="14"/>
      <c r="BD46" s="14"/>
      <c r="BE46" s="14">
        <f t="shared" si="9"/>
        <v>0</v>
      </c>
    </row>
    <row r="47" spans="8:57" s="2" customFormat="1" ht="85.15" customHeight="1">
      <c r="H47" s="28">
        <v>30</v>
      </c>
      <c r="I47" s="13"/>
      <c r="J47" s="14"/>
      <c r="K47" s="14"/>
      <c r="L47" s="14">
        <f t="shared" si="0"/>
        <v>0</v>
      </c>
      <c r="M47" s="28">
        <v>30</v>
      </c>
      <c r="N47" s="13"/>
      <c r="O47" s="14"/>
      <c r="P47" s="14"/>
      <c r="Q47" s="14">
        <f t="shared" si="1"/>
        <v>0</v>
      </c>
      <c r="R47" s="28">
        <v>30</v>
      </c>
      <c r="S47" s="13"/>
      <c r="T47" s="14"/>
      <c r="U47" s="14"/>
      <c r="V47" s="14">
        <f t="shared" si="2"/>
        <v>0</v>
      </c>
      <c r="W47" s="28">
        <v>30</v>
      </c>
      <c r="X47" s="13"/>
      <c r="Y47" s="14"/>
      <c r="Z47" s="14"/>
      <c r="AA47" s="14">
        <f t="shared" si="3"/>
        <v>0</v>
      </c>
      <c r="AB47" s="28">
        <v>30</v>
      </c>
      <c r="AC47" s="13"/>
      <c r="AD47" s="14"/>
      <c r="AE47" s="14"/>
      <c r="AF47" s="14">
        <f t="shared" si="4"/>
        <v>0</v>
      </c>
      <c r="AG47" s="28">
        <v>30</v>
      </c>
      <c r="AH47" s="13"/>
      <c r="AI47" s="14"/>
      <c r="AJ47" s="14"/>
      <c r="AK47" s="14">
        <f t="shared" si="5"/>
        <v>0</v>
      </c>
      <c r="AL47" s="28">
        <v>30</v>
      </c>
      <c r="AM47" s="13"/>
      <c r="AN47" s="14"/>
      <c r="AO47" s="14"/>
      <c r="AP47" s="14">
        <f t="shared" si="6"/>
        <v>0</v>
      </c>
      <c r="AQ47" s="28">
        <v>30</v>
      </c>
      <c r="AR47" s="13"/>
      <c r="AS47" s="14"/>
      <c r="AT47" s="14"/>
      <c r="AU47" s="14">
        <f t="shared" si="7"/>
        <v>0</v>
      </c>
      <c r="AV47" s="28">
        <v>30</v>
      </c>
      <c r="AW47" s="13"/>
      <c r="AX47" s="14"/>
      <c r="AY47" s="14"/>
      <c r="AZ47" s="14">
        <f t="shared" si="8"/>
        <v>0</v>
      </c>
      <c r="BA47" s="28">
        <v>30</v>
      </c>
      <c r="BB47" s="13"/>
      <c r="BC47" s="14"/>
      <c r="BD47" s="14"/>
      <c r="BE47" s="14">
        <f t="shared" si="9"/>
        <v>0</v>
      </c>
    </row>
    <row r="48" spans="8:57" s="2" customFormat="1" ht="85.15" customHeight="1">
      <c r="H48" s="28">
        <v>31</v>
      </c>
      <c r="I48" s="13"/>
      <c r="J48" s="14"/>
      <c r="K48" s="14"/>
      <c r="L48" s="14">
        <f t="shared" si="0"/>
        <v>0</v>
      </c>
      <c r="M48" s="28">
        <v>31</v>
      </c>
      <c r="N48" s="13"/>
      <c r="O48" s="14"/>
      <c r="P48" s="14"/>
      <c r="Q48" s="14">
        <f t="shared" si="1"/>
        <v>0</v>
      </c>
      <c r="R48" s="28">
        <v>31</v>
      </c>
      <c r="S48" s="13"/>
      <c r="T48" s="14"/>
      <c r="U48" s="14"/>
      <c r="V48" s="14">
        <f t="shared" si="2"/>
        <v>0</v>
      </c>
      <c r="W48" s="28">
        <v>31</v>
      </c>
      <c r="X48" s="13"/>
      <c r="Y48" s="14"/>
      <c r="Z48" s="14"/>
      <c r="AA48" s="14">
        <f t="shared" si="3"/>
        <v>0</v>
      </c>
      <c r="AB48" s="28">
        <v>31</v>
      </c>
      <c r="AC48" s="13"/>
      <c r="AD48" s="14"/>
      <c r="AE48" s="14"/>
      <c r="AF48" s="14">
        <f t="shared" si="4"/>
        <v>0</v>
      </c>
      <c r="AG48" s="28">
        <v>31</v>
      </c>
      <c r="AH48" s="13"/>
      <c r="AI48" s="14"/>
      <c r="AJ48" s="14"/>
      <c r="AK48" s="14">
        <f t="shared" si="5"/>
        <v>0</v>
      </c>
      <c r="AL48" s="28">
        <v>31</v>
      </c>
      <c r="AM48" s="13"/>
      <c r="AN48" s="14"/>
      <c r="AO48" s="14"/>
      <c r="AP48" s="14">
        <f t="shared" si="6"/>
        <v>0</v>
      </c>
      <c r="AQ48" s="28">
        <v>31</v>
      </c>
      <c r="AR48" s="13"/>
      <c r="AS48" s="14"/>
      <c r="AT48" s="14"/>
      <c r="AU48" s="14">
        <f t="shared" si="7"/>
        <v>0</v>
      </c>
      <c r="AV48" s="28">
        <v>31</v>
      </c>
      <c r="AW48" s="13"/>
      <c r="AX48" s="14"/>
      <c r="AY48" s="14"/>
      <c r="AZ48" s="14">
        <f t="shared" si="8"/>
        <v>0</v>
      </c>
      <c r="BA48" s="28">
        <v>31</v>
      </c>
      <c r="BB48" s="13"/>
      <c r="BC48" s="14"/>
      <c r="BD48" s="14"/>
      <c r="BE48" s="14">
        <f t="shared" si="9"/>
        <v>0</v>
      </c>
    </row>
    <row r="49" spans="8:57" s="2" customFormat="1" ht="85.15" customHeight="1">
      <c r="H49" s="28">
        <v>32</v>
      </c>
      <c r="I49" s="13"/>
      <c r="J49" s="14"/>
      <c r="K49" s="14"/>
      <c r="L49" s="14">
        <f t="shared" si="0"/>
        <v>0</v>
      </c>
      <c r="M49" s="28">
        <v>32</v>
      </c>
      <c r="N49" s="13"/>
      <c r="O49" s="14"/>
      <c r="P49" s="14"/>
      <c r="Q49" s="14">
        <f t="shared" si="1"/>
        <v>0</v>
      </c>
      <c r="R49" s="28">
        <v>32</v>
      </c>
      <c r="S49" s="13"/>
      <c r="T49" s="14"/>
      <c r="U49" s="14"/>
      <c r="V49" s="14">
        <f t="shared" si="2"/>
        <v>0</v>
      </c>
      <c r="W49" s="28">
        <v>32</v>
      </c>
      <c r="X49" s="13"/>
      <c r="Y49" s="14"/>
      <c r="Z49" s="14"/>
      <c r="AA49" s="14">
        <f t="shared" si="3"/>
        <v>0</v>
      </c>
      <c r="AB49" s="28">
        <v>32</v>
      </c>
      <c r="AC49" s="13"/>
      <c r="AD49" s="14"/>
      <c r="AE49" s="14"/>
      <c r="AF49" s="14">
        <f t="shared" si="4"/>
        <v>0</v>
      </c>
      <c r="AG49" s="28">
        <v>32</v>
      </c>
      <c r="AH49" s="13"/>
      <c r="AI49" s="14"/>
      <c r="AJ49" s="14"/>
      <c r="AK49" s="14">
        <f t="shared" si="5"/>
        <v>0</v>
      </c>
      <c r="AL49" s="28">
        <v>32</v>
      </c>
      <c r="AM49" s="13"/>
      <c r="AN49" s="14"/>
      <c r="AO49" s="14"/>
      <c r="AP49" s="14">
        <f t="shared" si="6"/>
        <v>0</v>
      </c>
      <c r="AQ49" s="28">
        <v>32</v>
      </c>
      <c r="AR49" s="13"/>
      <c r="AS49" s="14"/>
      <c r="AT49" s="14"/>
      <c r="AU49" s="14">
        <f t="shared" si="7"/>
        <v>0</v>
      </c>
      <c r="AV49" s="28">
        <v>32</v>
      </c>
      <c r="AW49" s="13"/>
      <c r="AX49" s="14"/>
      <c r="AY49" s="14"/>
      <c r="AZ49" s="14">
        <f t="shared" si="8"/>
        <v>0</v>
      </c>
      <c r="BA49" s="28">
        <v>32</v>
      </c>
      <c r="BB49" s="13"/>
      <c r="BC49" s="14"/>
      <c r="BD49" s="14"/>
      <c r="BE49" s="14">
        <f t="shared" si="9"/>
        <v>0</v>
      </c>
    </row>
    <row r="50" spans="8:57" s="2" customFormat="1" ht="85.15" customHeight="1">
      <c r="H50" s="28">
        <v>33</v>
      </c>
      <c r="I50" s="13"/>
      <c r="J50" s="14"/>
      <c r="K50" s="14"/>
      <c r="L50" s="14">
        <f t="shared" si="0"/>
        <v>0</v>
      </c>
      <c r="M50" s="28">
        <v>33</v>
      </c>
      <c r="N50" s="13"/>
      <c r="O50" s="14"/>
      <c r="P50" s="14"/>
      <c r="Q50" s="14">
        <f t="shared" si="1"/>
        <v>0</v>
      </c>
      <c r="R50" s="28">
        <v>33</v>
      </c>
      <c r="S50" s="13"/>
      <c r="T50" s="14"/>
      <c r="U50" s="14"/>
      <c r="V50" s="14">
        <f t="shared" si="2"/>
        <v>0</v>
      </c>
      <c r="W50" s="28">
        <v>33</v>
      </c>
      <c r="X50" s="13"/>
      <c r="Y50" s="14"/>
      <c r="Z50" s="14"/>
      <c r="AA50" s="14">
        <f t="shared" si="3"/>
        <v>0</v>
      </c>
      <c r="AB50" s="28">
        <v>33</v>
      </c>
      <c r="AC50" s="13"/>
      <c r="AD50" s="14"/>
      <c r="AE50" s="14"/>
      <c r="AF50" s="14">
        <f t="shared" si="4"/>
        <v>0</v>
      </c>
      <c r="AG50" s="28">
        <v>33</v>
      </c>
      <c r="AH50" s="13"/>
      <c r="AI50" s="14"/>
      <c r="AJ50" s="14"/>
      <c r="AK50" s="14">
        <f t="shared" si="5"/>
        <v>0</v>
      </c>
      <c r="AL50" s="28">
        <v>33</v>
      </c>
      <c r="AM50" s="13"/>
      <c r="AN50" s="14"/>
      <c r="AO50" s="14"/>
      <c r="AP50" s="14">
        <f t="shared" si="6"/>
        <v>0</v>
      </c>
      <c r="AQ50" s="28">
        <v>33</v>
      </c>
      <c r="AR50" s="13"/>
      <c r="AS50" s="14"/>
      <c r="AT50" s="14"/>
      <c r="AU50" s="14">
        <f t="shared" si="7"/>
        <v>0</v>
      </c>
      <c r="AV50" s="28">
        <v>33</v>
      </c>
      <c r="AW50" s="13"/>
      <c r="AX50" s="14"/>
      <c r="AY50" s="14"/>
      <c r="AZ50" s="14">
        <f t="shared" si="8"/>
        <v>0</v>
      </c>
      <c r="BA50" s="28">
        <v>33</v>
      </c>
      <c r="BB50" s="13"/>
      <c r="BC50" s="14"/>
      <c r="BD50" s="14"/>
      <c r="BE50" s="14">
        <f t="shared" si="9"/>
        <v>0</v>
      </c>
    </row>
    <row r="51" spans="8:57" s="2" customFormat="1" ht="85.15" customHeight="1">
      <c r="H51" s="28">
        <v>34</v>
      </c>
      <c r="I51" s="13"/>
      <c r="J51" s="14"/>
      <c r="K51" s="14"/>
      <c r="L51" s="14">
        <f t="shared" si="0"/>
        <v>0</v>
      </c>
      <c r="M51" s="28">
        <v>34</v>
      </c>
      <c r="N51" s="13"/>
      <c r="O51" s="14"/>
      <c r="P51" s="14"/>
      <c r="Q51" s="14">
        <f t="shared" si="1"/>
        <v>0</v>
      </c>
      <c r="R51" s="28">
        <v>34</v>
      </c>
      <c r="S51" s="13"/>
      <c r="T51" s="14"/>
      <c r="U51" s="14"/>
      <c r="V51" s="14">
        <f t="shared" si="2"/>
        <v>0</v>
      </c>
      <c r="W51" s="28">
        <v>34</v>
      </c>
      <c r="X51" s="13"/>
      <c r="Y51" s="14"/>
      <c r="Z51" s="14"/>
      <c r="AA51" s="14">
        <f t="shared" si="3"/>
        <v>0</v>
      </c>
      <c r="AB51" s="28">
        <v>34</v>
      </c>
      <c r="AC51" s="13"/>
      <c r="AD51" s="14"/>
      <c r="AE51" s="14"/>
      <c r="AF51" s="14">
        <f t="shared" si="4"/>
        <v>0</v>
      </c>
      <c r="AG51" s="28">
        <v>34</v>
      </c>
      <c r="AH51" s="13"/>
      <c r="AI51" s="14"/>
      <c r="AJ51" s="14"/>
      <c r="AK51" s="14">
        <f t="shared" si="5"/>
        <v>0</v>
      </c>
      <c r="AL51" s="28">
        <v>34</v>
      </c>
      <c r="AM51" s="13"/>
      <c r="AN51" s="14"/>
      <c r="AO51" s="14"/>
      <c r="AP51" s="14">
        <f t="shared" si="6"/>
        <v>0</v>
      </c>
      <c r="AQ51" s="28">
        <v>34</v>
      </c>
      <c r="AR51" s="13"/>
      <c r="AS51" s="14"/>
      <c r="AT51" s="14"/>
      <c r="AU51" s="14">
        <f t="shared" si="7"/>
        <v>0</v>
      </c>
      <c r="AV51" s="28">
        <v>34</v>
      </c>
      <c r="AW51" s="13"/>
      <c r="AX51" s="14"/>
      <c r="AY51" s="14"/>
      <c r="AZ51" s="14">
        <f t="shared" si="8"/>
        <v>0</v>
      </c>
      <c r="BA51" s="28">
        <v>34</v>
      </c>
      <c r="BB51" s="13"/>
      <c r="BC51" s="14"/>
      <c r="BD51" s="14"/>
      <c r="BE51" s="14">
        <f t="shared" si="9"/>
        <v>0</v>
      </c>
    </row>
    <row r="52" spans="8:57" s="2" customFormat="1" ht="85.15" customHeight="1">
      <c r="H52" s="28">
        <v>35</v>
      </c>
      <c r="I52" s="13"/>
      <c r="J52" s="14"/>
      <c r="K52" s="14"/>
      <c r="L52" s="14">
        <f t="shared" si="0"/>
        <v>0</v>
      </c>
      <c r="M52" s="28">
        <v>35</v>
      </c>
      <c r="N52" s="13"/>
      <c r="O52" s="14"/>
      <c r="P52" s="14"/>
      <c r="Q52" s="14">
        <f t="shared" si="1"/>
        <v>0</v>
      </c>
      <c r="R52" s="28">
        <v>35</v>
      </c>
      <c r="S52" s="13"/>
      <c r="T52" s="14"/>
      <c r="U52" s="14"/>
      <c r="V52" s="14">
        <f t="shared" si="2"/>
        <v>0</v>
      </c>
      <c r="W52" s="28">
        <v>35</v>
      </c>
      <c r="X52" s="13"/>
      <c r="Y52" s="14"/>
      <c r="Z52" s="14"/>
      <c r="AA52" s="14">
        <f t="shared" si="3"/>
        <v>0</v>
      </c>
      <c r="AB52" s="28">
        <v>35</v>
      </c>
      <c r="AC52" s="13"/>
      <c r="AD52" s="14"/>
      <c r="AE52" s="14"/>
      <c r="AF52" s="14">
        <f t="shared" si="4"/>
        <v>0</v>
      </c>
      <c r="AG52" s="28">
        <v>35</v>
      </c>
      <c r="AH52" s="13"/>
      <c r="AI52" s="14"/>
      <c r="AJ52" s="14"/>
      <c r="AK52" s="14">
        <f t="shared" si="5"/>
        <v>0</v>
      </c>
      <c r="AL52" s="28">
        <v>35</v>
      </c>
      <c r="AM52" s="13"/>
      <c r="AN52" s="14"/>
      <c r="AO52" s="14"/>
      <c r="AP52" s="14">
        <f t="shared" si="6"/>
        <v>0</v>
      </c>
      <c r="AQ52" s="28">
        <v>35</v>
      </c>
      <c r="AR52" s="13"/>
      <c r="AS52" s="14"/>
      <c r="AT52" s="14"/>
      <c r="AU52" s="14">
        <f t="shared" si="7"/>
        <v>0</v>
      </c>
      <c r="AV52" s="28">
        <v>35</v>
      </c>
      <c r="AW52" s="13"/>
      <c r="AX52" s="14"/>
      <c r="AY52" s="14"/>
      <c r="AZ52" s="14">
        <f t="shared" si="8"/>
        <v>0</v>
      </c>
      <c r="BA52" s="28">
        <v>35</v>
      </c>
      <c r="BB52" s="13"/>
      <c r="BC52" s="14"/>
      <c r="BD52" s="14"/>
      <c r="BE52" s="14">
        <f t="shared" si="9"/>
        <v>0</v>
      </c>
    </row>
    <row r="53" spans="8:57" s="2" customFormat="1" ht="85.15" customHeight="1">
      <c r="H53" s="28">
        <v>36</v>
      </c>
      <c r="I53" s="13"/>
      <c r="J53" s="14"/>
      <c r="K53" s="14"/>
      <c r="L53" s="14">
        <f t="shared" si="0"/>
        <v>0</v>
      </c>
      <c r="M53" s="28">
        <v>36</v>
      </c>
      <c r="N53" s="13"/>
      <c r="O53" s="14"/>
      <c r="P53" s="14"/>
      <c r="Q53" s="14">
        <f t="shared" si="1"/>
        <v>0</v>
      </c>
      <c r="R53" s="28">
        <v>36</v>
      </c>
      <c r="S53" s="13"/>
      <c r="T53" s="14"/>
      <c r="U53" s="14"/>
      <c r="V53" s="14">
        <f t="shared" si="2"/>
        <v>0</v>
      </c>
      <c r="W53" s="28">
        <v>36</v>
      </c>
      <c r="X53" s="13"/>
      <c r="Y53" s="14"/>
      <c r="Z53" s="14"/>
      <c r="AA53" s="14">
        <f t="shared" si="3"/>
        <v>0</v>
      </c>
      <c r="AB53" s="28">
        <v>36</v>
      </c>
      <c r="AC53" s="13"/>
      <c r="AD53" s="14"/>
      <c r="AE53" s="14"/>
      <c r="AF53" s="14">
        <f t="shared" si="4"/>
        <v>0</v>
      </c>
      <c r="AG53" s="28">
        <v>36</v>
      </c>
      <c r="AH53" s="13"/>
      <c r="AI53" s="14"/>
      <c r="AJ53" s="14"/>
      <c r="AK53" s="14">
        <f t="shared" si="5"/>
        <v>0</v>
      </c>
      <c r="AL53" s="28">
        <v>36</v>
      </c>
      <c r="AM53" s="13"/>
      <c r="AN53" s="14"/>
      <c r="AO53" s="14"/>
      <c r="AP53" s="14">
        <f t="shared" si="6"/>
        <v>0</v>
      </c>
      <c r="AQ53" s="28">
        <v>36</v>
      </c>
      <c r="AR53" s="13"/>
      <c r="AS53" s="14"/>
      <c r="AT53" s="14"/>
      <c r="AU53" s="14">
        <f t="shared" si="7"/>
        <v>0</v>
      </c>
      <c r="AV53" s="28">
        <v>36</v>
      </c>
      <c r="AW53" s="13"/>
      <c r="AX53" s="14"/>
      <c r="AY53" s="14"/>
      <c r="AZ53" s="14">
        <f t="shared" si="8"/>
        <v>0</v>
      </c>
      <c r="BA53" s="28">
        <v>36</v>
      </c>
      <c r="BB53" s="13"/>
      <c r="BC53" s="14"/>
      <c r="BD53" s="14"/>
      <c r="BE53" s="14">
        <f t="shared" si="9"/>
        <v>0</v>
      </c>
    </row>
    <row r="54" spans="8:57" s="2" customFormat="1" ht="85.15" customHeight="1">
      <c r="H54" s="28">
        <v>37</v>
      </c>
      <c r="I54" s="13"/>
      <c r="J54" s="14"/>
      <c r="K54" s="14"/>
      <c r="L54" s="14">
        <f t="shared" si="0"/>
        <v>0</v>
      </c>
      <c r="M54" s="28">
        <v>37</v>
      </c>
      <c r="N54" s="13"/>
      <c r="O54" s="14"/>
      <c r="P54" s="14"/>
      <c r="Q54" s="14">
        <f t="shared" si="1"/>
        <v>0</v>
      </c>
      <c r="R54" s="28">
        <v>37</v>
      </c>
      <c r="S54" s="13"/>
      <c r="T54" s="14"/>
      <c r="U54" s="14"/>
      <c r="V54" s="14">
        <f t="shared" si="2"/>
        <v>0</v>
      </c>
      <c r="W54" s="28">
        <v>37</v>
      </c>
      <c r="X54" s="13"/>
      <c r="Y54" s="14"/>
      <c r="Z54" s="14"/>
      <c r="AA54" s="14">
        <f t="shared" si="3"/>
        <v>0</v>
      </c>
      <c r="AB54" s="28">
        <v>37</v>
      </c>
      <c r="AC54" s="13"/>
      <c r="AD54" s="14"/>
      <c r="AE54" s="14"/>
      <c r="AF54" s="14">
        <f t="shared" si="4"/>
        <v>0</v>
      </c>
      <c r="AG54" s="28">
        <v>37</v>
      </c>
      <c r="AH54" s="13"/>
      <c r="AI54" s="14"/>
      <c r="AJ54" s="14"/>
      <c r="AK54" s="14">
        <f t="shared" si="5"/>
        <v>0</v>
      </c>
      <c r="AL54" s="28">
        <v>37</v>
      </c>
      <c r="AM54" s="13"/>
      <c r="AN54" s="14"/>
      <c r="AO54" s="14"/>
      <c r="AP54" s="14">
        <f t="shared" si="6"/>
        <v>0</v>
      </c>
      <c r="AQ54" s="28">
        <v>37</v>
      </c>
      <c r="AR54" s="13"/>
      <c r="AS54" s="14"/>
      <c r="AT54" s="14"/>
      <c r="AU54" s="14">
        <f t="shared" si="7"/>
        <v>0</v>
      </c>
      <c r="AV54" s="28">
        <v>37</v>
      </c>
      <c r="AW54" s="13"/>
      <c r="AX54" s="14"/>
      <c r="AY54" s="14"/>
      <c r="AZ54" s="14">
        <f t="shared" si="8"/>
        <v>0</v>
      </c>
      <c r="BA54" s="28">
        <v>37</v>
      </c>
      <c r="BB54" s="13"/>
      <c r="BC54" s="14"/>
      <c r="BD54" s="14"/>
      <c r="BE54" s="14">
        <f t="shared" si="9"/>
        <v>0</v>
      </c>
    </row>
    <row r="55" spans="8:57" s="2" customFormat="1" ht="85.15" customHeight="1">
      <c r="H55" s="28">
        <v>38</v>
      </c>
      <c r="I55" s="13"/>
      <c r="J55" s="14"/>
      <c r="K55" s="14"/>
      <c r="L55" s="14">
        <f t="shared" si="0"/>
        <v>0</v>
      </c>
      <c r="M55" s="28">
        <v>38</v>
      </c>
      <c r="N55" s="13"/>
      <c r="O55" s="14"/>
      <c r="P55" s="14"/>
      <c r="Q55" s="14">
        <f t="shared" si="1"/>
        <v>0</v>
      </c>
      <c r="R55" s="28">
        <v>38</v>
      </c>
      <c r="S55" s="13"/>
      <c r="T55" s="14"/>
      <c r="U55" s="14"/>
      <c r="V55" s="14">
        <f t="shared" si="2"/>
        <v>0</v>
      </c>
      <c r="W55" s="28">
        <v>38</v>
      </c>
      <c r="X55" s="13"/>
      <c r="Y55" s="14"/>
      <c r="Z55" s="14"/>
      <c r="AA55" s="14">
        <f t="shared" si="3"/>
        <v>0</v>
      </c>
      <c r="AB55" s="28">
        <v>38</v>
      </c>
      <c r="AC55" s="13"/>
      <c r="AD55" s="14"/>
      <c r="AE55" s="14"/>
      <c r="AF55" s="14">
        <f t="shared" si="4"/>
        <v>0</v>
      </c>
      <c r="AG55" s="28">
        <v>38</v>
      </c>
      <c r="AH55" s="13"/>
      <c r="AI55" s="14"/>
      <c r="AJ55" s="14"/>
      <c r="AK55" s="14">
        <f t="shared" si="5"/>
        <v>0</v>
      </c>
      <c r="AL55" s="28">
        <v>38</v>
      </c>
      <c r="AM55" s="13"/>
      <c r="AN55" s="14"/>
      <c r="AO55" s="14"/>
      <c r="AP55" s="14">
        <f t="shared" si="6"/>
        <v>0</v>
      </c>
      <c r="AQ55" s="28">
        <v>38</v>
      </c>
      <c r="AR55" s="13"/>
      <c r="AS55" s="14"/>
      <c r="AT55" s="14"/>
      <c r="AU55" s="14">
        <f t="shared" si="7"/>
        <v>0</v>
      </c>
      <c r="AV55" s="28">
        <v>38</v>
      </c>
      <c r="AW55" s="13"/>
      <c r="AX55" s="14"/>
      <c r="AY55" s="14"/>
      <c r="AZ55" s="14">
        <f t="shared" si="8"/>
        <v>0</v>
      </c>
      <c r="BA55" s="28">
        <v>38</v>
      </c>
      <c r="BB55" s="13"/>
      <c r="BC55" s="14"/>
      <c r="BD55" s="14"/>
      <c r="BE55" s="14">
        <f t="shared" si="9"/>
        <v>0</v>
      </c>
    </row>
    <row r="56" spans="8:57" s="2" customFormat="1" ht="85.15" customHeight="1">
      <c r="H56" s="28">
        <v>39</v>
      </c>
      <c r="I56" s="13"/>
      <c r="J56" s="14"/>
      <c r="K56" s="14"/>
      <c r="L56" s="14">
        <f t="shared" si="0"/>
        <v>0</v>
      </c>
      <c r="M56" s="28">
        <v>39</v>
      </c>
      <c r="N56" s="13"/>
      <c r="O56" s="14"/>
      <c r="P56" s="14"/>
      <c r="Q56" s="14">
        <f t="shared" si="1"/>
        <v>0</v>
      </c>
      <c r="R56" s="28">
        <v>39</v>
      </c>
      <c r="S56" s="13"/>
      <c r="T56" s="14"/>
      <c r="U56" s="14"/>
      <c r="V56" s="14">
        <f t="shared" si="2"/>
        <v>0</v>
      </c>
      <c r="W56" s="28">
        <v>39</v>
      </c>
      <c r="X56" s="13"/>
      <c r="Y56" s="14"/>
      <c r="Z56" s="14"/>
      <c r="AA56" s="14">
        <f t="shared" si="3"/>
        <v>0</v>
      </c>
      <c r="AB56" s="28">
        <v>39</v>
      </c>
      <c r="AC56" s="13"/>
      <c r="AD56" s="14"/>
      <c r="AE56" s="14"/>
      <c r="AF56" s="14">
        <f t="shared" si="4"/>
        <v>0</v>
      </c>
      <c r="AG56" s="28">
        <v>39</v>
      </c>
      <c r="AH56" s="13"/>
      <c r="AI56" s="14"/>
      <c r="AJ56" s="14"/>
      <c r="AK56" s="14">
        <f t="shared" si="5"/>
        <v>0</v>
      </c>
      <c r="AL56" s="28">
        <v>39</v>
      </c>
      <c r="AM56" s="13"/>
      <c r="AN56" s="14"/>
      <c r="AO56" s="14"/>
      <c r="AP56" s="14">
        <f t="shared" si="6"/>
        <v>0</v>
      </c>
      <c r="AQ56" s="28">
        <v>39</v>
      </c>
      <c r="AR56" s="13"/>
      <c r="AS56" s="14"/>
      <c r="AT56" s="14"/>
      <c r="AU56" s="14">
        <f t="shared" si="7"/>
        <v>0</v>
      </c>
      <c r="AV56" s="28">
        <v>39</v>
      </c>
      <c r="AW56" s="13"/>
      <c r="AX56" s="14"/>
      <c r="AY56" s="14"/>
      <c r="AZ56" s="14">
        <f t="shared" si="8"/>
        <v>0</v>
      </c>
      <c r="BA56" s="28">
        <v>39</v>
      </c>
      <c r="BB56" s="13"/>
      <c r="BC56" s="14"/>
      <c r="BD56" s="14"/>
      <c r="BE56" s="14">
        <f t="shared" si="9"/>
        <v>0</v>
      </c>
    </row>
    <row r="57" spans="8:57" s="2" customFormat="1" ht="85.15" customHeight="1">
      <c r="H57" s="28">
        <v>40</v>
      </c>
      <c r="I57" s="13"/>
      <c r="J57" s="14"/>
      <c r="K57" s="14"/>
      <c r="L57" s="14">
        <f t="shared" si="0"/>
        <v>0</v>
      </c>
      <c r="M57" s="28">
        <v>40</v>
      </c>
      <c r="N57" s="13"/>
      <c r="O57" s="14"/>
      <c r="P57" s="14"/>
      <c r="Q57" s="14">
        <f t="shared" si="1"/>
        <v>0</v>
      </c>
      <c r="R57" s="28">
        <v>40</v>
      </c>
      <c r="S57" s="13"/>
      <c r="T57" s="14"/>
      <c r="U57" s="14"/>
      <c r="V57" s="14">
        <f t="shared" si="2"/>
        <v>0</v>
      </c>
      <c r="W57" s="28">
        <v>40</v>
      </c>
      <c r="X57" s="13"/>
      <c r="Y57" s="14"/>
      <c r="Z57" s="14"/>
      <c r="AA57" s="14">
        <f t="shared" si="3"/>
        <v>0</v>
      </c>
      <c r="AB57" s="28">
        <v>40</v>
      </c>
      <c r="AC57" s="13"/>
      <c r="AD57" s="14"/>
      <c r="AE57" s="14"/>
      <c r="AF57" s="14">
        <f t="shared" si="4"/>
        <v>0</v>
      </c>
      <c r="AG57" s="28">
        <v>40</v>
      </c>
      <c r="AH57" s="13"/>
      <c r="AI57" s="14"/>
      <c r="AJ57" s="14"/>
      <c r="AK57" s="14">
        <f t="shared" si="5"/>
        <v>0</v>
      </c>
      <c r="AL57" s="28">
        <v>40</v>
      </c>
      <c r="AM57" s="13"/>
      <c r="AN57" s="14"/>
      <c r="AO57" s="14"/>
      <c r="AP57" s="14">
        <f t="shared" si="6"/>
        <v>0</v>
      </c>
      <c r="AQ57" s="28">
        <v>40</v>
      </c>
      <c r="AR57" s="13"/>
      <c r="AS57" s="14"/>
      <c r="AT57" s="14"/>
      <c r="AU57" s="14">
        <f t="shared" si="7"/>
        <v>0</v>
      </c>
      <c r="AV57" s="28">
        <v>40</v>
      </c>
      <c r="AW57" s="13"/>
      <c r="AX57" s="14"/>
      <c r="AY57" s="14"/>
      <c r="AZ57" s="14">
        <f t="shared" si="8"/>
        <v>0</v>
      </c>
      <c r="BA57" s="28">
        <v>40</v>
      </c>
      <c r="BB57" s="13"/>
      <c r="BC57" s="14"/>
      <c r="BD57" s="14"/>
      <c r="BE57" s="14">
        <f t="shared" si="9"/>
        <v>0</v>
      </c>
    </row>
    <row r="58" spans="8:57" s="2" customFormat="1" ht="85.15" customHeight="1">
      <c r="H58" s="28">
        <v>41</v>
      </c>
      <c r="I58" s="13"/>
      <c r="J58" s="14"/>
      <c r="K58" s="14"/>
      <c r="L58" s="14">
        <f t="shared" si="0"/>
        <v>0</v>
      </c>
      <c r="M58" s="28">
        <v>41</v>
      </c>
      <c r="N58" s="13"/>
      <c r="O58" s="14"/>
      <c r="P58" s="14"/>
      <c r="Q58" s="14">
        <f t="shared" si="1"/>
        <v>0</v>
      </c>
      <c r="R58" s="28">
        <v>41</v>
      </c>
      <c r="S58" s="13"/>
      <c r="T58" s="14"/>
      <c r="U58" s="14"/>
      <c r="V58" s="14">
        <f t="shared" si="2"/>
        <v>0</v>
      </c>
      <c r="W58" s="28">
        <v>41</v>
      </c>
      <c r="X58" s="13"/>
      <c r="Y58" s="14"/>
      <c r="Z58" s="14"/>
      <c r="AA58" s="14">
        <f t="shared" si="3"/>
        <v>0</v>
      </c>
      <c r="AB58" s="28">
        <v>41</v>
      </c>
      <c r="AC58" s="13"/>
      <c r="AD58" s="14"/>
      <c r="AE58" s="14"/>
      <c r="AF58" s="14">
        <f t="shared" si="4"/>
        <v>0</v>
      </c>
      <c r="AG58" s="28">
        <v>41</v>
      </c>
      <c r="AH58" s="13"/>
      <c r="AI58" s="14"/>
      <c r="AJ58" s="14"/>
      <c r="AK58" s="14">
        <f t="shared" si="5"/>
        <v>0</v>
      </c>
      <c r="AL58" s="28">
        <v>41</v>
      </c>
      <c r="AM58" s="13"/>
      <c r="AN58" s="14"/>
      <c r="AO58" s="14"/>
      <c r="AP58" s="14">
        <f t="shared" si="6"/>
        <v>0</v>
      </c>
      <c r="AQ58" s="28">
        <v>41</v>
      </c>
      <c r="AR58" s="13"/>
      <c r="AS58" s="14"/>
      <c r="AT58" s="14"/>
      <c r="AU58" s="14">
        <f t="shared" si="7"/>
        <v>0</v>
      </c>
      <c r="AV58" s="28">
        <v>41</v>
      </c>
      <c r="AW58" s="13"/>
      <c r="AX58" s="14"/>
      <c r="AY58" s="14"/>
      <c r="AZ58" s="14">
        <f t="shared" si="8"/>
        <v>0</v>
      </c>
      <c r="BA58" s="28">
        <v>41</v>
      </c>
      <c r="BB58" s="13"/>
      <c r="BC58" s="14"/>
      <c r="BD58" s="14"/>
      <c r="BE58" s="14">
        <f t="shared" si="9"/>
        <v>0</v>
      </c>
    </row>
    <row r="59" spans="8:57" s="2" customFormat="1" ht="85.15" customHeight="1">
      <c r="H59" s="28">
        <v>42</v>
      </c>
      <c r="I59" s="13"/>
      <c r="J59" s="14"/>
      <c r="K59" s="14"/>
      <c r="L59" s="14">
        <f t="shared" si="0"/>
        <v>0</v>
      </c>
      <c r="M59" s="28">
        <v>42</v>
      </c>
      <c r="N59" s="13"/>
      <c r="O59" s="14"/>
      <c r="P59" s="14"/>
      <c r="Q59" s="14">
        <f t="shared" si="1"/>
        <v>0</v>
      </c>
      <c r="R59" s="28">
        <v>42</v>
      </c>
      <c r="S59" s="13"/>
      <c r="T59" s="14"/>
      <c r="U59" s="14"/>
      <c r="V59" s="14">
        <f t="shared" si="2"/>
        <v>0</v>
      </c>
      <c r="W59" s="28">
        <v>42</v>
      </c>
      <c r="X59" s="13"/>
      <c r="Y59" s="14"/>
      <c r="Z59" s="14"/>
      <c r="AA59" s="14">
        <f t="shared" si="3"/>
        <v>0</v>
      </c>
      <c r="AB59" s="28">
        <v>42</v>
      </c>
      <c r="AC59" s="13"/>
      <c r="AD59" s="14"/>
      <c r="AE59" s="14"/>
      <c r="AF59" s="14">
        <f t="shared" si="4"/>
        <v>0</v>
      </c>
      <c r="AG59" s="28">
        <v>42</v>
      </c>
      <c r="AH59" s="13"/>
      <c r="AI59" s="14"/>
      <c r="AJ59" s="14"/>
      <c r="AK59" s="14">
        <f t="shared" si="5"/>
        <v>0</v>
      </c>
      <c r="AL59" s="28">
        <v>42</v>
      </c>
      <c r="AM59" s="13"/>
      <c r="AN59" s="14"/>
      <c r="AO59" s="14"/>
      <c r="AP59" s="14">
        <f t="shared" si="6"/>
        <v>0</v>
      </c>
      <c r="AQ59" s="28">
        <v>42</v>
      </c>
      <c r="AR59" s="13"/>
      <c r="AS59" s="14"/>
      <c r="AT59" s="14"/>
      <c r="AU59" s="14">
        <f t="shared" si="7"/>
        <v>0</v>
      </c>
      <c r="AV59" s="28">
        <v>42</v>
      </c>
      <c r="AW59" s="13"/>
      <c r="AX59" s="14"/>
      <c r="AY59" s="14"/>
      <c r="AZ59" s="14">
        <f t="shared" si="8"/>
        <v>0</v>
      </c>
      <c r="BA59" s="28">
        <v>42</v>
      </c>
      <c r="BB59" s="13"/>
      <c r="BC59" s="14"/>
      <c r="BD59" s="14"/>
      <c r="BE59" s="14">
        <f t="shared" si="9"/>
        <v>0</v>
      </c>
    </row>
    <row r="60" spans="8:57" s="2" customFormat="1" ht="85.15" customHeight="1">
      <c r="H60" s="28">
        <v>43</v>
      </c>
      <c r="I60" s="13"/>
      <c r="J60" s="14"/>
      <c r="K60" s="14"/>
      <c r="L60" s="14">
        <f t="shared" si="0"/>
        <v>0</v>
      </c>
      <c r="M60" s="28">
        <v>43</v>
      </c>
      <c r="N60" s="13"/>
      <c r="O60" s="14"/>
      <c r="P60" s="14"/>
      <c r="Q60" s="14">
        <f t="shared" si="1"/>
        <v>0</v>
      </c>
      <c r="R60" s="28">
        <v>43</v>
      </c>
      <c r="S60" s="13"/>
      <c r="T60" s="14"/>
      <c r="U60" s="14"/>
      <c r="V60" s="14">
        <f t="shared" si="2"/>
        <v>0</v>
      </c>
      <c r="W60" s="28">
        <v>43</v>
      </c>
      <c r="X60" s="13"/>
      <c r="Y60" s="14"/>
      <c r="Z60" s="14"/>
      <c r="AA60" s="14">
        <f t="shared" si="3"/>
        <v>0</v>
      </c>
      <c r="AB60" s="28">
        <v>43</v>
      </c>
      <c r="AC60" s="13"/>
      <c r="AD60" s="14"/>
      <c r="AE60" s="14"/>
      <c r="AF60" s="14">
        <f t="shared" si="4"/>
        <v>0</v>
      </c>
      <c r="AG60" s="28">
        <v>43</v>
      </c>
      <c r="AH60" s="13"/>
      <c r="AI60" s="14"/>
      <c r="AJ60" s="14"/>
      <c r="AK60" s="14">
        <f t="shared" si="5"/>
        <v>0</v>
      </c>
      <c r="AL60" s="28">
        <v>43</v>
      </c>
      <c r="AM60" s="13"/>
      <c r="AN60" s="14"/>
      <c r="AO60" s="14"/>
      <c r="AP60" s="14">
        <f t="shared" si="6"/>
        <v>0</v>
      </c>
      <c r="AQ60" s="28">
        <v>43</v>
      </c>
      <c r="AR60" s="13"/>
      <c r="AS60" s="14"/>
      <c r="AT60" s="14"/>
      <c r="AU60" s="14">
        <f t="shared" si="7"/>
        <v>0</v>
      </c>
      <c r="AV60" s="28">
        <v>43</v>
      </c>
      <c r="AW60" s="13"/>
      <c r="AX60" s="14"/>
      <c r="AY60" s="14"/>
      <c r="AZ60" s="14">
        <f t="shared" si="8"/>
        <v>0</v>
      </c>
      <c r="BA60" s="28">
        <v>43</v>
      </c>
      <c r="BB60" s="13"/>
      <c r="BC60" s="14"/>
      <c r="BD60" s="14"/>
      <c r="BE60" s="14">
        <f t="shared" si="9"/>
        <v>0</v>
      </c>
    </row>
    <row r="61" spans="8:57" s="2" customFormat="1" ht="85.15" customHeight="1">
      <c r="H61" s="28">
        <v>44</v>
      </c>
      <c r="I61" s="13"/>
      <c r="J61" s="14"/>
      <c r="K61" s="14"/>
      <c r="L61" s="14">
        <f t="shared" si="0"/>
        <v>0</v>
      </c>
      <c r="M61" s="28">
        <v>44</v>
      </c>
      <c r="N61" s="13"/>
      <c r="O61" s="14"/>
      <c r="P61" s="14"/>
      <c r="Q61" s="14">
        <f t="shared" si="1"/>
        <v>0</v>
      </c>
      <c r="R61" s="28">
        <v>44</v>
      </c>
      <c r="S61" s="13"/>
      <c r="T61" s="14"/>
      <c r="U61" s="14"/>
      <c r="V61" s="14">
        <f t="shared" si="2"/>
        <v>0</v>
      </c>
      <c r="W61" s="28">
        <v>44</v>
      </c>
      <c r="X61" s="13"/>
      <c r="Y61" s="14"/>
      <c r="Z61" s="14"/>
      <c r="AA61" s="14">
        <f t="shared" si="3"/>
        <v>0</v>
      </c>
      <c r="AB61" s="28">
        <v>44</v>
      </c>
      <c r="AC61" s="13"/>
      <c r="AD61" s="14"/>
      <c r="AE61" s="14"/>
      <c r="AF61" s="14">
        <f t="shared" si="4"/>
        <v>0</v>
      </c>
      <c r="AG61" s="28">
        <v>44</v>
      </c>
      <c r="AH61" s="13"/>
      <c r="AI61" s="14"/>
      <c r="AJ61" s="14"/>
      <c r="AK61" s="14">
        <f t="shared" si="5"/>
        <v>0</v>
      </c>
      <c r="AL61" s="28">
        <v>44</v>
      </c>
      <c r="AM61" s="13"/>
      <c r="AN61" s="14"/>
      <c r="AO61" s="14"/>
      <c r="AP61" s="14">
        <f t="shared" si="6"/>
        <v>0</v>
      </c>
      <c r="AQ61" s="28">
        <v>44</v>
      </c>
      <c r="AR61" s="13"/>
      <c r="AS61" s="14"/>
      <c r="AT61" s="14"/>
      <c r="AU61" s="14">
        <f t="shared" si="7"/>
        <v>0</v>
      </c>
      <c r="AV61" s="28">
        <v>44</v>
      </c>
      <c r="AW61" s="13"/>
      <c r="AX61" s="14"/>
      <c r="AY61" s="14"/>
      <c r="AZ61" s="14">
        <f t="shared" si="8"/>
        <v>0</v>
      </c>
      <c r="BA61" s="28">
        <v>44</v>
      </c>
      <c r="BB61" s="13"/>
      <c r="BC61" s="14"/>
      <c r="BD61" s="14"/>
      <c r="BE61" s="14">
        <f t="shared" si="9"/>
        <v>0</v>
      </c>
    </row>
    <row r="62" spans="8:57" s="2" customFormat="1" ht="85.15" customHeight="1">
      <c r="H62" s="28">
        <v>45</v>
      </c>
      <c r="I62" s="13"/>
      <c r="J62" s="14"/>
      <c r="K62" s="14"/>
      <c r="L62" s="14">
        <f t="shared" si="0"/>
        <v>0</v>
      </c>
      <c r="M62" s="28">
        <v>45</v>
      </c>
      <c r="N62" s="13"/>
      <c r="O62" s="14"/>
      <c r="P62" s="14"/>
      <c r="Q62" s="14">
        <f t="shared" si="1"/>
        <v>0</v>
      </c>
      <c r="R62" s="28">
        <v>45</v>
      </c>
      <c r="S62" s="13"/>
      <c r="T62" s="14"/>
      <c r="U62" s="14"/>
      <c r="V62" s="14">
        <f t="shared" si="2"/>
        <v>0</v>
      </c>
      <c r="W62" s="28">
        <v>45</v>
      </c>
      <c r="X62" s="13"/>
      <c r="Y62" s="14"/>
      <c r="Z62" s="14"/>
      <c r="AA62" s="14">
        <f t="shared" si="3"/>
        <v>0</v>
      </c>
      <c r="AB62" s="28">
        <v>45</v>
      </c>
      <c r="AC62" s="13"/>
      <c r="AD62" s="14"/>
      <c r="AE62" s="14"/>
      <c r="AF62" s="14">
        <f t="shared" si="4"/>
        <v>0</v>
      </c>
      <c r="AG62" s="28">
        <v>45</v>
      </c>
      <c r="AH62" s="13"/>
      <c r="AI62" s="14"/>
      <c r="AJ62" s="14"/>
      <c r="AK62" s="14">
        <f t="shared" si="5"/>
        <v>0</v>
      </c>
      <c r="AL62" s="28">
        <v>45</v>
      </c>
      <c r="AM62" s="13"/>
      <c r="AN62" s="14"/>
      <c r="AO62" s="14"/>
      <c r="AP62" s="14">
        <f t="shared" si="6"/>
        <v>0</v>
      </c>
      <c r="AQ62" s="28">
        <v>45</v>
      </c>
      <c r="AR62" s="13"/>
      <c r="AS62" s="14"/>
      <c r="AT62" s="14"/>
      <c r="AU62" s="14">
        <f t="shared" si="7"/>
        <v>0</v>
      </c>
      <c r="AV62" s="28">
        <v>45</v>
      </c>
      <c r="AW62" s="13"/>
      <c r="AX62" s="14"/>
      <c r="AY62" s="14"/>
      <c r="AZ62" s="14">
        <f t="shared" si="8"/>
        <v>0</v>
      </c>
      <c r="BA62" s="28">
        <v>45</v>
      </c>
      <c r="BB62" s="13"/>
      <c r="BC62" s="14"/>
      <c r="BD62" s="14"/>
      <c r="BE62" s="14">
        <f t="shared" si="9"/>
        <v>0</v>
      </c>
    </row>
    <row r="63" spans="8:57" s="2" customFormat="1" ht="85.15" customHeight="1">
      <c r="H63" s="28">
        <v>46</v>
      </c>
      <c r="I63" s="13"/>
      <c r="J63" s="14"/>
      <c r="K63" s="14"/>
      <c r="L63" s="14">
        <f t="shared" si="0"/>
        <v>0</v>
      </c>
      <c r="M63" s="28">
        <v>46</v>
      </c>
      <c r="N63" s="13"/>
      <c r="O63" s="14"/>
      <c r="P63" s="14"/>
      <c r="Q63" s="14">
        <f t="shared" si="1"/>
        <v>0</v>
      </c>
      <c r="R63" s="28">
        <v>46</v>
      </c>
      <c r="S63" s="13"/>
      <c r="T63" s="14"/>
      <c r="U63" s="14"/>
      <c r="V63" s="14">
        <f t="shared" si="2"/>
        <v>0</v>
      </c>
      <c r="W63" s="28">
        <v>46</v>
      </c>
      <c r="X63" s="13"/>
      <c r="Y63" s="14"/>
      <c r="Z63" s="14"/>
      <c r="AA63" s="14">
        <f t="shared" si="3"/>
        <v>0</v>
      </c>
      <c r="AB63" s="28">
        <v>46</v>
      </c>
      <c r="AC63" s="13"/>
      <c r="AD63" s="14"/>
      <c r="AE63" s="14"/>
      <c r="AF63" s="14">
        <f t="shared" si="4"/>
        <v>0</v>
      </c>
      <c r="AG63" s="28">
        <v>46</v>
      </c>
      <c r="AH63" s="13"/>
      <c r="AI63" s="14"/>
      <c r="AJ63" s="14"/>
      <c r="AK63" s="14">
        <f t="shared" si="5"/>
        <v>0</v>
      </c>
      <c r="AL63" s="28">
        <v>46</v>
      </c>
      <c r="AM63" s="13"/>
      <c r="AN63" s="14"/>
      <c r="AO63" s="14"/>
      <c r="AP63" s="14">
        <f t="shared" si="6"/>
        <v>0</v>
      </c>
      <c r="AQ63" s="28">
        <v>46</v>
      </c>
      <c r="AR63" s="13"/>
      <c r="AS63" s="14"/>
      <c r="AT63" s="14"/>
      <c r="AU63" s="14">
        <f t="shared" si="7"/>
        <v>0</v>
      </c>
      <c r="AV63" s="28">
        <v>46</v>
      </c>
      <c r="AW63" s="13"/>
      <c r="AX63" s="14"/>
      <c r="AY63" s="14"/>
      <c r="AZ63" s="14">
        <f t="shared" si="8"/>
        <v>0</v>
      </c>
      <c r="BA63" s="28">
        <v>46</v>
      </c>
      <c r="BB63" s="13"/>
      <c r="BC63" s="14"/>
      <c r="BD63" s="14"/>
      <c r="BE63" s="14">
        <f t="shared" si="9"/>
        <v>0</v>
      </c>
    </row>
    <row r="64" spans="8:57" s="2" customFormat="1" ht="85.15" customHeight="1">
      <c r="H64" s="28">
        <v>47</v>
      </c>
      <c r="I64" s="13"/>
      <c r="J64" s="14"/>
      <c r="K64" s="14"/>
      <c r="L64" s="14">
        <f t="shared" si="0"/>
        <v>0</v>
      </c>
      <c r="M64" s="28">
        <v>47</v>
      </c>
      <c r="N64" s="13"/>
      <c r="O64" s="14"/>
      <c r="P64" s="14"/>
      <c r="Q64" s="14">
        <f t="shared" si="1"/>
        <v>0</v>
      </c>
      <c r="R64" s="28">
        <v>47</v>
      </c>
      <c r="S64" s="13"/>
      <c r="T64" s="14"/>
      <c r="U64" s="14"/>
      <c r="V64" s="14">
        <f t="shared" si="2"/>
        <v>0</v>
      </c>
      <c r="W64" s="28">
        <v>47</v>
      </c>
      <c r="X64" s="13"/>
      <c r="Y64" s="14"/>
      <c r="Z64" s="14"/>
      <c r="AA64" s="14">
        <f t="shared" si="3"/>
        <v>0</v>
      </c>
      <c r="AB64" s="28">
        <v>47</v>
      </c>
      <c r="AC64" s="13"/>
      <c r="AD64" s="14"/>
      <c r="AE64" s="14"/>
      <c r="AF64" s="14">
        <f t="shared" si="4"/>
        <v>0</v>
      </c>
      <c r="AG64" s="28">
        <v>47</v>
      </c>
      <c r="AH64" s="13"/>
      <c r="AI64" s="14"/>
      <c r="AJ64" s="14"/>
      <c r="AK64" s="14">
        <f t="shared" si="5"/>
        <v>0</v>
      </c>
      <c r="AL64" s="28">
        <v>47</v>
      </c>
      <c r="AM64" s="13"/>
      <c r="AN64" s="14"/>
      <c r="AO64" s="14"/>
      <c r="AP64" s="14">
        <f t="shared" si="6"/>
        <v>0</v>
      </c>
      <c r="AQ64" s="28">
        <v>47</v>
      </c>
      <c r="AR64" s="13"/>
      <c r="AS64" s="14"/>
      <c r="AT64" s="14"/>
      <c r="AU64" s="14">
        <f t="shared" si="7"/>
        <v>0</v>
      </c>
      <c r="AV64" s="28">
        <v>47</v>
      </c>
      <c r="AW64" s="13"/>
      <c r="AX64" s="14"/>
      <c r="AY64" s="14"/>
      <c r="AZ64" s="14">
        <f t="shared" si="8"/>
        <v>0</v>
      </c>
      <c r="BA64" s="28">
        <v>47</v>
      </c>
      <c r="BB64" s="13"/>
      <c r="BC64" s="14"/>
      <c r="BD64" s="14"/>
      <c r="BE64" s="14">
        <f t="shared" si="9"/>
        <v>0</v>
      </c>
    </row>
    <row r="65" spans="8:57" s="2" customFormat="1" ht="85.15" customHeight="1">
      <c r="H65" s="28">
        <v>48</v>
      </c>
      <c r="I65" s="13"/>
      <c r="J65" s="14"/>
      <c r="K65" s="14"/>
      <c r="L65" s="14">
        <f t="shared" si="0"/>
        <v>0</v>
      </c>
      <c r="M65" s="28">
        <v>48</v>
      </c>
      <c r="N65" s="13"/>
      <c r="O65" s="14"/>
      <c r="P65" s="14"/>
      <c r="Q65" s="14">
        <f t="shared" si="1"/>
        <v>0</v>
      </c>
      <c r="R65" s="28">
        <v>48</v>
      </c>
      <c r="S65" s="13"/>
      <c r="T65" s="14"/>
      <c r="U65" s="14"/>
      <c r="V65" s="14">
        <f t="shared" si="2"/>
        <v>0</v>
      </c>
      <c r="W65" s="28">
        <v>48</v>
      </c>
      <c r="X65" s="13"/>
      <c r="Y65" s="14"/>
      <c r="Z65" s="14"/>
      <c r="AA65" s="14">
        <f t="shared" si="3"/>
        <v>0</v>
      </c>
      <c r="AB65" s="28">
        <v>48</v>
      </c>
      <c r="AC65" s="13"/>
      <c r="AD65" s="14"/>
      <c r="AE65" s="14"/>
      <c r="AF65" s="14">
        <f t="shared" si="4"/>
        <v>0</v>
      </c>
      <c r="AG65" s="28">
        <v>48</v>
      </c>
      <c r="AH65" s="13"/>
      <c r="AI65" s="14"/>
      <c r="AJ65" s="14"/>
      <c r="AK65" s="14">
        <f t="shared" si="5"/>
        <v>0</v>
      </c>
      <c r="AL65" s="28">
        <v>48</v>
      </c>
      <c r="AM65" s="13"/>
      <c r="AN65" s="14"/>
      <c r="AO65" s="14"/>
      <c r="AP65" s="14">
        <f t="shared" si="6"/>
        <v>0</v>
      </c>
      <c r="AQ65" s="28">
        <v>48</v>
      </c>
      <c r="AR65" s="13"/>
      <c r="AS65" s="14"/>
      <c r="AT65" s="14"/>
      <c r="AU65" s="14">
        <f t="shared" si="7"/>
        <v>0</v>
      </c>
      <c r="AV65" s="28">
        <v>48</v>
      </c>
      <c r="AW65" s="13"/>
      <c r="AX65" s="14"/>
      <c r="AY65" s="14"/>
      <c r="AZ65" s="14">
        <f t="shared" si="8"/>
        <v>0</v>
      </c>
      <c r="BA65" s="28">
        <v>48</v>
      </c>
      <c r="BB65" s="13"/>
      <c r="BC65" s="14"/>
      <c r="BD65" s="14"/>
      <c r="BE65" s="14">
        <f t="shared" si="9"/>
        <v>0</v>
      </c>
    </row>
    <row r="66" spans="8:57" s="2" customFormat="1" ht="85.15" customHeight="1">
      <c r="H66" s="28">
        <v>49</v>
      </c>
      <c r="I66" s="13"/>
      <c r="J66" s="14"/>
      <c r="K66" s="14"/>
      <c r="L66" s="14">
        <f t="shared" si="0"/>
        <v>0</v>
      </c>
      <c r="M66" s="28">
        <v>49</v>
      </c>
      <c r="N66" s="13"/>
      <c r="O66" s="14"/>
      <c r="P66" s="14"/>
      <c r="Q66" s="14">
        <f t="shared" si="1"/>
        <v>0</v>
      </c>
      <c r="R66" s="28">
        <v>49</v>
      </c>
      <c r="S66" s="13"/>
      <c r="T66" s="14"/>
      <c r="U66" s="14"/>
      <c r="V66" s="14">
        <f t="shared" si="2"/>
        <v>0</v>
      </c>
      <c r="W66" s="28">
        <v>49</v>
      </c>
      <c r="X66" s="13"/>
      <c r="Y66" s="14"/>
      <c r="Z66" s="14"/>
      <c r="AA66" s="14">
        <f t="shared" si="3"/>
        <v>0</v>
      </c>
      <c r="AB66" s="28">
        <v>49</v>
      </c>
      <c r="AC66" s="13"/>
      <c r="AD66" s="14"/>
      <c r="AE66" s="14"/>
      <c r="AF66" s="14">
        <f t="shared" si="4"/>
        <v>0</v>
      </c>
      <c r="AG66" s="28">
        <v>49</v>
      </c>
      <c r="AH66" s="13"/>
      <c r="AI66" s="14"/>
      <c r="AJ66" s="14"/>
      <c r="AK66" s="14">
        <f t="shared" si="5"/>
        <v>0</v>
      </c>
      <c r="AL66" s="28">
        <v>49</v>
      </c>
      <c r="AM66" s="13"/>
      <c r="AN66" s="14"/>
      <c r="AO66" s="14"/>
      <c r="AP66" s="14">
        <f t="shared" si="6"/>
        <v>0</v>
      </c>
      <c r="AQ66" s="28">
        <v>49</v>
      </c>
      <c r="AR66" s="13"/>
      <c r="AS66" s="14"/>
      <c r="AT66" s="14"/>
      <c r="AU66" s="14">
        <f t="shared" si="7"/>
        <v>0</v>
      </c>
      <c r="AV66" s="28">
        <v>49</v>
      </c>
      <c r="AW66" s="13"/>
      <c r="AX66" s="14"/>
      <c r="AY66" s="14"/>
      <c r="AZ66" s="14">
        <f t="shared" si="8"/>
        <v>0</v>
      </c>
      <c r="BA66" s="28">
        <v>49</v>
      </c>
      <c r="BB66" s="13"/>
      <c r="BC66" s="14"/>
      <c r="BD66" s="14"/>
      <c r="BE66" s="14">
        <f t="shared" si="9"/>
        <v>0</v>
      </c>
    </row>
    <row r="67" spans="8:57" s="2" customFormat="1" ht="85.15" customHeight="1">
      <c r="H67" s="28">
        <v>50</v>
      </c>
      <c r="I67" s="13"/>
      <c r="J67" s="14"/>
      <c r="K67" s="14"/>
      <c r="L67" s="14">
        <f t="shared" si="0"/>
        <v>0</v>
      </c>
      <c r="M67" s="28">
        <v>50</v>
      </c>
      <c r="N67" s="13"/>
      <c r="O67" s="14"/>
      <c r="P67" s="14"/>
      <c r="Q67" s="14">
        <f t="shared" si="1"/>
        <v>0</v>
      </c>
      <c r="R67" s="28">
        <v>50</v>
      </c>
      <c r="S67" s="13"/>
      <c r="T67" s="14"/>
      <c r="U67" s="14"/>
      <c r="V67" s="14">
        <f t="shared" si="2"/>
        <v>0</v>
      </c>
      <c r="W67" s="28">
        <v>50</v>
      </c>
      <c r="X67" s="13"/>
      <c r="Y67" s="14"/>
      <c r="Z67" s="14"/>
      <c r="AA67" s="14">
        <f t="shared" si="3"/>
        <v>0</v>
      </c>
      <c r="AB67" s="28">
        <v>50</v>
      </c>
      <c r="AC67" s="13"/>
      <c r="AD67" s="14"/>
      <c r="AE67" s="14"/>
      <c r="AF67" s="14">
        <f t="shared" si="4"/>
        <v>0</v>
      </c>
      <c r="AG67" s="28">
        <v>50</v>
      </c>
      <c r="AH67" s="13"/>
      <c r="AI67" s="14"/>
      <c r="AJ67" s="14"/>
      <c r="AK67" s="14">
        <f t="shared" si="5"/>
        <v>0</v>
      </c>
      <c r="AL67" s="28">
        <v>50</v>
      </c>
      <c r="AM67" s="13"/>
      <c r="AN67" s="14"/>
      <c r="AO67" s="14"/>
      <c r="AP67" s="14">
        <f t="shared" si="6"/>
        <v>0</v>
      </c>
      <c r="AQ67" s="28">
        <v>50</v>
      </c>
      <c r="AR67" s="13"/>
      <c r="AS67" s="14"/>
      <c r="AT67" s="14"/>
      <c r="AU67" s="14">
        <f t="shared" si="7"/>
        <v>0</v>
      </c>
      <c r="AV67" s="28">
        <v>50</v>
      </c>
      <c r="AW67" s="13"/>
      <c r="AX67" s="14"/>
      <c r="AY67" s="14"/>
      <c r="AZ67" s="14">
        <f t="shared" si="8"/>
        <v>0</v>
      </c>
      <c r="BA67" s="28">
        <v>50</v>
      </c>
      <c r="BB67" s="13"/>
      <c r="BC67" s="14"/>
      <c r="BD67" s="14"/>
      <c r="BE67" s="14">
        <f t="shared" si="9"/>
        <v>0</v>
      </c>
    </row>
    <row r="68" spans="8:57" s="2" customFormat="1" ht="85.15" customHeight="1">
      <c r="H68" s="28">
        <v>51</v>
      </c>
      <c r="I68" s="13"/>
      <c r="J68" s="14"/>
      <c r="K68" s="14"/>
      <c r="L68" s="14">
        <f t="shared" si="0"/>
        <v>0</v>
      </c>
      <c r="M68" s="28">
        <v>51</v>
      </c>
      <c r="N68" s="13"/>
      <c r="O68" s="14"/>
      <c r="P68" s="14"/>
      <c r="Q68" s="14">
        <f t="shared" si="1"/>
        <v>0</v>
      </c>
      <c r="R68" s="28">
        <v>51</v>
      </c>
      <c r="S68" s="13"/>
      <c r="T68" s="14"/>
      <c r="U68" s="14"/>
      <c r="V68" s="14">
        <f t="shared" si="2"/>
        <v>0</v>
      </c>
      <c r="W68" s="28">
        <v>51</v>
      </c>
      <c r="X68" s="13"/>
      <c r="Y68" s="14"/>
      <c r="Z68" s="14"/>
      <c r="AA68" s="14">
        <f t="shared" si="3"/>
        <v>0</v>
      </c>
      <c r="AB68" s="28">
        <v>51</v>
      </c>
      <c r="AC68" s="13"/>
      <c r="AD68" s="14"/>
      <c r="AE68" s="14"/>
      <c r="AF68" s="14">
        <f t="shared" si="4"/>
        <v>0</v>
      </c>
      <c r="AG68" s="28">
        <v>51</v>
      </c>
      <c r="AH68" s="13"/>
      <c r="AI68" s="14"/>
      <c r="AJ68" s="14"/>
      <c r="AK68" s="14">
        <f t="shared" si="5"/>
        <v>0</v>
      </c>
      <c r="AL68" s="28">
        <v>51</v>
      </c>
      <c r="AM68" s="13"/>
      <c r="AN68" s="14"/>
      <c r="AO68" s="14"/>
      <c r="AP68" s="14">
        <f t="shared" si="6"/>
        <v>0</v>
      </c>
      <c r="AQ68" s="28">
        <v>51</v>
      </c>
      <c r="AR68" s="13"/>
      <c r="AS68" s="14"/>
      <c r="AT68" s="14"/>
      <c r="AU68" s="14">
        <f t="shared" si="7"/>
        <v>0</v>
      </c>
      <c r="AV68" s="28">
        <v>51</v>
      </c>
      <c r="AW68" s="13"/>
      <c r="AX68" s="14"/>
      <c r="AY68" s="14"/>
      <c r="AZ68" s="14">
        <f t="shared" si="8"/>
        <v>0</v>
      </c>
      <c r="BA68" s="28">
        <v>51</v>
      </c>
      <c r="BB68" s="13"/>
      <c r="BC68" s="14"/>
      <c r="BD68" s="14"/>
      <c r="BE68" s="14">
        <f t="shared" si="9"/>
        <v>0</v>
      </c>
    </row>
    <row r="69" spans="8:57" s="2" customFormat="1" ht="85.15" customHeight="1">
      <c r="H69" s="28">
        <v>52</v>
      </c>
      <c r="I69" s="13"/>
      <c r="J69" s="14"/>
      <c r="K69" s="14"/>
      <c r="L69" s="14">
        <f t="shared" si="0"/>
        <v>0</v>
      </c>
      <c r="M69" s="28">
        <v>52</v>
      </c>
      <c r="N69" s="13"/>
      <c r="O69" s="14"/>
      <c r="P69" s="14"/>
      <c r="Q69" s="14">
        <f t="shared" si="1"/>
        <v>0</v>
      </c>
      <c r="R69" s="28">
        <v>52</v>
      </c>
      <c r="S69" s="13"/>
      <c r="T69" s="14"/>
      <c r="U69" s="14"/>
      <c r="V69" s="14">
        <f t="shared" si="2"/>
        <v>0</v>
      </c>
      <c r="W69" s="28">
        <v>52</v>
      </c>
      <c r="X69" s="13"/>
      <c r="Y69" s="14"/>
      <c r="Z69" s="14"/>
      <c r="AA69" s="14">
        <f t="shared" si="3"/>
        <v>0</v>
      </c>
      <c r="AB69" s="28">
        <v>52</v>
      </c>
      <c r="AC69" s="13"/>
      <c r="AD69" s="14"/>
      <c r="AE69" s="14"/>
      <c r="AF69" s="14">
        <f t="shared" si="4"/>
        <v>0</v>
      </c>
      <c r="AG69" s="28">
        <v>52</v>
      </c>
      <c r="AH69" s="13"/>
      <c r="AI69" s="14"/>
      <c r="AJ69" s="14"/>
      <c r="AK69" s="14">
        <f t="shared" si="5"/>
        <v>0</v>
      </c>
      <c r="AL69" s="28">
        <v>52</v>
      </c>
      <c r="AM69" s="13"/>
      <c r="AN69" s="14"/>
      <c r="AO69" s="14"/>
      <c r="AP69" s="14">
        <f t="shared" si="6"/>
        <v>0</v>
      </c>
      <c r="AQ69" s="28">
        <v>52</v>
      </c>
      <c r="AR69" s="13"/>
      <c r="AS69" s="14"/>
      <c r="AT69" s="14"/>
      <c r="AU69" s="14">
        <f t="shared" si="7"/>
        <v>0</v>
      </c>
      <c r="AV69" s="28">
        <v>52</v>
      </c>
      <c r="AW69" s="13"/>
      <c r="AX69" s="14"/>
      <c r="AY69" s="14"/>
      <c r="AZ69" s="14">
        <f t="shared" si="8"/>
        <v>0</v>
      </c>
      <c r="BA69" s="28">
        <v>52</v>
      </c>
      <c r="BB69" s="13"/>
      <c r="BC69" s="14"/>
      <c r="BD69" s="14"/>
      <c r="BE69" s="14">
        <f t="shared" si="9"/>
        <v>0</v>
      </c>
    </row>
    <row r="70" spans="8:57" s="2" customFormat="1" ht="85.15" customHeight="1">
      <c r="H70" s="28">
        <v>53</v>
      </c>
      <c r="I70" s="13"/>
      <c r="J70" s="14"/>
      <c r="K70" s="14"/>
      <c r="L70" s="14">
        <f t="shared" si="0"/>
        <v>0</v>
      </c>
      <c r="M70" s="28">
        <v>53</v>
      </c>
      <c r="N70" s="13"/>
      <c r="O70" s="14"/>
      <c r="P70" s="14"/>
      <c r="Q70" s="14">
        <f t="shared" si="1"/>
        <v>0</v>
      </c>
      <c r="R70" s="28">
        <v>53</v>
      </c>
      <c r="S70" s="13"/>
      <c r="T70" s="14"/>
      <c r="U70" s="14"/>
      <c r="V70" s="14">
        <f t="shared" si="2"/>
        <v>0</v>
      </c>
      <c r="W70" s="28">
        <v>53</v>
      </c>
      <c r="X70" s="13"/>
      <c r="Y70" s="14"/>
      <c r="Z70" s="14"/>
      <c r="AA70" s="14">
        <f t="shared" si="3"/>
        <v>0</v>
      </c>
      <c r="AB70" s="28">
        <v>53</v>
      </c>
      <c r="AC70" s="13"/>
      <c r="AD70" s="14"/>
      <c r="AE70" s="14"/>
      <c r="AF70" s="14">
        <f t="shared" si="4"/>
        <v>0</v>
      </c>
      <c r="AG70" s="28">
        <v>53</v>
      </c>
      <c r="AH70" s="13"/>
      <c r="AI70" s="14"/>
      <c r="AJ70" s="14"/>
      <c r="AK70" s="14">
        <f t="shared" si="5"/>
        <v>0</v>
      </c>
      <c r="AL70" s="28">
        <v>53</v>
      </c>
      <c r="AM70" s="13"/>
      <c r="AN70" s="14"/>
      <c r="AO70" s="14"/>
      <c r="AP70" s="14">
        <f t="shared" si="6"/>
        <v>0</v>
      </c>
      <c r="AQ70" s="28">
        <v>53</v>
      </c>
      <c r="AR70" s="13"/>
      <c r="AS70" s="14"/>
      <c r="AT70" s="14"/>
      <c r="AU70" s="14">
        <f t="shared" si="7"/>
        <v>0</v>
      </c>
      <c r="AV70" s="28">
        <v>53</v>
      </c>
      <c r="AW70" s="13"/>
      <c r="AX70" s="14"/>
      <c r="AY70" s="14"/>
      <c r="AZ70" s="14">
        <f t="shared" si="8"/>
        <v>0</v>
      </c>
      <c r="BA70" s="28">
        <v>53</v>
      </c>
      <c r="BB70" s="13"/>
      <c r="BC70" s="14"/>
      <c r="BD70" s="14"/>
      <c r="BE70" s="14">
        <f t="shared" si="9"/>
        <v>0</v>
      </c>
    </row>
    <row r="71" spans="8:57" s="2" customFormat="1" ht="85.15" customHeight="1">
      <c r="H71" s="28">
        <v>54</v>
      </c>
      <c r="I71" s="13"/>
      <c r="J71" s="14"/>
      <c r="K71" s="14"/>
      <c r="L71" s="14">
        <f t="shared" si="0"/>
        <v>0</v>
      </c>
      <c r="M71" s="28">
        <v>54</v>
      </c>
      <c r="N71" s="13"/>
      <c r="O71" s="14"/>
      <c r="P71" s="14"/>
      <c r="Q71" s="14">
        <f t="shared" si="1"/>
        <v>0</v>
      </c>
      <c r="R71" s="28">
        <v>54</v>
      </c>
      <c r="S71" s="13"/>
      <c r="T71" s="14"/>
      <c r="U71" s="14"/>
      <c r="V71" s="14">
        <f t="shared" si="2"/>
        <v>0</v>
      </c>
      <c r="W71" s="28">
        <v>54</v>
      </c>
      <c r="X71" s="13"/>
      <c r="Y71" s="14"/>
      <c r="Z71" s="14"/>
      <c r="AA71" s="14">
        <f t="shared" si="3"/>
        <v>0</v>
      </c>
      <c r="AB71" s="28">
        <v>54</v>
      </c>
      <c r="AC71" s="13"/>
      <c r="AD71" s="14"/>
      <c r="AE71" s="14"/>
      <c r="AF71" s="14">
        <f t="shared" si="4"/>
        <v>0</v>
      </c>
      <c r="AG71" s="28">
        <v>54</v>
      </c>
      <c r="AH71" s="13"/>
      <c r="AI71" s="14"/>
      <c r="AJ71" s="14"/>
      <c r="AK71" s="14">
        <f t="shared" si="5"/>
        <v>0</v>
      </c>
      <c r="AL71" s="28">
        <v>54</v>
      </c>
      <c r="AM71" s="13"/>
      <c r="AN71" s="14"/>
      <c r="AO71" s="14"/>
      <c r="AP71" s="14">
        <f t="shared" si="6"/>
        <v>0</v>
      </c>
      <c r="AQ71" s="28">
        <v>54</v>
      </c>
      <c r="AR71" s="13"/>
      <c r="AS71" s="14"/>
      <c r="AT71" s="14"/>
      <c r="AU71" s="14">
        <f t="shared" si="7"/>
        <v>0</v>
      </c>
      <c r="AV71" s="28">
        <v>54</v>
      </c>
      <c r="AW71" s="13"/>
      <c r="AX71" s="14"/>
      <c r="AY71" s="14"/>
      <c r="AZ71" s="14">
        <f t="shared" si="8"/>
        <v>0</v>
      </c>
      <c r="BA71" s="28">
        <v>54</v>
      </c>
      <c r="BB71" s="13"/>
      <c r="BC71" s="14"/>
      <c r="BD71" s="14"/>
      <c r="BE71" s="14">
        <f t="shared" si="9"/>
        <v>0</v>
      </c>
    </row>
    <row r="72" spans="8:57" s="2" customFormat="1" ht="85.15" customHeight="1">
      <c r="H72" s="28">
        <v>55</v>
      </c>
      <c r="I72" s="13"/>
      <c r="J72" s="14"/>
      <c r="K72" s="14"/>
      <c r="L72" s="14">
        <f t="shared" si="0"/>
        <v>0</v>
      </c>
      <c r="M72" s="28">
        <v>55</v>
      </c>
      <c r="N72" s="13"/>
      <c r="O72" s="14"/>
      <c r="P72" s="14"/>
      <c r="Q72" s="14">
        <f t="shared" si="1"/>
        <v>0</v>
      </c>
      <c r="R72" s="28">
        <v>55</v>
      </c>
      <c r="S72" s="13"/>
      <c r="T72" s="14"/>
      <c r="U72" s="14"/>
      <c r="V72" s="14">
        <f t="shared" si="2"/>
        <v>0</v>
      </c>
      <c r="W72" s="28">
        <v>55</v>
      </c>
      <c r="X72" s="13"/>
      <c r="Y72" s="14"/>
      <c r="Z72" s="14"/>
      <c r="AA72" s="14">
        <f t="shared" si="3"/>
        <v>0</v>
      </c>
      <c r="AB72" s="28">
        <v>55</v>
      </c>
      <c r="AC72" s="13"/>
      <c r="AD72" s="14"/>
      <c r="AE72" s="14"/>
      <c r="AF72" s="14">
        <f t="shared" si="4"/>
        <v>0</v>
      </c>
      <c r="AG72" s="28">
        <v>55</v>
      </c>
      <c r="AH72" s="13"/>
      <c r="AI72" s="14"/>
      <c r="AJ72" s="14"/>
      <c r="AK72" s="14">
        <f t="shared" si="5"/>
        <v>0</v>
      </c>
      <c r="AL72" s="28">
        <v>55</v>
      </c>
      <c r="AM72" s="13"/>
      <c r="AN72" s="14"/>
      <c r="AO72" s="14"/>
      <c r="AP72" s="14">
        <f t="shared" si="6"/>
        <v>0</v>
      </c>
      <c r="AQ72" s="28">
        <v>55</v>
      </c>
      <c r="AR72" s="13"/>
      <c r="AS72" s="14"/>
      <c r="AT72" s="14"/>
      <c r="AU72" s="14">
        <f t="shared" si="7"/>
        <v>0</v>
      </c>
      <c r="AV72" s="28">
        <v>55</v>
      </c>
      <c r="AW72" s="13"/>
      <c r="AX72" s="14"/>
      <c r="AY72" s="14"/>
      <c r="AZ72" s="14">
        <f t="shared" si="8"/>
        <v>0</v>
      </c>
      <c r="BA72" s="28">
        <v>55</v>
      </c>
      <c r="BB72" s="13"/>
      <c r="BC72" s="14"/>
      <c r="BD72" s="14"/>
      <c r="BE72" s="14">
        <f t="shared" si="9"/>
        <v>0</v>
      </c>
    </row>
    <row r="73" spans="8:57" s="2" customFormat="1" ht="85.15" customHeight="1">
      <c r="H73" s="28">
        <v>56</v>
      </c>
      <c r="I73" s="13"/>
      <c r="J73" s="14"/>
      <c r="K73" s="14"/>
      <c r="L73" s="14">
        <f t="shared" si="0"/>
        <v>0</v>
      </c>
      <c r="M73" s="28">
        <v>56</v>
      </c>
      <c r="N73" s="13"/>
      <c r="O73" s="14"/>
      <c r="P73" s="14"/>
      <c r="Q73" s="14">
        <f t="shared" si="1"/>
        <v>0</v>
      </c>
      <c r="R73" s="28">
        <v>56</v>
      </c>
      <c r="S73" s="13"/>
      <c r="T73" s="14"/>
      <c r="U73" s="14"/>
      <c r="V73" s="14">
        <f t="shared" si="2"/>
        <v>0</v>
      </c>
      <c r="W73" s="28">
        <v>56</v>
      </c>
      <c r="X73" s="13"/>
      <c r="Y73" s="14"/>
      <c r="Z73" s="14"/>
      <c r="AA73" s="14">
        <f t="shared" si="3"/>
        <v>0</v>
      </c>
      <c r="AB73" s="28">
        <v>56</v>
      </c>
      <c r="AC73" s="13"/>
      <c r="AD73" s="14"/>
      <c r="AE73" s="14"/>
      <c r="AF73" s="14">
        <f t="shared" si="4"/>
        <v>0</v>
      </c>
      <c r="AG73" s="28">
        <v>56</v>
      </c>
      <c r="AH73" s="13"/>
      <c r="AI73" s="14"/>
      <c r="AJ73" s="14"/>
      <c r="AK73" s="14">
        <f t="shared" si="5"/>
        <v>0</v>
      </c>
      <c r="AL73" s="28">
        <v>56</v>
      </c>
      <c r="AM73" s="13"/>
      <c r="AN73" s="14"/>
      <c r="AO73" s="14"/>
      <c r="AP73" s="14">
        <f t="shared" si="6"/>
        <v>0</v>
      </c>
      <c r="AQ73" s="28">
        <v>56</v>
      </c>
      <c r="AR73" s="13"/>
      <c r="AS73" s="14"/>
      <c r="AT73" s="14"/>
      <c r="AU73" s="14">
        <f t="shared" si="7"/>
        <v>0</v>
      </c>
      <c r="AV73" s="28">
        <v>56</v>
      </c>
      <c r="AW73" s="13"/>
      <c r="AX73" s="14"/>
      <c r="AY73" s="14"/>
      <c r="AZ73" s="14">
        <f t="shared" si="8"/>
        <v>0</v>
      </c>
      <c r="BA73" s="28">
        <v>56</v>
      </c>
      <c r="BB73" s="13"/>
      <c r="BC73" s="14"/>
      <c r="BD73" s="14"/>
      <c r="BE73" s="14">
        <f t="shared" si="9"/>
        <v>0</v>
      </c>
    </row>
    <row r="74" spans="8:57" s="1" customFormat="1" ht="85.15" customHeight="1">
      <c r="H74" s="4"/>
      <c r="M74" s="4"/>
      <c r="R74" s="4"/>
      <c r="W74" s="4"/>
      <c r="AB74" s="4"/>
      <c r="AG74" s="4"/>
      <c r="AL74" s="4"/>
      <c r="AQ74" s="4"/>
      <c r="AV74" s="4"/>
      <c r="BA74" s="4"/>
    </row>
    <row r="75" spans="8:57" s="1" customFormat="1" ht="85.15" customHeight="1">
      <c r="H75" s="4"/>
      <c r="M75" s="4"/>
      <c r="R75" s="4"/>
      <c r="W75" s="4"/>
      <c r="AB75" s="4"/>
      <c r="AG75" s="4"/>
      <c r="AL75" s="4"/>
      <c r="AQ75" s="4"/>
      <c r="AV75" s="4"/>
      <c r="BA75" s="4"/>
    </row>
    <row r="76" spans="8:57" s="1" customFormat="1" ht="85.15" customHeight="1">
      <c r="H76" s="4"/>
      <c r="M76" s="4"/>
      <c r="R76" s="4"/>
      <c r="W76" s="4"/>
      <c r="AB76" s="4"/>
      <c r="AG76" s="4"/>
      <c r="AL76" s="4"/>
      <c r="AQ76" s="4"/>
      <c r="AV76" s="4"/>
      <c r="BA76" s="4"/>
    </row>
    <row r="77" spans="8:57" s="1" customFormat="1" ht="85.15" customHeight="1">
      <c r="H77" s="4"/>
      <c r="M77" s="4"/>
      <c r="R77" s="4"/>
      <c r="W77" s="4"/>
      <c r="AB77" s="4"/>
      <c r="AG77" s="4"/>
      <c r="AL77" s="4"/>
      <c r="AQ77" s="4"/>
      <c r="AV77" s="4"/>
      <c r="BA77" s="4"/>
    </row>
    <row r="78" spans="8:57" s="1" customFormat="1" ht="85.15" customHeight="1">
      <c r="H78" s="4"/>
      <c r="M78" s="4"/>
      <c r="R78" s="4"/>
      <c r="W78" s="4"/>
      <c r="AB78" s="4"/>
      <c r="AG78" s="4"/>
      <c r="AL78" s="4"/>
      <c r="AQ78" s="4"/>
      <c r="AV78" s="4"/>
      <c r="BA78" s="4"/>
    </row>
    <row r="79" spans="8:57" s="1" customFormat="1" ht="85.15" customHeight="1">
      <c r="H79" s="4"/>
      <c r="M79" s="4"/>
      <c r="R79" s="4"/>
      <c r="W79" s="4"/>
      <c r="AB79" s="4"/>
      <c r="AG79" s="4"/>
      <c r="AL79" s="4"/>
      <c r="AQ79" s="4"/>
      <c r="AV79" s="4"/>
      <c r="BA79" s="4"/>
    </row>
    <row r="80" spans="8:57" s="1" customFormat="1" ht="85.15" customHeight="1">
      <c r="H80" s="4"/>
      <c r="M80" s="4"/>
      <c r="R80" s="4"/>
      <c r="W80" s="4"/>
      <c r="AB80" s="4"/>
      <c r="AG80" s="4"/>
      <c r="AL80" s="4"/>
      <c r="AQ80" s="4"/>
      <c r="AV80" s="4"/>
      <c r="BA80" s="4"/>
    </row>
    <row r="81" spans="8:53" s="1" customFormat="1" ht="85.15" customHeight="1">
      <c r="H81" s="4"/>
      <c r="M81" s="4"/>
      <c r="R81" s="4"/>
      <c r="W81" s="4"/>
      <c r="AB81" s="4"/>
      <c r="AG81" s="4"/>
      <c r="AL81" s="4"/>
      <c r="AQ81" s="4"/>
      <c r="AV81" s="4"/>
      <c r="BA81" s="4"/>
    </row>
    <row r="82" spans="8:53" s="1" customFormat="1" ht="85.15" customHeight="1">
      <c r="H82" s="4"/>
      <c r="M82" s="4"/>
      <c r="R82" s="4"/>
      <c r="W82" s="4"/>
      <c r="AB82" s="4"/>
      <c r="AG82" s="4"/>
      <c r="AL82" s="4"/>
      <c r="AQ82" s="4"/>
      <c r="AV82" s="4"/>
      <c r="BA82" s="4"/>
    </row>
    <row r="83" spans="8:53" s="1" customFormat="1" ht="85.15" customHeight="1">
      <c r="H83" s="4"/>
      <c r="M83" s="4"/>
      <c r="R83" s="4"/>
      <c r="W83" s="4"/>
      <c r="AB83" s="4"/>
      <c r="AG83" s="4"/>
      <c r="AL83" s="4"/>
      <c r="AQ83" s="4"/>
      <c r="AV83" s="4"/>
      <c r="BA83" s="4"/>
    </row>
    <row r="84" spans="8:53" s="1" customFormat="1" ht="85.15" customHeight="1">
      <c r="H84" s="4"/>
      <c r="M84" s="4"/>
      <c r="R84" s="4"/>
      <c r="W84" s="4"/>
      <c r="AB84" s="4"/>
      <c r="AG84" s="4"/>
      <c r="AL84" s="4"/>
      <c r="AQ84" s="4"/>
      <c r="AV84" s="4"/>
      <c r="BA84" s="4"/>
    </row>
    <row r="85" spans="8:53" s="1" customFormat="1" ht="85.15" customHeight="1">
      <c r="H85" s="4"/>
      <c r="M85" s="4"/>
      <c r="R85" s="4"/>
      <c r="W85" s="4"/>
      <c r="AB85" s="4"/>
      <c r="AG85" s="4"/>
      <c r="AL85" s="4"/>
      <c r="AQ85" s="4"/>
      <c r="AV85" s="4"/>
      <c r="BA85" s="4"/>
    </row>
    <row r="86" spans="8:53" s="1" customFormat="1" ht="85.15" customHeight="1">
      <c r="H86" s="4"/>
      <c r="M86" s="4"/>
      <c r="R86" s="4"/>
      <c r="W86" s="4"/>
      <c r="AB86" s="4"/>
      <c r="AG86" s="4"/>
      <c r="AL86" s="4"/>
      <c r="AQ86" s="4"/>
      <c r="AV86" s="4"/>
      <c r="BA86" s="4"/>
    </row>
    <row r="87" spans="8:53" s="1" customFormat="1" ht="85.15" customHeight="1">
      <c r="H87" s="4"/>
      <c r="M87" s="4"/>
      <c r="R87" s="4"/>
      <c r="W87" s="4"/>
      <c r="AB87" s="4"/>
      <c r="AG87" s="4"/>
      <c r="AL87" s="4"/>
      <c r="AQ87" s="4"/>
      <c r="AV87" s="4"/>
      <c r="BA87" s="4"/>
    </row>
    <row r="88" spans="8:53" s="1" customFormat="1" ht="85.15" customHeight="1">
      <c r="H88" s="4"/>
      <c r="M88" s="4"/>
      <c r="R88" s="4"/>
      <c r="W88" s="4"/>
      <c r="AB88" s="4"/>
      <c r="AG88" s="4"/>
      <c r="AL88" s="4"/>
      <c r="AQ88" s="4"/>
      <c r="AV88" s="4"/>
      <c r="BA88" s="4"/>
    </row>
    <row r="89" spans="8:53" s="1" customFormat="1" ht="85.15" customHeight="1">
      <c r="H89" s="4"/>
      <c r="M89" s="4"/>
      <c r="R89" s="4"/>
      <c r="W89" s="4"/>
      <c r="AB89" s="4"/>
      <c r="AG89" s="4"/>
      <c r="AL89" s="4"/>
      <c r="AQ89" s="4"/>
      <c r="AV89" s="4"/>
      <c r="BA89" s="4"/>
    </row>
    <row r="90" spans="8:53" s="1" customFormat="1" ht="85.15" customHeight="1">
      <c r="H90" s="4"/>
      <c r="M90" s="4"/>
      <c r="R90" s="4"/>
      <c r="W90" s="4"/>
      <c r="AB90" s="4"/>
      <c r="AG90" s="4"/>
      <c r="AL90" s="4"/>
      <c r="AQ90" s="4"/>
      <c r="AV90" s="4"/>
      <c r="BA90" s="4"/>
    </row>
    <row r="91" spans="8:53" s="1" customFormat="1" ht="85.15" customHeight="1">
      <c r="H91" s="4"/>
      <c r="M91" s="4"/>
      <c r="R91" s="4"/>
      <c r="W91" s="4"/>
      <c r="AB91" s="4"/>
      <c r="AG91" s="4"/>
      <c r="AL91" s="4"/>
      <c r="AQ91" s="4"/>
      <c r="AV91" s="4"/>
      <c r="BA91" s="4"/>
    </row>
    <row r="92" spans="8:53" s="1" customFormat="1" ht="85.15" customHeight="1">
      <c r="H92" s="4"/>
      <c r="M92" s="4"/>
      <c r="R92" s="4"/>
      <c r="W92" s="4"/>
      <c r="AB92" s="4"/>
      <c r="AG92" s="4"/>
      <c r="AL92" s="4"/>
      <c r="AQ92" s="4"/>
      <c r="AV92" s="4"/>
      <c r="BA92" s="4"/>
    </row>
    <row r="93" spans="8:53" s="1" customFormat="1" ht="85.15" customHeight="1">
      <c r="H93" s="4"/>
      <c r="M93" s="4"/>
      <c r="R93" s="4"/>
      <c r="W93" s="4"/>
      <c r="AB93" s="4"/>
      <c r="AG93" s="4"/>
      <c r="AL93" s="4"/>
      <c r="AQ93" s="4"/>
      <c r="AV93" s="4"/>
      <c r="BA93" s="4"/>
    </row>
    <row r="94" spans="8:53" s="1" customFormat="1" ht="85.15" customHeight="1">
      <c r="H94" s="4"/>
      <c r="M94" s="4"/>
      <c r="R94" s="4"/>
      <c r="W94" s="4"/>
      <c r="AB94" s="4"/>
      <c r="AG94" s="4"/>
      <c r="AL94" s="4"/>
      <c r="AQ94" s="4"/>
      <c r="AV94" s="4"/>
      <c r="BA94" s="4"/>
    </row>
    <row r="95" spans="8:53" s="1" customFormat="1" ht="85.15" customHeight="1">
      <c r="H95" s="4"/>
      <c r="M95" s="4"/>
      <c r="R95" s="4"/>
      <c r="W95" s="4"/>
      <c r="AB95" s="4"/>
      <c r="AG95" s="4"/>
      <c r="AL95" s="4"/>
      <c r="AQ95" s="4"/>
      <c r="AV95" s="4"/>
      <c r="BA95" s="4"/>
    </row>
    <row r="96" spans="8:53" s="1" customFormat="1" ht="85.15" customHeight="1">
      <c r="H96" s="4"/>
      <c r="M96" s="4"/>
      <c r="R96" s="4"/>
      <c r="W96" s="4"/>
      <c r="AB96" s="4"/>
      <c r="AG96" s="4"/>
      <c r="AL96" s="4"/>
      <c r="AQ96" s="4"/>
      <c r="AV96" s="4"/>
      <c r="BA96" s="4"/>
    </row>
    <row r="97" spans="8:53" s="1" customFormat="1" ht="85.15" customHeight="1">
      <c r="H97" s="4"/>
      <c r="M97" s="4"/>
      <c r="R97" s="4"/>
      <c r="W97" s="4"/>
      <c r="AB97" s="4"/>
      <c r="AG97" s="4"/>
      <c r="AL97" s="4"/>
      <c r="AQ97" s="4"/>
      <c r="AV97" s="4"/>
      <c r="BA97" s="4"/>
    </row>
    <row r="98" spans="8:53" s="1" customFormat="1" ht="85.15" customHeight="1">
      <c r="H98" s="4"/>
      <c r="M98" s="4"/>
      <c r="R98" s="4"/>
      <c r="W98" s="4"/>
      <c r="AB98" s="4"/>
      <c r="AG98" s="4"/>
      <c r="AL98" s="4"/>
      <c r="AQ98" s="4"/>
      <c r="AV98" s="4"/>
      <c r="BA98" s="4"/>
    </row>
    <row r="99" spans="8:53" s="1" customFormat="1" ht="85.15" customHeight="1">
      <c r="H99" s="4"/>
      <c r="M99" s="4"/>
      <c r="R99" s="4"/>
      <c r="W99" s="4"/>
      <c r="AB99" s="4"/>
      <c r="AG99" s="4"/>
      <c r="AL99" s="4"/>
      <c r="AQ99" s="4"/>
      <c r="AV99" s="4"/>
      <c r="BA99" s="4"/>
    </row>
    <row r="100" spans="8:53" s="1" customFormat="1" ht="85.15" customHeight="1">
      <c r="H100" s="4"/>
      <c r="M100" s="4"/>
      <c r="R100" s="4"/>
      <c r="W100" s="4"/>
      <c r="AB100" s="4"/>
      <c r="AG100" s="4"/>
      <c r="AL100" s="4"/>
      <c r="AQ100" s="4"/>
      <c r="AV100" s="4"/>
      <c r="BA100" s="4"/>
    </row>
    <row r="101" spans="8:53" s="1" customFormat="1" ht="85.15" customHeight="1">
      <c r="H101" s="4"/>
      <c r="M101" s="4"/>
      <c r="R101" s="4"/>
      <c r="W101" s="4"/>
      <c r="AB101" s="4"/>
      <c r="AG101" s="4"/>
      <c r="AL101" s="4"/>
      <c r="AQ101" s="4"/>
      <c r="AV101" s="4"/>
      <c r="BA101" s="4"/>
    </row>
    <row r="102" spans="8:53" s="1" customFormat="1" ht="85.15" customHeight="1">
      <c r="H102" s="4"/>
      <c r="M102" s="4"/>
      <c r="R102" s="4"/>
      <c r="W102" s="4"/>
      <c r="AB102" s="4"/>
      <c r="AG102" s="4"/>
      <c r="AL102" s="4"/>
      <c r="AQ102" s="4"/>
      <c r="AV102" s="4"/>
      <c r="BA102" s="4"/>
    </row>
    <row r="103" spans="8:53" s="1" customFormat="1" ht="85.15" customHeight="1">
      <c r="H103" s="4"/>
      <c r="M103" s="4"/>
      <c r="R103" s="4"/>
      <c r="W103" s="4"/>
      <c r="AB103" s="4"/>
      <c r="AG103" s="4"/>
      <c r="AL103" s="4"/>
      <c r="AQ103" s="4"/>
      <c r="AV103" s="4"/>
      <c r="BA103" s="4"/>
    </row>
    <row r="104" spans="8:53" s="1" customFormat="1" ht="85.15" customHeight="1">
      <c r="H104" s="4"/>
      <c r="M104" s="4"/>
      <c r="R104" s="4"/>
      <c r="W104" s="4"/>
      <c r="AB104" s="4"/>
      <c r="AG104" s="4"/>
      <c r="AL104" s="4"/>
      <c r="AQ104" s="4"/>
      <c r="AV104" s="4"/>
      <c r="BA104" s="4"/>
    </row>
    <row r="105" spans="8:53" s="1" customFormat="1" ht="85.15" customHeight="1">
      <c r="H105" s="4"/>
      <c r="M105" s="4"/>
      <c r="R105" s="4"/>
      <c r="W105" s="4"/>
      <c r="AB105" s="4"/>
      <c r="AG105" s="4"/>
      <c r="AL105" s="4"/>
      <c r="AQ105" s="4"/>
      <c r="AV105" s="4"/>
      <c r="BA105" s="4"/>
    </row>
    <row r="106" spans="8:53" s="1" customFormat="1" ht="85.15" customHeight="1">
      <c r="H106" s="4"/>
      <c r="M106" s="4"/>
      <c r="R106" s="4"/>
      <c r="W106" s="4"/>
      <c r="AB106" s="4"/>
      <c r="AG106" s="4"/>
      <c r="AL106" s="4"/>
      <c r="AQ106" s="4"/>
      <c r="AV106" s="4"/>
      <c r="BA106" s="4"/>
    </row>
    <row r="107" spans="8:53" s="1" customFormat="1" ht="85.15" customHeight="1">
      <c r="H107" s="4"/>
      <c r="M107" s="4"/>
      <c r="R107" s="4"/>
      <c r="W107" s="4"/>
      <c r="AB107" s="4"/>
      <c r="AG107" s="4"/>
      <c r="AL107" s="4"/>
      <c r="AQ107" s="4"/>
      <c r="AV107" s="4"/>
      <c r="BA107" s="4"/>
    </row>
    <row r="108" spans="8:53" s="1" customFormat="1" ht="85.15" customHeight="1">
      <c r="H108" s="4"/>
      <c r="M108" s="4"/>
      <c r="R108" s="4"/>
      <c r="W108" s="4"/>
      <c r="AB108" s="4"/>
      <c r="AG108" s="4"/>
      <c r="AL108" s="4"/>
      <c r="AQ108" s="4"/>
      <c r="AV108" s="4"/>
      <c r="BA108" s="4"/>
    </row>
    <row r="109" spans="8:53" s="1" customFormat="1" ht="85.15" customHeight="1">
      <c r="H109" s="4"/>
      <c r="M109" s="4"/>
      <c r="R109" s="4"/>
      <c r="W109" s="4"/>
      <c r="AB109" s="4"/>
      <c r="AG109" s="4"/>
      <c r="AL109" s="4"/>
      <c r="AQ109" s="4"/>
      <c r="AV109" s="4"/>
      <c r="BA109" s="4"/>
    </row>
    <row r="110" spans="8:53" s="1" customFormat="1" ht="85.15" customHeight="1">
      <c r="H110" s="4"/>
      <c r="M110" s="4"/>
      <c r="R110" s="4"/>
      <c r="W110" s="4"/>
      <c r="AB110" s="4"/>
      <c r="AG110" s="4"/>
      <c r="AL110" s="4"/>
      <c r="AQ110" s="4"/>
      <c r="AV110" s="4"/>
      <c r="BA110" s="4"/>
    </row>
    <row r="111" spans="8:53" s="1" customFormat="1" ht="85.15" customHeight="1">
      <c r="H111" s="4"/>
      <c r="M111" s="4"/>
      <c r="R111" s="4"/>
      <c r="W111" s="4"/>
      <c r="AB111" s="4"/>
      <c r="AG111" s="4"/>
      <c r="AL111" s="4"/>
      <c r="AQ111" s="4"/>
      <c r="AV111" s="4"/>
      <c r="BA111" s="4"/>
    </row>
    <row r="112" spans="8:53" s="1" customFormat="1" ht="85.15" customHeight="1">
      <c r="H112" s="4"/>
      <c r="M112" s="4"/>
      <c r="R112" s="4"/>
      <c r="W112" s="4"/>
      <c r="AB112" s="4"/>
      <c r="AG112" s="4"/>
      <c r="AL112" s="4"/>
      <c r="AQ112" s="4"/>
      <c r="AV112" s="4"/>
      <c r="BA112" s="4"/>
    </row>
    <row r="113" spans="8:53" s="1" customFormat="1" ht="85.15" customHeight="1">
      <c r="H113" s="4"/>
      <c r="M113" s="4"/>
      <c r="R113" s="4"/>
      <c r="W113" s="4"/>
      <c r="AB113" s="4"/>
      <c r="AG113" s="4"/>
      <c r="AL113" s="4"/>
      <c r="AQ113" s="4"/>
      <c r="AV113" s="4"/>
      <c r="BA113" s="4"/>
    </row>
    <row r="114" spans="8:53" s="1" customFormat="1" ht="85.15" customHeight="1">
      <c r="H114" s="4"/>
      <c r="M114" s="4"/>
      <c r="R114" s="4"/>
      <c r="W114" s="4"/>
      <c r="AB114" s="4"/>
      <c r="AG114" s="4"/>
      <c r="AL114" s="4"/>
      <c r="AQ114" s="4"/>
      <c r="AV114" s="4"/>
      <c r="BA114" s="4"/>
    </row>
    <row r="115" spans="8:53" s="1" customFormat="1" ht="85.15" customHeight="1">
      <c r="H115" s="4"/>
      <c r="M115" s="4"/>
      <c r="R115" s="4"/>
      <c r="W115" s="4"/>
      <c r="AB115" s="4"/>
      <c r="AG115" s="4"/>
      <c r="AL115" s="4"/>
      <c r="AQ115" s="4"/>
      <c r="AV115" s="4"/>
      <c r="BA115" s="4"/>
    </row>
    <row r="116" spans="8:53" s="1" customFormat="1" ht="85.15" customHeight="1">
      <c r="H116" s="4"/>
      <c r="M116" s="4"/>
      <c r="R116" s="4"/>
      <c r="W116" s="4"/>
      <c r="AB116" s="4"/>
      <c r="AG116" s="4"/>
      <c r="AL116" s="4"/>
      <c r="AQ116" s="4"/>
      <c r="AV116" s="4"/>
      <c r="BA116" s="4"/>
    </row>
    <row r="117" spans="8:53" s="1" customFormat="1" ht="85.15" customHeight="1">
      <c r="H117" s="4"/>
      <c r="M117" s="4"/>
      <c r="R117" s="4"/>
      <c r="W117" s="4"/>
      <c r="AB117" s="4"/>
      <c r="AG117" s="4"/>
      <c r="AL117" s="4"/>
      <c r="AQ117" s="4"/>
      <c r="AV117" s="4"/>
      <c r="BA117" s="4"/>
    </row>
    <row r="118" spans="8:53" s="1" customFormat="1" ht="85.15" customHeight="1">
      <c r="H118" s="4"/>
      <c r="M118" s="4"/>
      <c r="R118" s="4"/>
      <c r="W118" s="4"/>
      <c r="AB118" s="4"/>
      <c r="AG118" s="4"/>
      <c r="AL118" s="4"/>
      <c r="AQ118" s="4"/>
      <c r="AV118" s="4"/>
      <c r="BA118" s="4"/>
    </row>
    <row r="119" spans="8:53" s="1" customFormat="1" ht="85.15" customHeight="1">
      <c r="H119" s="4"/>
      <c r="M119" s="4"/>
      <c r="R119" s="4"/>
      <c r="W119" s="4"/>
      <c r="AB119" s="4"/>
      <c r="AG119" s="4"/>
      <c r="AL119" s="4"/>
      <c r="AQ119" s="4"/>
      <c r="AV119" s="4"/>
      <c r="BA119" s="4"/>
    </row>
    <row r="120" spans="8:53" s="1" customFormat="1" ht="85.15" customHeight="1">
      <c r="H120" s="4"/>
      <c r="M120" s="4"/>
      <c r="R120" s="4"/>
      <c r="W120" s="4"/>
      <c r="AB120" s="4"/>
      <c r="AG120" s="4"/>
      <c r="AL120" s="4"/>
      <c r="AQ120" s="4"/>
      <c r="AV120" s="4"/>
      <c r="BA120" s="4"/>
    </row>
    <row r="121" spans="8:53" s="1" customFormat="1" ht="85.15" customHeight="1">
      <c r="H121" s="4"/>
      <c r="M121" s="4"/>
      <c r="R121" s="4"/>
      <c r="W121" s="4"/>
      <c r="AB121" s="4"/>
      <c r="AG121" s="4"/>
      <c r="AL121" s="4"/>
      <c r="AQ121" s="4"/>
      <c r="AV121" s="4"/>
      <c r="BA121" s="4"/>
    </row>
    <row r="122" spans="8:53" s="1" customFormat="1" ht="85.15" customHeight="1">
      <c r="H122" s="4"/>
      <c r="M122" s="4"/>
      <c r="R122" s="4"/>
      <c r="W122" s="4"/>
      <c r="AB122" s="4"/>
      <c r="AG122" s="4"/>
      <c r="AL122" s="4"/>
      <c r="AQ122" s="4"/>
      <c r="AV122" s="4"/>
      <c r="BA122" s="4"/>
    </row>
    <row r="123" spans="8:53" s="1" customFormat="1" ht="85.15" customHeight="1">
      <c r="H123" s="4"/>
      <c r="M123" s="4"/>
      <c r="R123" s="4"/>
      <c r="W123" s="4"/>
      <c r="AB123" s="4"/>
      <c r="AG123" s="4"/>
      <c r="AL123" s="4"/>
      <c r="AQ123" s="4"/>
      <c r="AV123" s="4"/>
      <c r="BA123" s="4"/>
    </row>
    <row r="124" spans="8:53" s="1" customFormat="1" ht="85.15" customHeight="1">
      <c r="H124" s="4"/>
      <c r="M124" s="4"/>
      <c r="R124" s="4"/>
      <c r="W124" s="4"/>
      <c r="AB124" s="4"/>
      <c r="AG124" s="4"/>
      <c r="AL124" s="4"/>
      <c r="AQ124" s="4"/>
      <c r="AV124" s="4"/>
      <c r="BA124" s="4"/>
    </row>
    <row r="125" spans="8:53" s="1" customFormat="1" ht="85.15" customHeight="1">
      <c r="H125" s="4"/>
      <c r="M125" s="4"/>
      <c r="R125" s="4"/>
      <c r="W125" s="4"/>
      <c r="AB125" s="4"/>
      <c r="AG125" s="4"/>
      <c r="AL125" s="4"/>
      <c r="AQ125" s="4"/>
      <c r="AV125" s="4"/>
      <c r="BA125" s="4"/>
    </row>
    <row r="126" spans="8:53" s="1" customFormat="1" ht="85.15" customHeight="1">
      <c r="H126" s="4"/>
      <c r="M126" s="4"/>
      <c r="R126" s="4"/>
      <c r="W126" s="4"/>
      <c r="AB126" s="4"/>
      <c r="AG126" s="4"/>
      <c r="AL126" s="4"/>
      <c r="AQ126" s="4"/>
      <c r="AV126" s="4"/>
      <c r="BA126" s="4"/>
    </row>
    <row r="127" spans="8:53" s="1" customFormat="1" ht="85.15" customHeight="1">
      <c r="H127" s="4"/>
      <c r="M127" s="4"/>
      <c r="R127" s="4"/>
      <c r="W127" s="4"/>
      <c r="AB127" s="4"/>
      <c r="AG127" s="4"/>
      <c r="AL127" s="4"/>
      <c r="AQ127" s="4"/>
      <c r="AV127" s="4"/>
      <c r="BA127" s="4"/>
    </row>
    <row r="128" spans="8:53" s="1" customFormat="1" ht="85.15" customHeight="1">
      <c r="H128" s="4"/>
      <c r="M128" s="4"/>
      <c r="R128" s="4"/>
      <c r="W128" s="4"/>
      <c r="AB128" s="4"/>
      <c r="AG128" s="4"/>
      <c r="AL128" s="4"/>
      <c r="AQ128" s="4"/>
      <c r="AV128" s="4"/>
      <c r="BA128" s="4"/>
    </row>
    <row r="129" spans="8:53" s="1" customFormat="1" ht="85.15" customHeight="1">
      <c r="H129" s="4"/>
      <c r="M129" s="4"/>
      <c r="R129" s="4"/>
      <c r="W129" s="4"/>
      <c r="AB129" s="4"/>
      <c r="AG129" s="4"/>
      <c r="AL129" s="4"/>
      <c r="AQ129" s="4"/>
      <c r="AV129" s="4"/>
      <c r="BA129" s="4"/>
    </row>
    <row r="130" spans="8:53" s="1" customFormat="1" ht="85.15" customHeight="1">
      <c r="H130" s="4"/>
      <c r="M130" s="4"/>
      <c r="R130" s="4"/>
      <c r="W130" s="4"/>
      <c r="AB130" s="4"/>
      <c r="AG130" s="4"/>
      <c r="AL130" s="4"/>
      <c r="AQ130" s="4"/>
      <c r="AV130" s="4"/>
      <c r="BA130" s="4"/>
    </row>
    <row r="131" spans="8:53" s="1" customFormat="1" ht="85.15" customHeight="1">
      <c r="H131" s="4"/>
      <c r="M131" s="4"/>
      <c r="R131" s="4"/>
      <c r="W131" s="4"/>
      <c r="AB131" s="4"/>
      <c r="AG131" s="4"/>
      <c r="AL131" s="4"/>
      <c r="AQ131" s="4"/>
      <c r="AV131" s="4"/>
      <c r="BA131" s="4"/>
    </row>
    <row r="132" spans="8:53" s="1" customFormat="1" ht="85.15" customHeight="1">
      <c r="H132" s="4"/>
      <c r="M132" s="4"/>
      <c r="R132" s="4"/>
      <c r="W132" s="4"/>
      <c r="AB132" s="4"/>
      <c r="AG132" s="4"/>
      <c r="AL132" s="4"/>
      <c r="AQ132" s="4"/>
      <c r="AV132" s="4"/>
      <c r="BA132" s="4"/>
    </row>
    <row r="133" spans="8:53" s="1" customFormat="1" ht="85.15" customHeight="1">
      <c r="H133" s="4"/>
      <c r="M133" s="4"/>
      <c r="R133" s="4"/>
      <c r="W133" s="4"/>
      <c r="AB133" s="4"/>
      <c r="AG133" s="4"/>
      <c r="AL133" s="4"/>
      <c r="AQ133" s="4"/>
      <c r="AV133" s="4"/>
      <c r="BA133" s="4"/>
    </row>
    <row r="134" spans="8:53" s="1" customFormat="1" ht="85.15" customHeight="1">
      <c r="H134" s="4"/>
      <c r="M134" s="4"/>
      <c r="R134" s="4"/>
      <c r="W134" s="4"/>
      <c r="AB134" s="4"/>
      <c r="AG134" s="4"/>
      <c r="AL134" s="4"/>
      <c r="AQ134" s="4"/>
      <c r="AV134" s="4"/>
      <c r="BA134" s="4"/>
    </row>
    <row r="135" spans="8:53" s="1" customFormat="1" ht="85.15" customHeight="1">
      <c r="H135" s="4"/>
      <c r="M135" s="4"/>
      <c r="R135" s="4"/>
      <c r="W135" s="4"/>
      <c r="AB135" s="4"/>
      <c r="AG135" s="4"/>
      <c r="AL135" s="4"/>
      <c r="AQ135" s="4"/>
      <c r="AV135" s="4"/>
      <c r="BA135" s="4"/>
    </row>
    <row r="136" spans="8:53" s="1" customFormat="1" ht="85.15" customHeight="1">
      <c r="H136" s="4"/>
      <c r="M136" s="4"/>
      <c r="R136" s="4"/>
      <c r="W136" s="4"/>
      <c r="AB136" s="4"/>
      <c r="AG136" s="4"/>
      <c r="AL136" s="4"/>
      <c r="AQ136" s="4"/>
      <c r="AV136" s="4"/>
      <c r="BA136" s="4"/>
    </row>
    <row r="137" spans="8:53" s="1" customFormat="1" ht="85.15" customHeight="1">
      <c r="H137" s="4"/>
      <c r="M137" s="4"/>
      <c r="R137" s="4"/>
      <c r="W137" s="4"/>
      <c r="AB137" s="4"/>
      <c r="AG137" s="4"/>
      <c r="AL137" s="4"/>
      <c r="AQ137" s="4"/>
      <c r="AV137" s="4"/>
      <c r="BA137" s="4"/>
    </row>
    <row r="138" spans="8:53" s="1" customFormat="1" ht="85.15" customHeight="1">
      <c r="H138" s="4"/>
      <c r="M138" s="4"/>
      <c r="R138" s="4"/>
      <c r="W138" s="4"/>
      <c r="AB138" s="4"/>
      <c r="AG138" s="4"/>
      <c r="AL138" s="4"/>
      <c r="AQ138" s="4"/>
      <c r="AV138" s="4"/>
      <c r="BA138" s="4"/>
    </row>
    <row r="139" spans="8:53" s="1" customFormat="1" ht="85.15" customHeight="1">
      <c r="H139" s="4"/>
      <c r="M139" s="4"/>
      <c r="R139" s="4"/>
      <c r="W139" s="4"/>
      <c r="AB139" s="4"/>
      <c r="AG139" s="4"/>
      <c r="AL139" s="4"/>
      <c r="AQ139" s="4"/>
      <c r="AV139" s="4"/>
      <c r="BA139" s="4"/>
    </row>
    <row r="140" spans="8:53" s="1" customFormat="1" ht="85.15" customHeight="1">
      <c r="H140" s="4"/>
      <c r="M140" s="4"/>
      <c r="R140" s="4"/>
      <c r="W140" s="4"/>
      <c r="AB140" s="4"/>
      <c r="AG140" s="4"/>
      <c r="AL140" s="4"/>
      <c r="AQ140" s="4"/>
      <c r="AV140" s="4"/>
      <c r="BA140" s="4"/>
    </row>
    <row r="141" spans="8:53" s="1" customFormat="1" ht="85.15" customHeight="1">
      <c r="H141" s="4"/>
      <c r="M141" s="4"/>
      <c r="R141" s="4"/>
      <c r="W141" s="4"/>
      <c r="AB141" s="4"/>
      <c r="AG141" s="4"/>
      <c r="AL141" s="4"/>
      <c r="AQ141" s="4"/>
      <c r="AV141" s="4"/>
      <c r="BA141" s="4"/>
    </row>
    <row r="142" spans="8:53" s="1" customFormat="1" ht="85.15" customHeight="1">
      <c r="H142" s="4"/>
      <c r="M142" s="4"/>
      <c r="R142" s="4"/>
      <c r="W142" s="4"/>
      <c r="AB142" s="4"/>
      <c r="AG142" s="4"/>
      <c r="AL142" s="4"/>
      <c r="AQ142" s="4"/>
      <c r="AV142" s="4"/>
      <c r="BA142" s="4"/>
    </row>
    <row r="143" spans="8:53" s="1" customFormat="1" ht="85.15" customHeight="1">
      <c r="H143" s="4"/>
      <c r="M143" s="4"/>
      <c r="R143" s="4"/>
      <c r="W143" s="4"/>
      <c r="AB143" s="4"/>
      <c r="AG143" s="4"/>
      <c r="AL143" s="4"/>
      <c r="AQ143" s="4"/>
      <c r="AV143" s="4"/>
      <c r="BA143" s="4"/>
    </row>
    <row r="144" spans="8:53" s="1" customFormat="1" ht="85.15" customHeight="1">
      <c r="H144" s="4"/>
      <c r="M144" s="4"/>
      <c r="R144" s="4"/>
      <c r="W144" s="4"/>
      <c r="AB144" s="4"/>
      <c r="AG144" s="4"/>
      <c r="AL144" s="4"/>
      <c r="AQ144" s="4"/>
      <c r="AV144" s="4"/>
      <c r="BA144" s="4"/>
    </row>
    <row r="145" spans="8:53" s="1" customFormat="1" ht="85.15" customHeight="1">
      <c r="H145" s="4"/>
      <c r="M145" s="4"/>
      <c r="R145" s="4"/>
      <c r="W145" s="4"/>
      <c r="AB145" s="4"/>
      <c r="AG145" s="4"/>
      <c r="AL145" s="4"/>
      <c r="AQ145" s="4"/>
      <c r="AV145" s="4"/>
      <c r="BA145" s="4"/>
    </row>
    <row r="146" spans="8:53" s="1" customFormat="1" ht="85.15" customHeight="1">
      <c r="H146" s="4"/>
      <c r="M146" s="4"/>
      <c r="R146" s="4"/>
      <c r="W146" s="4"/>
      <c r="AB146" s="4"/>
      <c r="AG146" s="4"/>
      <c r="AL146" s="4"/>
      <c r="AQ146" s="4"/>
      <c r="AV146" s="4"/>
      <c r="BA146" s="4"/>
    </row>
    <row r="147" spans="8:53" s="1" customFormat="1" ht="85.15" customHeight="1">
      <c r="H147" s="4"/>
      <c r="M147" s="4"/>
      <c r="R147" s="4"/>
      <c r="W147" s="4"/>
      <c r="AB147" s="4"/>
      <c r="AG147" s="4"/>
      <c r="AL147" s="4"/>
      <c r="AQ147" s="4"/>
      <c r="AV147" s="4"/>
      <c r="BA147" s="4"/>
    </row>
    <row r="148" spans="8:53" s="1" customFormat="1" ht="85.15" customHeight="1">
      <c r="H148" s="4"/>
      <c r="M148" s="4"/>
      <c r="R148" s="4"/>
      <c r="W148" s="4"/>
      <c r="AB148" s="4"/>
      <c r="AG148" s="4"/>
      <c r="AL148" s="4"/>
      <c r="AQ148" s="4"/>
      <c r="AV148" s="4"/>
      <c r="BA148" s="4"/>
    </row>
    <row r="149" spans="8:53" s="1" customFormat="1" ht="85.15" customHeight="1">
      <c r="H149" s="4"/>
      <c r="M149" s="4"/>
      <c r="R149" s="4"/>
      <c r="W149" s="4"/>
      <c r="AB149" s="4"/>
      <c r="AG149" s="4"/>
      <c r="AL149" s="4"/>
      <c r="AQ149" s="4"/>
      <c r="AV149" s="4"/>
      <c r="BA149" s="4"/>
    </row>
    <row r="150" spans="8:53" s="1" customFormat="1" ht="85.15" customHeight="1">
      <c r="H150" s="4"/>
      <c r="M150" s="4"/>
      <c r="R150" s="4"/>
      <c r="W150" s="4"/>
      <c r="AB150" s="4"/>
      <c r="AG150" s="4"/>
      <c r="AL150" s="4"/>
      <c r="AQ150" s="4"/>
      <c r="AV150" s="4"/>
      <c r="BA150" s="4"/>
    </row>
    <row r="151" spans="8:53" s="1" customFormat="1" ht="85.15" customHeight="1">
      <c r="H151" s="4"/>
      <c r="M151" s="4"/>
      <c r="R151" s="4"/>
      <c r="W151" s="4"/>
      <c r="AB151" s="4"/>
      <c r="AG151" s="4"/>
      <c r="AL151" s="4"/>
      <c r="AQ151" s="4"/>
      <c r="AV151" s="4"/>
      <c r="BA151" s="4"/>
    </row>
    <row r="152" spans="8:53" s="1" customFormat="1" ht="85.15" customHeight="1">
      <c r="H152" s="4"/>
      <c r="M152" s="4"/>
      <c r="R152" s="4"/>
      <c r="W152" s="4"/>
      <c r="AB152" s="4"/>
      <c r="AG152" s="4"/>
      <c r="AL152" s="4"/>
      <c r="AQ152" s="4"/>
      <c r="AV152" s="4"/>
      <c r="BA152" s="4"/>
    </row>
    <row r="153" spans="8:53" s="1" customFormat="1" ht="85.15" customHeight="1">
      <c r="H153" s="4"/>
      <c r="M153" s="4"/>
      <c r="R153" s="4"/>
      <c r="W153" s="4"/>
      <c r="AB153" s="4"/>
      <c r="AG153" s="4"/>
      <c r="AL153" s="4"/>
      <c r="AQ153" s="4"/>
      <c r="AV153" s="4"/>
      <c r="BA153" s="4"/>
    </row>
    <row r="154" spans="8:53" s="1" customFormat="1" ht="85.15" customHeight="1">
      <c r="H154" s="4"/>
      <c r="M154" s="4"/>
      <c r="R154" s="4"/>
      <c r="W154" s="4"/>
      <c r="AB154" s="4"/>
      <c r="AG154" s="4"/>
      <c r="AL154" s="4"/>
      <c r="AQ154" s="4"/>
      <c r="AV154" s="4"/>
      <c r="BA154" s="4"/>
    </row>
    <row r="155" spans="8:53" s="1" customFormat="1" ht="85.15" customHeight="1">
      <c r="H155" s="4"/>
      <c r="M155" s="4"/>
      <c r="R155" s="4"/>
      <c r="W155" s="4"/>
      <c r="AB155" s="4"/>
      <c r="AG155" s="4"/>
      <c r="AL155" s="4"/>
      <c r="AQ155" s="4"/>
      <c r="AV155" s="4"/>
      <c r="BA155" s="4"/>
    </row>
    <row r="156" spans="8:53" s="1" customFormat="1" ht="85.15" customHeight="1">
      <c r="H156" s="4"/>
      <c r="M156" s="4"/>
      <c r="R156" s="4"/>
      <c r="W156" s="4"/>
      <c r="AB156" s="4"/>
      <c r="AG156" s="4"/>
      <c r="AL156" s="4"/>
      <c r="AQ156" s="4"/>
      <c r="AV156" s="4"/>
      <c r="BA156" s="4"/>
    </row>
    <row r="157" spans="8:53" s="1" customFormat="1" ht="85.15" customHeight="1">
      <c r="H157" s="4"/>
      <c r="M157" s="4"/>
      <c r="R157" s="4"/>
      <c r="W157" s="4"/>
      <c r="AB157" s="4"/>
      <c r="AG157" s="4"/>
      <c r="AL157" s="4"/>
      <c r="AQ157" s="4"/>
      <c r="AV157" s="4"/>
      <c r="BA157" s="4"/>
    </row>
    <row r="158" spans="8:53" s="1" customFormat="1" ht="85.15" customHeight="1">
      <c r="H158" s="4"/>
      <c r="M158" s="4"/>
      <c r="R158" s="4"/>
      <c r="W158" s="4"/>
      <c r="AB158" s="4"/>
      <c r="AG158" s="4"/>
      <c r="AL158" s="4"/>
      <c r="AQ158" s="4"/>
      <c r="AV158" s="4"/>
      <c r="BA158" s="4"/>
    </row>
    <row r="159" spans="8:53" s="1" customFormat="1" ht="85.15" customHeight="1">
      <c r="H159" s="4"/>
      <c r="M159" s="4"/>
      <c r="R159" s="4"/>
      <c r="W159" s="4"/>
      <c r="AB159" s="4"/>
      <c r="AG159" s="4"/>
      <c r="AL159" s="4"/>
      <c r="AQ159" s="4"/>
      <c r="AV159" s="4"/>
      <c r="BA159" s="4"/>
    </row>
    <row r="160" spans="8:53" s="1" customFormat="1" ht="85.15" customHeight="1">
      <c r="H160" s="4"/>
      <c r="M160" s="4"/>
      <c r="R160" s="4"/>
      <c r="W160" s="4"/>
      <c r="AB160" s="4"/>
      <c r="AG160" s="4"/>
      <c r="AL160" s="4"/>
      <c r="AQ160" s="4"/>
      <c r="AV160" s="4"/>
      <c r="BA160" s="4"/>
    </row>
    <row r="161" spans="8:53" s="1" customFormat="1" ht="85.15" customHeight="1">
      <c r="H161" s="4"/>
      <c r="M161" s="4"/>
      <c r="R161" s="4"/>
      <c r="W161" s="4"/>
      <c r="AB161" s="4"/>
      <c r="AG161" s="4"/>
      <c r="AL161" s="4"/>
      <c r="AQ161" s="4"/>
      <c r="AV161" s="4"/>
      <c r="BA161" s="4"/>
    </row>
    <row r="162" spans="8:53" s="1" customFormat="1" ht="85.15" customHeight="1">
      <c r="H162" s="4"/>
      <c r="M162" s="4"/>
      <c r="R162" s="4"/>
      <c r="W162" s="4"/>
      <c r="AB162" s="4"/>
      <c r="AG162" s="4"/>
      <c r="AL162" s="4"/>
      <c r="AQ162" s="4"/>
      <c r="AV162" s="4"/>
      <c r="BA162" s="4"/>
    </row>
    <row r="163" spans="8:53" s="1" customFormat="1" ht="85.15" customHeight="1">
      <c r="H163" s="4"/>
      <c r="M163" s="4"/>
      <c r="R163" s="4"/>
      <c r="W163" s="4"/>
      <c r="AB163" s="4"/>
      <c r="AG163" s="4"/>
      <c r="AL163" s="4"/>
      <c r="AQ163" s="4"/>
      <c r="AV163" s="4"/>
      <c r="BA163" s="4"/>
    </row>
    <row r="164" spans="8:53" s="1" customFormat="1" ht="85.15" customHeight="1">
      <c r="H164" s="4"/>
      <c r="M164" s="4"/>
      <c r="R164" s="4"/>
      <c r="W164" s="4"/>
      <c r="AB164" s="4"/>
      <c r="AG164" s="4"/>
      <c r="AL164" s="4"/>
      <c r="AQ164" s="4"/>
      <c r="AV164" s="4"/>
      <c r="BA164" s="4"/>
    </row>
    <row r="165" spans="8:53" s="1" customFormat="1" ht="85.15" customHeight="1">
      <c r="H165" s="4"/>
      <c r="M165" s="4"/>
      <c r="R165" s="4"/>
      <c r="W165" s="4"/>
      <c r="AB165" s="4"/>
      <c r="AG165" s="4"/>
      <c r="AL165" s="4"/>
      <c r="AQ165" s="4"/>
      <c r="AV165" s="4"/>
      <c r="BA165" s="4"/>
    </row>
    <row r="166" spans="8:53" s="1" customFormat="1" ht="85.15" customHeight="1">
      <c r="H166" s="4"/>
      <c r="M166" s="4"/>
      <c r="R166" s="4"/>
      <c r="W166" s="4"/>
      <c r="AB166" s="4"/>
      <c r="AG166" s="4"/>
      <c r="AL166" s="4"/>
      <c r="AQ166" s="4"/>
      <c r="AV166" s="4"/>
      <c r="BA166" s="4"/>
    </row>
    <row r="167" spans="8:53" s="1" customFormat="1" ht="85.15" customHeight="1">
      <c r="H167" s="4"/>
      <c r="M167" s="4"/>
      <c r="R167" s="4"/>
      <c r="W167" s="4"/>
      <c r="AB167" s="4"/>
      <c r="AG167" s="4"/>
      <c r="AL167" s="4"/>
      <c r="AQ167" s="4"/>
      <c r="AV167" s="4"/>
      <c r="BA167" s="4"/>
    </row>
    <row r="168" spans="8:53" s="1" customFormat="1" ht="85.15" customHeight="1">
      <c r="H168" s="4"/>
      <c r="M168" s="4"/>
      <c r="R168" s="4"/>
      <c r="W168" s="4"/>
      <c r="AB168" s="4"/>
      <c r="AG168" s="4"/>
      <c r="AL168" s="4"/>
      <c r="AQ168" s="4"/>
      <c r="AV168" s="4"/>
      <c r="BA168" s="4"/>
    </row>
    <row r="169" spans="8:53" s="1" customFormat="1" ht="85.15" customHeight="1">
      <c r="H169" s="4"/>
      <c r="M169" s="4"/>
      <c r="R169" s="4"/>
      <c r="W169" s="4"/>
      <c r="AB169" s="4"/>
      <c r="AG169" s="4"/>
      <c r="AL169" s="4"/>
      <c r="AQ169" s="4"/>
      <c r="AV169" s="4"/>
      <c r="BA169" s="4"/>
    </row>
    <row r="170" spans="8:53" s="1" customFormat="1" ht="85.15" customHeight="1">
      <c r="H170" s="4"/>
      <c r="M170" s="4"/>
      <c r="R170" s="4"/>
      <c r="W170" s="4"/>
      <c r="AB170" s="4"/>
      <c r="AG170" s="4"/>
      <c r="AL170" s="4"/>
      <c r="AQ170" s="4"/>
      <c r="AV170" s="4"/>
      <c r="BA170" s="4"/>
    </row>
    <row r="171" spans="8:53" s="1" customFormat="1" ht="85.15" customHeight="1">
      <c r="H171" s="4"/>
      <c r="M171" s="4"/>
      <c r="R171" s="4"/>
      <c r="W171" s="4"/>
      <c r="AB171" s="4"/>
      <c r="AG171" s="4"/>
      <c r="AL171" s="4"/>
      <c r="AQ171" s="4"/>
      <c r="AV171" s="4"/>
      <c r="BA171" s="4"/>
    </row>
    <row r="172" spans="8:53" s="1" customFormat="1" ht="85.15" customHeight="1">
      <c r="H172" s="4"/>
      <c r="M172" s="4"/>
      <c r="R172" s="4"/>
      <c r="W172" s="4"/>
      <c r="AB172" s="4"/>
      <c r="AG172" s="4"/>
      <c r="AL172" s="4"/>
      <c r="AQ172" s="4"/>
      <c r="AV172" s="4"/>
      <c r="BA172" s="4"/>
    </row>
    <row r="173" spans="8:53" s="1" customFormat="1" ht="85.15" customHeight="1">
      <c r="H173" s="4"/>
      <c r="M173" s="4"/>
      <c r="R173" s="4"/>
      <c r="W173" s="4"/>
      <c r="AB173" s="4"/>
      <c r="AG173" s="4"/>
      <c r="AL173" s="4"/>
      <c r="AQ173" s="4"/>
      <c r="AV173" s="4"/>
      <c r="BA173" s="4"/>
    </row>
    <row r="174" spans="8:53" s="1" customFormat="1" ht="85.15" customHeight="1">
      <c r="H174" s="4"/>
      <c r="M174" s="4"/>
      <c r="R174" s="4"/>
      <c r="W174" s="4"/>
      <c r="AB174" s="4"/>
      <c r="AG174" s="4"/>
      <c r="AL174" s="4"/>
      <c r="AQ174" s="4"/>
      <c r="AV174" s="4"/>
      <c r="BA174" s="4"/>
    </row>
    <row r="175" spans="8:53" s="1" customFormat="1" ht="85.15" customHeight="1">
      <c r="H175" s="4"/>
      <c r="M175" s="4"/>
      <c r="R175" s="4"/>
      <c r="W175" s="4"/>
      <c r="AB175" s="4"/>
      <c r="AG175" s="4"/>
      <c r="AL175" s="4"/>
      <c r="AQ175" s="4"/>
      <c r="AV175" s="4"/>
      <c r="BA175" s="4"/>
    </row>
    <row r="176" spans="8:53" s="1" customFormat="1" ht="85.15" customHeight="1">
      <c r="H176" s="4"/>
      <c r="M176" s="4"/>
      <c r="R176" s="4"/>
      <c r="W176" s="4"/>
      <c r="AB176" s="4"/>
      <c r="AG176" s="4"/>
      <c r="AL176" s="4"/>
      <c r="AQ176" s="4"/>
      <c r="AV176" s="4"/>
      <c r="BA176" s="4"/>
    </row>
    <row r="177" spans="8:53" s="1" customFormat="1" ht="85.15" customHeight="1">
      <c r="H177" s="4"/>
      <c r="M177" s="4"/>
      <c r="R177" s="4"/>
      <c r="W177" s="4"/>
      <c r="AB177" s="4"/>
      <c r="AG177" s="4"/>
      <c r="AL177" s="4"/>
      <c r="AQ177" s="4"/>
      <c r="AV177" s="4"/>
      <c r="BA177" s="4"/>
    </row>
    <row r="178" spans="8:53" s="1" customFormat="1" ht="85.15" customHeight="1">
      <c r="H178" s="4"/>
      <c r="M178" s="4"/>
      <c r="R178" s="4"/>
      <c r="W178" s="4"/>
      <c r="AB178" s="4"/>
      <c r="AG178" s="4"/>
      <c r="AL178" s="4"/>
      <c r="AQ178" s="4"/>
      <c r="AV178" s="4"/>
      <c r="BA178" s="4"/>
    </row>
    <row r="179" spans="8:53" s="1" customFormat="1" ht="85.15" customHeight="1">
      <c r="H179" s="4"/>
      <c r="M179" s="4"/>
      <c r="R179" s="4"/>
      <c r="W179" s="4"/>
      <c r="AB179" s="4"/>
      <c r="AG179" s="4"/>
      <c r="AL179" s="4"/>
      <c r="AQ179" s="4"/>
      <c r="AV179" s="4"/>
      <c r="BA179" s="4"/>
    </row>
    <row r="180" spans="8:53" s="1" customFormat="1" ht="85.15" customHeight="1">
      <c r="H180" s="4"/>
      <c r="M180" s="4"/>
      <c r="R180" s="4"/>
      <c r="W180" s="4"/>
      <c r="AB180" s="4"/>
      <c r="AG180" s="4"/>
      <c r="AL180" s="4"/>
      <c r="AQ180" s="4"/>
      <c r="AV180" s="4"/>
      <c r="BA180" s="4"/>
    </row>
    <row r="181" spans="8:53" s="1" customFormat="1" ht="85.15" customHeight="1">
      <c r="H181" s="4"/>
      <c r="M181" s="4"/>
      <c r="R181" s="4"/>
      <c r="W181" s="4"/>
      <c r="AB181" s="4"/>
      <c r="AG181" s="4"/>
      <c r="AL181" s="4"/>
      <c r="AQ181" s="4"/>
      <c r="AV181" s="4"/>
      <c r="BA181" s="4"/>
    </row>
    <row r="182" spans="8:53" s="1" customFormat="1" ht="85.15" customHeight="1">
      <c r="H182" s="4"/>
      <c r="M182" s="4"/>
      <c r="R182" s="4"/>
      <c r="W182" s="4"/>
      <c r="AB182" s="4"/>
      <c r="AG182" s="4"/>
      <c r="AL182" s="4"/>
      <c r="AQ182" s="4"/>
      <c r="AV182" s="4"/>
      <c r="BA182" s="4"/>
    </row>
    <row r="183" spans="8:53" s="1" customFormat="1" ht="85.15" customHeight="1">
      <c r="H183" s="4"/>
      <c r="M183" s="4"/>
      <c r="R183" s="4"/>
      <c r="W183" s="4"/>
      <c r="AB183" s="4"/>
      <c r="AG183" s="4"/>
      <c r="AL183" s="4"/>
      <c r="AQ183" s="4"/>
      <c r="AV183" s="4"/>
      <c r="BA183" s="4"/>
    </row>
    <row r="184" spans="8:53" s="1" customFormat="1" ht="85.15" customHeight="1">
      <c r="H184" s="4"/>
      <c r="M184" s="4"/>
      <c r="R184" s="4"/>
      <c r="W184" s="4"/>
      <c r="AB184" s="4"/>
      <c r="AG184" s="4"/>
      <c r="AL184" s="4"/>
      <c r="AQ184" s="4"/>
      <c r="AV184" s="4"/>
      <c r="BA184" s="4"/>
    </row>
    <row r="185" spans="8:53" s="1" customFormat="1" ht="53.45" customHeight="1">
      <c r="H185" s="4"/>
      <c r="M185" s="4"/>
      <c r="R185" s="4"/>
      <c r="W185" s="4"/>
      <c r="AB185" s="4"/>
      <c r="AG185" s="4"/>
      <c r="AL185" s="4"/>
      <c r="AQ185" s="4"/>
      <c r="AV185" s="4"/>
      <c r="BA185" s="4"/>
    </row>
    <row r="186" spans="8:53" s="1" customFormat="1" ht="53.45" customHeight="1">
      <c r="H186" s="4"/>
      <c r="M186" s="4"/>
      <c r="R186" s="4"/>
      <c r="W186" s="4"/>
      <c r="AB186" s="4"/>
      <c r="AG186" s="4"/>
      <c r="AL186" s="4"/>
      <c r="AQ186" s="4"/>
      <c r="AV186" s="4"/>
      <c r="BA186" s="4"/>
    </row>
    <row r="187" spans="8:53" s="1" customFormat="1" ht="53.45" customHeight="1">
      <c r="H187" s="4"/>
      <c r="M187" s="4"/>
      <c r="R187" s="4"/>
      <c r="W187" s="4"/>
      <c r="AB187" s="4"/>
      <c r="AG187" s="4"/>
      <c r="AL187" s="4"/>
      <c r="AQ187" s="4"/>
      <c r="AV187" s="4"/>
      <c r="BA187" s="4"/>
    </row>
    <row r="188" spans="8:53" s="1" customFormat="1" ht="53.45" customHeight="1">
      <c r="H188" s="4"/>
      <c r="M188" s="4"/>
      <c r="R188" s="4"/>
      <c r="W188" s="4"/>
      <c r="AB188" s="4"/>
      <c r="AG188" s="4"/>
      <c r="AL188" s="4"/>
      <c r="AQ188" s="4"/>
      <c r="AV188" s="4"/>
      <c r="BA188" s="4"/>
    </row>
    <row r="189" spans="8:53" s="1" customFormat="1" ht="53.45" customHeight="1">
      <c r="H189" s="4"/>
      <c r="M189" s="4"/>
      <c r="R189" s="4"/>
      <c r="W189" s="4"/>
      <c r="AB189" s="4"/>
      <c r="AG189" s="4"/>
      <c r="AL189" s="4"/>
      <c r="AQ189" s="4"/>
      <c r="AV189" s="4"/>
      <c r="BA189" s="4"/>
    </row>
    <row r="190" spans="8:53" s="1" customFormat="1" ht="53.45" customHeight="1">
      <c r="H190" s="4"/>
      <c r="M190" s="4"/>
      <c r="R190" s="4"/>
      <c r="W190" s="4"/>
      <c r="AB190" s="4"/>
      <c r="AG190" s="4"/>
      <c r="AL190" s="4"/>
      <c r="AQ190" s="4"/>
      <c r="AV190" s="4"/>
      <c r="BA190" s="4"/>
    </row>
    <row r="191" spans="8:53" s="1" customFormat="1" ht="53.45" customHeight="1">
      <c r="H191" s="4"/>
      <c r="M191" s="4"/>
      <c r="R191" s="4"/>
      <c r="W191" s="4"/>
      <c r="AB191" s="4"/>
      <c r="AG191" s="4"/>
      <c r="AL191" s="4"/>
      <c r="AQ191" s="4"/>
      <c r="AV191" s="4"/>
      <c r="BA191" s="4"/>
    </row>
    <row r="192" spans="8:53" s="1" customFormat="1" ht="53.45" customHeight="1">
      <c r="H192" s="4"/>
      <c r="M192" s="4"/>
      <c r="R192" s="4"/>
      <c r="W192" s="4"/>
      <c r="AB192" s="4"/>
      <c r="AG192" s="4"/>
      <c r="AL192" s="4"/>
      <c r="AQ192" s="4"/>
      <c r="AV192" s="4"/>
      <c r="BA192" s="4"/>
    </row>
    <row r="193" spans="8:53" s="1" customFormat="1" ht="53.45" customHeight="1">
      <c r="H193" s="4"/>
      <c r="M193" s="4"/>
      <c r="R193" s="4"/>
      <c r="W193" s="4"/>
      <c r="AB193" s="4"/>
      <c r="AG193" s="4"/>
      <c r="AL193" s="4"/>
      <c r="AQ193" s="4"/>
      <c r="AV193" s="4"/>
      <c r="BA193" s="4"/>
    </row>
    <row r="194" spans="8:53" s="1" customFormat="1" ht="53.45" customHeight="1">
      <c r="H194" s="4"/>
      <c r="M194" s="4"/>
      <c r="R194" s="4"/>
      <c r="W194" s="4"/>
      <c r="AB194" s="4"/>
      <c r="AG194" s="4"/>
      <c r="AL194" s="4"/>
      <c r="AQ194" s="4"/>
      <c r="AV194" s="4"/>
      <c r="BA194" s="4"/>
    </row>
    <row r="195" spans="8:53" s="1" customFormat="1" ht="53.45" customHeight="1">
      <c r="H195" s="4"/>
      <c r="M195" s="4"/>
      <c r="R195" s="4"/>
      <c r="W195" s="4"/>
      <c r="AB195" s="4"/>
      <c r="AG195" s="4"/>
      <c r="AL195" s="4"/>
      <c r="AQ195" s="4"/>
      <c r="AV195" s="4"/>
      <c r="BA195" s="4"/>
    </row>
    <row r="196" spans="8:53" s="1" customFormat="1" ht="53.45" customHeight="1">
      <c r="H196" s="4"/>
      <c r="M196" s="4"/>
      <c r="R196" s="4"/>
      <c r="W196" s="4"/>
      <c r="AB196" s="4"/>
      <c r="AG196" s="4"/>
      <c r="AL196" s="4"/>
      <c r="AQ196" s="4"/>
      <c r="AV196" s="4"/>
      <c r="BA196" s="4"/>
    </row>
    <row r="197" spans="8:53" s="1" customFormat="1" ht="53.45" customHeight="1">
      <c r="H197" s="4"/>
      <c r="M197" s="4"/>
      <c r="R197" s="4"/>
      <c r="W197" s="4"/>
      <c r="AB197" s="4"/>
      <c r="AG197" s="4"/>
      <c r="AL197" s="4"/>
      <c r="AQ197" s="4"/>
      <c r="AV197" s="4"/>
      <c r="BA197" s="4"/>
    </row>
    <row r="198" spans="8:53" s="1" customFormat="1" ht="53.45" customHeight="1">
      <c r="H198" s="4"/>
      <c r="M198" s="4"/>
      <c r="R198" s="4"/>
      <c r="W198" s="4"/>
      <c r="AB198" s="4"/>
      <c r="AG198" s="4"/>
      <c r="AL198" s="4"/>
      <c r="AQ198" s="4"/>
      <c r="AV198" s="4"/>
      <c r="BA198" s="4"/>
    </row>
    <row r="199" spans="8:53" s="1" customFormat="1" ht="53.45" customHeight="1">
      <c r="H199" s="4"/>
      <c r="M199" s="4"/>
      <c r="R199" s="4"/>
      <c r="W199" s="4"/>
      <c r="AB199" s="4"/>
      <c r="AG199" s="4"/>
      <c r="AL199" s="4"/>
      <c r="AQ199" s="4"/>
      <c r="AV199" s="4"/>
      <c r="BA199" s="4"/>
    </row>
    <row r="200" spans="8:53" s="1" customFormat="1" ht="53.45" customHeight="1">
      <c r="H200" s="4"/>
      <c r="M200" s="4"/>
      <c r="R200" s="4"/>
      <c r="W200" s="4"/>
      <c r="AB200" s="4"/>
      <c r="AG200" s="4"/>
      <c r="AL200" s="4"/>
      <c r="AQ200" s="4"/>
      <c r="AV200" s="4"/>
      <c r="BA200" s="4"/>
    </row>
    <row r="201" spans="8:53" s="1" customFormat="1" ht="53.45" customHeight="1">
      <c r="H201" s="4"/>
      <c r="M201" s="4"/>
      <c r="R201" s="4"/>
      <c r="W201" s="4"/>
      <c r="AB201" s="4"/>
      <c r="AG201" s="4"/>
      <c r="AL201" s="4"/>
      <c r="AQ201" s="4"/>
      <c r="AV201" s="4"/>
      <c r="BA201" s="4"/>
    </row>
    <row r="202" spans="8:53" s="1" customFormat="1" ht="53.45" customHeight="1">
      <c r="H202" s="4"/>
      <c r="M202" s="4"/>
      <c r="R202" s="4"/>
      <c r="W202" s="4"/>
      <c r="AB202" s="4"/>
      <c r="AG202" s="4"/>
      <c r="AL202" s="4"/>
      <c r="AQ202" s="4"/>
      <c r="AV202" s="4"/>
      <c r="BA202" s="4"/>
    </row>
    <row r="203" spans="8:53" s="1" customFormat="1" ht="53.45" customHeight="1">
      <c r="H203" s="4"/>
      <c r="M203" s="4"/>
      <c r="R203" s="4"/>
      <c r="W203" s="4"/>
      <c r="AB203" s="4"/>
      <c r="AG203" s="4"/>
      <c r="AL203" s="4"/>
      <c r="AQ203" s="4"/>
      <c r="AV203" s="4"/>
      <c r="BA203" s="4"/>
    </row>
    <row r="204" spans="8:53" s="1" customFormat="1" ht="53.45" customHeight="1">
      <c r="H204" s="4"/>
      <c r="M204" s="4"/>
      <c r="R204" s="4"/>
      <c r="W204" s="4"/>
      <c r="AB204" s="4"/>
      <c r="AG204" s="4"/>
      <c r="AL204" s="4"/>
      <c r="AQ204" s="4"/>
      <c r="AV204" s="4"/>
      <c r="BA204" s="4"/>
    </row>
    <row r="205" spans="8:53" s="1" customFormat="1" ht="53.45" customHeight="1">
      <c r="H205" s="4"/>
      <c r="M205" s="4"/>
      <c r="R205" s="4"/>
      <c r="W205" s="4"/>
      <c r="AB205" s="4"/>
      <c r="AG205" s="4"/>
      <c r="AL205" s="4"/>
      <c r="AQ205" s="4"/>
      <c r="AV205" s="4"/>
      <c r="BA205" s="4"/>
    </row>
    <row r="206" spans="8:53" s="1" customFormat="1" ht="53.45" customHeight="1">
      <c r="H206" s="4"/>
      <c r="M206" s="4"/>
      <c r="R206" s="4"/>
      <c r="W206" s="4"/>
      <c r="AB206" s="4"/>
      <c r="AG206" s="4"/>
      <c r="AL206" s="4"/>
      <c r="AQ206" s="4"/>
      <c r="AV206" s="4"/>
      <c r="BA206" s="4"/>
    </row>
    <row r="207" spans="8:53" s="1" customFormat="1" ht="53.45" customHeight="1">
      <c r="H207" s="4"/>
      <c r="M207" s="4"/>
      <c r="R207" s="4"/>
      <c r="W207" s="4"/>
      <c r="AB207" s="4"/>
      <c r="AG207" s="4"/>
      <c r="AL207" s="4"/>
      <c r="AQ207" s="4"/>
      <c r="AV207" s="4"/>
      <c r="BA207" s="4"/>
    </row>
    <row r="208" spans="8:53" s="1" customFormat="1" ht="53.45" customHeight="1">
      <c r="H208" s="4"/>
      <c r="M208" s="4"/>
      <c r="R208" s="4"/>
      <c r="W208" s="4"/>
      <c r="AB208" s="4"/>
      <c r="AG208" s="4"/>
      <c r="AL208" s="4"/>
      <c r="AQ208" s="4"/>
      <c r="AV208" s="4"/>
      <c r="BA208" s="4"/>
    </row>
    <row r="209" spans="8:53" s="1" customFormat="1" ht="53.45" customHeight="1">
      <c r="H209" s="4"/>
      <c r="M209" s="4"/>
      <c r="R209" s="4"/>
      <c r="W209" s="4"/>
      <c r="AB209" s="4"/>
      <c r="AG209" s="4"/>
      <c r="AL209" s="4"/>
      <c r="AQ209" s="4"/>
      <c r="AV209" s="4"/>
      <c r="BA209" s="4"/>
    </row>
    <row r="210" spans="8:53" s="1" customFormat="1" ht="53.45" customHeight="1">
      <c r="H210" s="4"/>
      <c r="M210" s="4"/>
      <c r="R210" s="4"/>
      <c r="W210" s="4"/>
      <c r="AB210" s="4"/>
      <c r="AG210" s="4"/>
      <c r="AL210" s="4"/>
      <c r="AQ210" s="4"/>
      <c r="AV210" s="4"/>
      <c r="BA210" s="4"/>
    </row>
    <row r="211" spans="8:53" s="1" customFormat="1" ht="53.45" customHeight="1">
      <c r="H211" s="4"/>
      <c r="M211" s="4"/>
      <c r="R211" s="4"/>
      <c r="W211" s="4"/>
      <c r="AB211" s="4"/>
      <c r="AG211" s="4"/>
      <c r="AL211" s="4"/>
      <c r="AQ211" s="4"/>
      <c r="AV211" s="4"/>
      <c r="BA211" s="4"/>
    </row>
    <row r="212" spans="8:53" s="1" customFormat="1" ht="53.45" customHeight="1">
      <c r="H212" s="4"/>
      <c r="M212" s="4"/>
      <c r="R212" s="4"/>
      <c r="W212" s="4"/>
      <c r="AB212" s="4"/>
      <c r="AG212" s="4"/>
      <c r="AL212" s="4"/>
      <c r="AQ212" s="4"/>
      <c r="AV212" s="4"/>
      <c r="BA212" s="4"/>
    </row>
    <row r="213" spans="8:53" s="1" customFormat="1" ht="53.45" customHeight="1">
      <c r="H213" s="4"/>
      <c r="M213" s="4"/>
      <c r="R213" s="4"/>
      <c r="W213" s="4"/>
      <c r="AB213" s="4"/>
      <c r="AG213" s="4"/>
      <c r="AL213" s="4"/>
      <c r="AQ213" s="4"/>
      <c r="AV213" s="4"/>
      <c r="BA213" s="4"/>
    </row>
    <row r="214" spans="8:53" s="1" customFormat="1" ht="53.45" customHeight="1">
      <c r="H214" s="4"/>
      <c r="M214" s="4"/>
      <c r="R214" s="4"/>
      <c r="W214" s="4"/>
      <c r="AB214" s="4"/>
      <c r="AG214" s="4"/>
      <c r="AL214" s="4"/>
      <c r="AQ214" s="4"/>
      <c r="AV214" s="4"/>
      <c r="BA214" s="4"/>
    </row>
    <row r="215" spans="8:53" s="1" customFormat="1" ht="53.45" customHeight="1">
      <c r="H215" s="4"/>
      <c r="M215" s="4"/>
      <c r="R215" s="4"/>
      <c r="W215" s="4"/>
      <c r="AB215" s="4"/>
      <c r="AG215" s="4"/>
      <c r="AL215" s="4"/>
      <c r="AQ215" s="4"/>
      <c r="AV215" s="4"/>
      <c r="BA215" s="4"/>
    </row>
    <row r="216" spans="8:53" s="1" customFormat="1" ht="53.45" customHeight="1">
      <c r="H216" s="4"/>
      <c r="M216" s="4"/>
      <c r="R216" s="4"/>
      <c r="W216" s="4"/>
      <c r="AB216" s="4"/>
      <c r="AG216" s="4"/>
      <c r="AL216" s="4"/>
      <c r="AQ216" s="4"/>
      <c r="AV216" s="4"/>
      <c r="BA216" s="4"/>
    </row>
    <row r="217" spans="8:53" s="1" customFormat="1" ht="53.45" customHeight="1">
      <c r="H217" s="4"/>
      <c r="M217" s="4"/>
      <c r="R217" s="4"/>
      <c r="W217" s="4"/>
      <c r="AB217" s="4"/>
      <c r="AG217" s="4"/>
      <c r="AL217" s="4"/>
      <c r="AQ217" s="4"/>
      <c r="AV217" s="4"/>
      <c r="BA217" s="4"/>
    </row>
    <row r="218" spans="8:53" s="1" customFormat="1" ht="53.45" customHeight="1">
      <c r="H218" s="4"/>
      <c r="M218" s="4"/>
      <c r="R218" s="4"/>
      <c r="W218" s="4"/>
      <c r="AB218" s="4"/>
      <c r="AG218" s="4"/>
      <c r="AL218" s="4"/>
      <c r="AQ218" s="4"/>
      <c r="AV218" s="4"/>
      <c r="BA218" s="4"/>
    </row>
    <row r="219" spans="8:53" s="1" customFormat="1" ht="53.45" customHeight="1">
      <c r="H219" s="4"/>
      <c r="M219" s="4"/>
      <c r="R219" s="4"/>
      <c r="W219" s="4"/>
      <c r="AB219" s="4"/>
      <c r="AG219" s="4"/>
      <c r="AL219" s="4"/>
      <c r="AQ219" s="4"/>
      <c r="AV219" s="4"/>
      <c r="BA219" s="4"/>
    </row>
    <row r="220" spans="8:53" s="1" customFormat="1" ht="53.45" customHeight="1">
      <c r="H220" s="4"/>
      <c r="M220" s="4"/>
      <c r="R220" s="4"/>
      <c r="W220" s="4"/>
      <c r="AB220" s="4"/>
      <c r="AG220" s="4"/>
      <c r="AL220" s="4"/>
      <c r="AQ220" s="4"/>
      <c r="AV220" s="4"/>
      <c r="BA220" s="4"/>
    </row>
    <row r="221" spans="8:53" s="1" customFormat="1" ht="53.45" customHeight="1">
      <c r="H221" s="4"/>
      <c r="M221" s="4"/>
      <c r="R221" s="4"/>
      <c r="W221" s="4"/>
      <c r="AB221" s="4"/>
      <c r="AG221" s="4"/>
      <c r="AL221" s="4"/>
      <c r="AQ221" s="4"/>
      <c r="AV221" s="4"/>
      <c r="BA221" s="4"/>
    </row>
    <row r="222" spans="8:53" s="1" customFormat="1" ht="53.45" customHeight="1">
      <c r="H222" s="4"/>
      <c r="M222" s="4"/>
      <c r="R222" s="4"/>
      <c r="W222" s="4"/>
      <c r="AB222" s="4"/>
      <c r="AG222" s="4"/>
      <c r="AL222" s="4"/>
      <c r="AQ222" s="4"/>
      <c r="AV222" s="4"/>
      <c r="BA222" s="4"/>
    </row>
    <row r="223" spans="8:53" s="1" customFormat="1" ht="53.45" customHeight="1">
      <c r="H223" s="4"/>
      <c r="M223" s="4"/>
      <c r="R223" s="4"/>
      <c r="W223" s="4"/>
      <c r="AB223" s="4"/>
      <c r="AG223" s="4"/>
      <c r="AL223" s="4"/>
      <c r="AQ223" s="4"/>
      <c r="AV223" s="4"/>
      <c r="BA223" s="4"/>
    </row>
    <row r="224" spans="8:53" s="1" customFormat="1" ht="53.45" customHeight="1">
      <c r="H224" s="4"/>
      <c r="M224" s="4"/>
      <c r="R224" s="4"/>
      <c r="W224" s="4"/>
      <c r="AB224" s="4"/>
      <c r="AG224" s="4"/>
      <c r="AL224" s="4"/>
      <c r="AQ224" s="4"/>
      <c r="AV224" s="4"/>
      <c r="BA224" s="4"/>
    </row>
    <row r="225" spans="8:53" s="1" customFormat="1" ht="53.45" customHeight="1">
      <c r="H225" s="4"/>
      <c r="M225" s="4"/>
      <c r="R225" s="4"/>
      <c r="W225" s="4"/>
      <c r="AB225" s="4"/>
      <c r="AG225" s="4"/>
      <c r="AL225" s="4"/>
      <c r="AQ225" s="4"/>
      <c r="AV225" s="4"/>
      <c r="BA225" s="4"/>
    </row>
    <row r="226" spans="8:53" s="1" customFormat="1" ht="53.45" customHeight="1">
      <c r="H226" s="4"/>
      <c r="M226" s="4"/>
      <c r="R226" s="4"/>
      <c r="W226" s="4"/>
      <c r="AB226" s="4"/>
      <c r="AG226" s="4"/>
      <c r="AL226" s="4"/>
      <c r="AQ226" s="4"/>
      <c r="AV226" s="4"/>
      <c r="BA226" s="4"/>
    </row>
    <row r="227" spans="8:53" s="1" customFormat="1" ht="53.45" customHeight="1">
      <c r="H227" s="4"/>
      <c r="M227" s="4"/>
      <c r="R227" s="4"/>
      <c r="W227" s="4"/>
      <c r="AB227" s="4"/>
      <c r="AG227" s="4"/>
      <c r="AL227" s="4"/>
      <c r="AQ227" s="4"/>
      <c r="AV227" s="4"/>
      <c r="BA227" s="4"/>
    </row>
    <row r="228" spans="8:53" s="1" customFormat="1" ht="53.45" customHeight="1">
      <c r="H228" s="4"/>
      <c r="M228" s="4"/>
      <c r="R228" s="4"/>
      <c r="W228" s="4"/>
      <c r="AB228" s="4"/>
      <c r="AG228" s="4"/>
      <c r="AL228" s="4"/>
      <c r="AQ228" s="4"/>
      <c r="AV228" s="4"/>
      <c r="BA228" s="4"/>
    </row>
    <row r="229" spans="8:53" s="1" customFormat="1" ht="53.45" customHeight="1">
      <c r="H229" s="4"/>
      <c r="M229" s="4"/>
      <c r="R229" s="4"/>
      <c r="W229" s="4"/>
      <c r="AB229" s="4"/>
      <c r="AG229" s="4"/>
      <c r="AL229" s="4"/>
      <c r="AQ229" s="4"/>
      <c r="AV229" s="4"/>
      <c r="BA229" s="4"/>
    </row>
    <row r="230" spans="8:53" s="1" customFormat="1" ht="53.45" customHeight="1">
      <c r="H230" s="4"/>
      <c r="M230" s="4"/>
      <c r="R230" s="4"/>
      <c r="W230" s="4"/>
      <c r="AB230" s="4"/>
      <c r="AG230" s="4"/>
      <c r="AL230" s="4"/>
      <c r="AQ230" s="4"/>
      <c r="AV230" s="4"/>
      <c r="BA230" s="4"/>
    </row>
    <row r="231" spans="8:53" s="1" customFormat="1" ht="53.45" customHeight="1">
      <c r="H231" s="4"/>
      <c r="M231" s="4"/>
      <c r="R231" s="4"/>
      <c r="W231" s="4"/>
      <c r="AB231" s="4"/>
      <c r="AG231" s="4"/>
      <c r="AL231" s="4"/>
      <c r="AQ231" s="4"/>
      <c r="AV231" s="4"/>
      <c r="BA231" s="4"/>
    </row>
    <row r="232" spans="8:53" s="1" customFormat="1" ht="53.45" customHeight="1">
      <c r="H232" s="4"/>
      <c r="M232" s="4"/>
      <c r="R232" s="4"/>
      <c r="W232" s="4"/>
      <c r="AB232" s="4"/>
      <c r="AG232" s="4"/>
      <c r="AL232" s="4"/>
      <c r="AQ232" s="4"/>
      <c r="AV232" s="4"/>
      <c r="BA232" s="4"/>
    </row>
    <row r="233" spans="8:53" s="1" customFormat="1" ht="53.45" customHeight="1">
      <c r="H233" s="4"/>
      <c r="M233" s="4"/>
      <c r="R233" s="4"/>
      <c r="W233" s="4"/>
      <c r="AB233" s="4"/>
      <c r="AG233" s="4"/>
      <c r="AL233" s="4"/>
      <c r="AQ233" s="4"/>
      <c r="AV233" s="4"/>
      <c r="BA233" s="4"/>
    </row>
    <row r="234" spans="8:53" s="1" customFormat="1" ht="53.45" customHeight="1">
      <c r="H234" s="4"/>
      <c r="M234" s="4"/>
      <c r="R234" s="4"/>
      <c r="W234" s="4"/>
      <c r="AB234" s="4"/>
      <c r="AG234" s="4"/>
      <c r="AL234" s="4"/>
      <c r="AQ234" s="4"/>
      <c r="AV234" s="4"/>
      <c r="BA234" s="4"/>
    </row>
    <row r="235" spans="8:53" s="1" customFormat="1" ht="53.45" customHeight="1">
      <c r="H235" s="4"/>
      <c r="M235" s="4"/>
      <c r="R235" s="4"/>
      <c r="W235" s="4"/>
      <c r="AB235" s="4"/>
      <c r="AG235" s="4"/>
      <c r="AL235" s="4"/>
      <c r="AQ235" s="4"/>
      <c r="AV235" s="4"/>
      <c r="BA235" s="4"/>
    </row>
    <row r="236" spans="8:53" s="1" customFormat="1" ht="53.45" customHeight="1">
      <c r="H236" s="4"/>
      <c r="M236" s="4"/>
      <c r="R236" s="4"/>
      <c r="W236" s="4"/>
      <c r="AB236" s="4"/>
      <c r="AG236" s="4"/>
      <c r="AL236" s="4"/>
      <c r="AQ236" s="4"/>
      <c r="AV236" s="4"/>
      <c r="BA236" s="4"/>
    </row>
    <row r="237" spans="8:53" s="1" customFormat="1" ht="53.45" customHeight="1">
      <c r="H237" s="4"/>
      <c r="M237" s="4"/>
      <c r="R237" s="4"/>
      <c r="W237" s="4"/>
      <c r="AB237" s="4"/>
      <c r="AG237" s="4"/>
      <c r="AL237" s="4"/>
      <c r="AQ237" s="4"/>
      <c r="AV237" s="4"/>
      <c r="BA237" s="4"/>
    </row>
    <row r="238" spans="8:53" s="1" customFormat="1" ht="53.45" customHeight="1">
      <c r="H238" s="4"/>
      <c r="M238" s="4"/>
      <c r="R238" s="4"/>
      <c r="W238" s="4"/>
      <c r="AB238" s="4"/>
      <c r="AG238" s="4"/>
      <c r="AL238" s="4"/>
      <c r="AQ238" s="4"/>
      <c r="AV238" s="4"/>
      <c r="BA238" s="4"/>
    </row>
    <row r="239" spans="8:53" s="1" customFormat="1" ht="53.45" customHeight="1">
      <c r="H239" s="4"/>
      <c r="M239" s="4"/>
      <c r="R239" s="4"/>
      <c r="W239" s="4"/>
      <c r="AB239" s="4"/>
      <c r="AG239" s="4"/>
      <c r="AL239" s="4"/>
      <c r="AQ239" s="4"/>
      <c r="AV239" s="4"/>
      <c r="BA239" s="4"/>
    </row>
    <row r="240" spans="8:53" s="1" customFormat="1" ht="53.45" customHeight="1">
      <c r="H240" s="4"/>
      <c r="M240" s="4"/>
      <c r="R240" s="4"/>
      <c r="W240" s="4"/>
      <c r="AB240" s="4"/>
      <c r="AG240" s="4"/>
      <c r="AL240" s="4"/>
      <c r="AQ240" s="4"/>
      <c r="AV240" s="4"/>
      <c r="BA240" s="4"/>
    </row>
    <row r="241" spans="8:53" s="1" customFormat="1" ht="53.45" customHeight="1">
      <c r="H241" s="4"/>
      <c r="M241" s="4"/>
      <c r="R241" s="4"/>
      <c r="W241" s="4"/>
      <c r="AB241" s="4"/>
      <c r="AG241" s="4"/>
      <c r="AL241" s="4"/>
      <c r="AQ241" s="4"/>
      <c r="AV241" s="4"/>
      <c r="BA241" s="4"/>
    </row>
    <row r="242" spans="8:53" s="1" customFormat="1" ht="53.45" customHeight="1">
      <c r="H242" s="4"/>
      <c r="M242" s="4"/>
      <c r="R242" s="4"/>
      <c r="W242" s="4"/>
      <c r="AB242" s="4"/>
      <c r="AG242" s="4"/>
      <c r="AL242" s="4"/>
      <c r="AQ242" s="4"/>
      <c r="AV242" s="4"/>
      <c r="BA242" s="4"/>
    </row>
    <row r="243" spans="8:53" s="1" customFormat="1" ht="53.45" customHeight="1">
      <c r="H243" s="4"/>
      <c r="M243" s="4"/>
      <c r="R243" s="4"/>
      <c r="W243" s="4"/>
      <c r="AB243" s="4"/>
      <c r="AG243" s="4"/>
      <c r="AL243" s="4"/>
      <c r="AQ243" s="4"/>
      <c r="AV243" s="4"/>
      <c r="BA243" s="4"/>
    </row>
    <row r="244" spans="8:53" s="1" customFormat="1" ht="53.45" customHeight="1">
      <c r="H244" s="4"/>
      <c r="M244" s="4"/>
      <c r="R244" s="4"/>
      <c r="W244" s="4"/>
      <c r="AB244" s="4"/>
      <c r="AG244" s="4"/>
      <c r="AL244" s="4"/>
      <c r="AQ244" s="4"/>
      <c r="AV244" s="4"/>
      <c r="BA244" s="4"/>
    </row>
    <row r="245" spans="8:53" s="1" customFormat="1" ht="53.45" customHeight="1">
      <c r="H245" s="4"/>
      <c r="M245" s="4"/>
      <c r="R245" s="4"/>
      <c r="W245" s="4"/>
      <c r="AB245" s="4"/>
      <c r="AG245" s="4"/>
      <c r="AL245" s="4"/>
      <c r="AQ245" s="4"/>
      <c r="AV245" s="4"/>
      <c r="BA245" s="4"/>
    </row>
    <row r="246" spans="8:53" s="1" customFormat="1" ht="53.45" customHeight="1">
      <c r="H246" s="4"/>
      <c r="M246" s="4"/>
      <c r="R246" s="4"/>
      <c r="W246" s="4"/>
      <c r="AB246" s="4"/>
      <c r="AG246" s="4"/>
      <c r="AL246" s="4"/>
      <c r="AQ246" s="4"/>
      <c r="AV246" s="4"/>
      <c r="BA246" s="4"/>
    </row>
    <row r="247" spans="8:53" s="1" customFormat="1" ht="53.45" customHeight="1">
      <c r="H247" s="4"/>
      <c r="M247" s="4"/>
      <c r="R247" s="4"/>
      <c r="W247" s="4"/>
      <c r="AB247" s="4"/>
      <c r="AG247" s="4"/>
      <c r="AL247" s="4"/>
      <c r="AQ247" s="4"/>
      <c r="AV247" s="4"/>
      <c r="BA247" s="4"/>
    </row>
    <row r="248" spans="8:53" s="1" customFormat="1" ht="53.45" customHeight="1">
      <c r="H248" s="4"/>
      <c r="M248" s="4"/>
      <c r="R248" s="4"/>
      <c r="W248" s="4"/>
      <c r="AB248" s="4"/>
      <c r="AG248" s="4"/>
      <c r="AL248" s="4"/>
      <c r="AQ248" s="4"/>
      <c r="AV248" s="4"/>
      <c r="BA248" s="4"/>
    </row>
    <row r="249" spans="8:53" s="1" customFormat="1" ht="53.45" customHeight="1">
      <c r="H249" s="4"/>
      <c r="M249" s="4"/>
      <c r="R249" s="4"/>
      <c r="W249" s="4"/>
      <c r="AB249" s="4"/>
      <c r="AG249" s="4"/>
      <c r="AL249" s="4"/>
      <c r="AQ249" s="4"/>
      <c r="AV249" s="4"/>
      <c r="BA249" s="4"/>
    </row>
    <row r="250" spans="8:53" s="1" customFormat="1" ht="53.45" customHeight="1">
      <c r="H250" s="4"/>
      <c r="M250" s="4"/>
      <c r="R250" s="4"/>
      <c r="W250" s="4"/>
      <c r="AB250" s="4"/>
      <c r="AG250" s="4"/>
      <c r="AL250" s="4"/>
      <c r="AQ250" s="4"/>
      <c r="AV250" s="4"/>
      <c r="BA250" s="4"/>
    </row>
    <row r="251" spans="8:53" s="1" customFormat="1" ht="53.45" customHeight="1">
      <c r="H251" s="4"/>
      <c r="M251" s="4"/>
      <c r="R251" s="4"/>
      <c r="W251" s="4"/>
      <c r="AB251" s="4"/>
      <c r="AG251" s="4"/>
      <c r="AL251" s="4"/>
      <c r="AQ251" s="4"/>
      <c r="AV251" s="4"/>
      <c r="BA251" s="4"/>
    </row>
    <row r="252" spans="8:53" s="1" customFormat="1" ht="53.45" customHeight="1">
      <c r="H252" s="4"/>
      <c r="M252" s="4"/>
      <c r="R252" s="4"/>
      <c r="W252" s="4"/>
      <c r="AB252" s="4"/>
      <c r="AG252" s="4"/>
      <c r="AL252" s="4"/>
      <c r="AQ252" s="4"/>
      <c r="AV252" s="4"/>
      <c r="BA252" s="4"/>
    </row>
    <row r="253" spans="8:53" s="1" customFormat="1" ht="53.45" customHeight="1">
      <c r="H253" s="4"/>
      <c r="M253" s="4"/>
      <c r="R253" s="4"/>
      <c r="W253" s="4"/>
      <c r="AB253" s="4"/>
      <c r="AG253" s="4"/>
      <c r="AL253" s="4"/>
      <c r="AQ253" s="4"/>
      <c r="AV253" s="4"/>
      <c r="BA253" s="4"/>
    </row>
    <row r="254" spans="8:53" s="1" customFormat="1" ht="53.45" customHeight="1">
      <c r="H254" s="4"/>
      <c r="M254" s="4"/>
      <c r="R254" s="4"/>
      <c r="W254" s="4"/>
      <c r="AB254" s="4"/>
      <c r="AG254" s="4"/>
      <c r="AL254" s="4"/>
      <c r="AQ254" s="4"/>
      <c r="AV254" s="4"/>
      <c r="BA254" s="4"/>
    </row>
    <row r="255" spans="8:53" s="1" customFormat="1" ht="53.45" customHeight="1">
      <c r="H255" s="4"/>
      <c r="M255" s="4"/>
      <c r="R255" s="4"/>
      <c r="W255" s="4"/>
      <c r="AB255" s="4"/>
      <c r="AG255" s="4"/>
      <c r="AL255" s="4"/>
      <c r="AQ255" s="4"/>
      <c r="AV255" s="4"/>
      <c r="BA255" s="4"/>
    </row>
    <row r="256" spans="8:53" s="1" customFormat="1" ht="53.45" customHeight="1">
      <c r="H256" s="4"/>
      <c r="M256" s="4"/>
      <c r="R256" s="4"/>
      <c r="W256" s="4"/>
      <c r="AB256" s="4"/>
      <c r="AG256" s="4"/>
      <c r="AL256" s="4"/>
      <c r="AQ256" s="4"/>
      <c r="AV256" s="4"/>
      <c r="BA256" s="4"/>
    </row>
    <row r="257" spans="8:53" s="1" customFormat="1" ht="53.45" customHeight="1">
      <c r="H257" s="4"/>
      <c r="M257" s="4"/>
      <c r="R257" s="4"/>
      <c r="W257" s="4"/>
      <c r="AB257" s="4"/>
      <c r="AG257" s="4"/>
      <c r="AL257" s="4"/>
      <c r="AQ257" s="4"/>
      <c r="AV257" s="4"/>
      <c r="BA257" s="4"/>
    </row>
    <row r="258" spans="8:53" s="1" customFormat="1" ht="53.45" customHeight="1">
      <c r="H258" s="4"/>
      <c r="M258" s="4"/>
      <c r="R258" s="4"/>
      <c r="W258" s="4"/>
      <c r="AB258" s="4"/>
      <c r="AG258" s="4"/>
      <c r="AL258" s="4"/>
      <c r="AQ258" s="4"/>
      <c r="AV258" s="4"/>
      <c r="BA258" s="4"/>
    </row>
    <row r="259" spans="8:53" s="1" customFormat="1" ht="53.45" customHeight="1">
      <c r="H259" s="4"/>
      <c r="M259" s="4"/>
      <c r="R259" s="4"/>
      <c r="W259" s="4"/>
      <c r="AB259" s="4"/>
      <c r="AG259" s="4"/>
      <c r="AL259" s="4"/>
      <c r="AQ259" s="4"/>
      <c r="AV259" s="4"/>
      <c r="BA259" s="4"/>
    </row>
    <row r="260" spans="8:53" s="1" customFormat="1" ht="53.45" customHeight="1">
      <c r="H260" s="4"/>
      <c r="M260" s="4"/>
      <c r="R260" s="4"/>
      <c r="W260" s="4"/>
      <c r="AB260" s="4"/>
      <c r="AG260" s="4"/>
      <c r="AL260" s="4"/>
      <c r="AQ260" s="4"/>
      <c r="AV260" s="4"/>
      <c r="BA260" s="4"/>
    </row>
    <row r="261" spans="8:53" s="1" customFormat="1" ht="53.45" customHeight="1">
      <c r="H261" s="4"/>
      <c r="M261" s="4"/>
      <c r="R261" s="4"/>
      <c r="W261" s="4"/>
      <c r="AB261" s="4"/>
      <c r="AG261" s="4"/>
      <c r="AL261" s="4"/>
      <c r="AQ261" s="4"/>
      <c r="AV261" s="4"/>
      <c r="BA261" s="4"/>
    </row>
    <row r="262" spans="8:53" s="1" customFormat="1" ht="53.45" customHeight="1">
      <c r="H262" s="4"/>
      <c r="M262" s="4"/>
      <c r="R262" s="4"/>
      <c r="W262" s="4"/>
      <c r="AB262" s="4"/>
      <c r="AG262" s="4"/>
      <c r="AL262" s="4"/>
      <c r="AQ262" s="4"/>
      <c r="AV262" s="4"/>
      <c r="BA262" s="4"/>
    </row>
    <row r="263" spans="8:53" s="1" customFormat="1" ht="53.45" customHeight="1">
      <c r="H263" s="4"/>
      <c r="M263" s="4"/>
      <c r="R263" s="4"/>
      <c r="W263" s="4"/>
      <c r="AB263" s="4"/>
      <c r="AG263" s="4"/>
      <c r="AL263" s="4"/>
      <c r="AQ263" s="4"/>
      <c r="AV263" s="4"/>
      <c r="BA263" s="4"/>
    </row>
    <row r="264" spans="8:53" s="1" customFormat="1" ht="53.45" customHeight="1">
      <c r="H264" s="4"/>
      <c r="M264" s="4"/>
      <c r="R264" s="4"/>
      <c r="W264" s="4"/>
      <c r="AB264" s="4"/>
      <c r="AG264" s="4"/>
      <c r="AL264" s="4"/>
      <c r="AQ264" s="4"/>
      <c r="AV264" s="4"/>
      <c r="BA264" s="4"/>
    </row>
    <row r="265" spans="8:53" s="1" customFormat="1" ht="53.45" customHeight="1">
      <c r="H265" s="4"/>
      <c r="M265" s="4"/>
      <c r="R265" s="4"/>
      <c r="W265" s="4"/>
      <c r="AB265" s="4"/>
      <c r="AG265" s="4"/>
      <c r="AL265" s="4"/>
      <c r="AQ265" s="4"/>
      <c r="AV265" s="4"/>
      <c r="BA265" s="4"/>
    </row>
    <row r="266" spans="8:53" s="1" customFormat="1" ht="53.45" customHeight="1">
      <c r="H266" s="4"/>
      <c r="M266" s="4"/>
      <c r="R266" s="4"/>
      <c r="W266" s="4"/>
      <c r="AB266" s="4"/>
      <c r="AG266" s="4"/>
      <c r="AL266" s="4"/>
      <c r="AQ266" s="4"/>
      <c r="AV266" s="4"/>
      <c r="BA266" s="4"/>
    </row>
    <row r="267" spans="8:53" s="1" customFormat="1" ht="53.45" customHeight="1">
      <c r="H267" s="4"/>
      <c r="M267" s="4"/>
      <c r="R267" s="4"/>
      <c r="W267" s="4"/>
      <c r="AB267" s="4"/>
      <c r="AG267" s="4"/>
      <c r="AL267" s="4"/>
      <c r="AQ267" s="4"/>
      <c r="AV267" s="4"/>
      <c r="BA267" s="4"/>
    </row>
    <row r="268" spans="8:53" s="1" customFormat="1" ht="53.45" customHeight="1">
      <c r="H268" s="4"/>
      <c r="M268" s="4"/>
      <c r="R268" s="4"/>
      <c r="W268" s="4"/>
      <c r="AB268" s="4"/>
      <c r="AG268" s="4"/>
      <c r="AL268" s="4"/>
      <c r="AQ268" s="4"/>
      <c r="AV268" s="4"/>
      <c r="BA268" s="4"/>
    </row>
    <row r="269" spans="8:53" s="1" customFormat="1" ht="53.45" customHeight="1">
      <c r="H269" s="4"/>
      <c r="M269" s="4"/>
      <c r="R269" s="4"/>
      <c r="W269" s="4"/>
      <c r="AB269" s="4"/>
      <c r="AG269" s="4"/>
      <c r="AL269" s="4"/>
      <c r="AQ269" s="4"/>
      <c r="AV269" s="4"/>
      <c r="BA269" s="4"/>
    </row>
    <row r="270" spans="8:53" s="1" customFormat="1" ht="53.45" customHeight="1">
      <c r="H270" s="4"/>
      <c r="M270" s="4"/>
      <c r="R270" s="4"/>
      <c r="W270" s="4"/>
      <c r="AB270" s="4"/>
      <c r="AG270" s="4"/>
      <c r="AL270" s="4"/>
      <c r="AQ270" s="4"/>
      <c r="AV270" s="4"/>
      <c r="BA270" s="4"/>
    </row>
    <row r="271" spans="8:53" s="1" customFormat="1" ht="53.45" customHeight="1">
      <c r="H271" s="4"/>
      <c r="M271" s="4"/>
      <c r="R271" s="4"/>
      <c r="W271" s="4"/>
      <c r="AB271" s="4"/>
      <c r="AG271" s="4"/>
      <c r="AL271" s="4"/>
      <c r="AQ271" s="4"/>
      <c r="AV271" s="4"/>
      <c r="BA271" s="4"/>
    </row>
    <row r="272" spans="8:53" s="1" customFormat="1" ht="53.45" customHeight="1">
      <c r="H272" s="4"/>
      <c r="M272" s="4"/>
      <c r="R272" s="4"/>
      <c r="W272" s="4"/>
      <c r="AB272" s="4"/>
      <c r="AG272" s="4"/>
      <c r="AL272" s="4"/>
      <c r="AQ272" s="4"/>
      <c r="AV272" s="4"/>
      <c r="BA272" s="4"/>
    </row>
    <row r="273" spans="8:53" s="1" customFormat="1" ht="53.45" customHeight="1">
      <c r="H273" s="4"/>
      <c r="M273" s="4"/>
      <c r="R273" s="4"/>
      <c r="W273" s="4"/>
      <c r="AB273" s="4"/>
      <c r="AG273" s="4"/>
      <c r="AL273" s="4"/>
      <c r="AQ273" s="4"/>
      <c r="AV273" s="4"/>
      <c r="BA273" s="4"/>
    </row>
    <row r="274" spans="8:53" s="1" customFormat="1" ht="53.45" customHeight="1">
      <c r="H274" s="4"/>
      <c r="M274" s="4"/>
      <c r="R274" s="4"/>
      <c r="W274" s="4"/>
      <c r="AB274" s="4"/>
      <c r="AG274" s="4"/>
      <c r="AL274" s="4"/>
      <c r="AQ274" s="4"/>
      <c r="AV274" s="4"/>
      <c r="BA274" s="4"/>
    </row>
    <row r="275" spans="8:53" s="1" customFormat="1" ht="53.45" customHeight="1">
      <c r="H275" s="4"/>
      <c r="M275" s="4"/>
      <c r="R275" s="4"/>
      <c r="W275" s="4"/>
      <c r="AB275" s="4"/>
      <c r="AG275" s="4"/>
      <c r="AL275" s="4"/>
      <c r="AQ275" s="4"/>
      <c r="AV275" s="4"/>
      <c r="BA275" s="4"/>
    </row>
    <row r="276" spans="8:53" s="1" customFormat="1" ht="53.45" customHeight="1">
      <c r="H276" s="4"/>
      <c r="M276" s="4"/>
      <c r="R276" s="4"/>
      <c r="W276" s="4"/>
      <c r="AB276" s="4"/>
      <c r="AG276" s="4"/>
      <c r="AL276" s="4"/>
      <c r="AQ276" s="4"/>
      <c r="AV276" s="4"/>
      <c r="BA276" s="4"/>
    </row>
    <row r="277" spans="8:53" s="1" customFormat="1" ht="53.45" customHeight="1">
      <c r="H277" s="4"/>
      <c r="M277" s="4"/>
      <c r="R277" s="4"/>
      <c r="W277" s="4"/>
      <c r="AB277" s="4"/>
      <c r="AG277" s="4"/>
      <c r="AL277" s="4"/>
      <c r="AQ277" s="4"/>
      <c r="AV277" s="4"/>
      <c r="BA277" s="4"/>
    </row>
    <row r="278" spans="8:53" s="1" customFormat="1" ht="53.45" customHeight="1">
      <c r="H278" s="4"/>
      <c r="M278" s="4"/>
      <c r="R278" s="4"/>
      <c r="W278" s="4"/>
      <c r="AB278" s="4"/>
      <c r="AG278" s="4"/>
      <c r="AL278" s="4"/>
      <c r="AQ278" s="4"/>
      <c r="AV278" s="4"/>
      <c r="BA278" s="4"/>
    </row>
    <row r="279" spans="8:53" s="1" customFormat="1" ht="53.45" customHeight="1">
      <c r="H279" s="4"/>
      <c r="M279" s="4"/>
      <c r="R279" s="4"/>
      <c r="W279" s="4"/>
      <c r="AB279" s="4"/>
      <c r="AG279" s="4"/>
      <c r="AL279" s="4"/>
      <c r="AQ279" s="4"/>
      <c r="AV279" s="4"/>
      <c r="BA279" s="4"/>
    </row>
    <row r="280" spans="8:53" s="1" customFormat="1" ht="53.45" customHeight="1">
      <c r="H280" s="4"/>
      <c r="M280" s="4"/>
      <c r="R280" s="4"/>
      <c r="W280" s="4"/>
      <c r="AB280" s="4"/>
      <c r="AG280" s="4"/>
      <c r="AL280" s="4"/>
      <c r="AQ280" s="4"/>
      <c r="AV280" s="4"/>
      <c r="BA280" s="4"/>
    </row>
    <row r="281" spans="8:53" s="1" customFormat="1" ht="53.45" customHeight="1">
      <c r="H281" s="4"/>
      <c r="M281" s="4"/>
      <c r="R281" s="4"/>
      <c r="W281" s="4"/>
      <c r="AB281" s="4"/>
      <c r="AG281" s="4"/>
      <c r="AL281" s="4"/>
      <c r="AQ281" s="4"/>
      <c r="AV281" s="4"/>
      <c r="BA281" s="4"/>
    </row>
    <row r="282" spans="8:53" s="1" customFormat="1" ht="53.45" customHeight="1">
      <c r="H282" s="4"/>
      <c r="M282" s="4"/>
      <c r="R282" s="4"/>
      <c r="W282" s="4"/>
      <c r="AB282" s="4"/>
      <c r="AG282" s="4"/>
      <c r="AL282" s="4"/>
      <c r="AQ282" s="4"/>
      <c r="AV282" s="4"/>
      <c r="BA282" s="4"/>
    </row>
    <row r="283" spans="8:53" s="1" customFormat="1" ht="53.45" customHeight="1">
      <c r="H283" s="4"/>
      <c r="M283" s="4"/>
      <c r="R283" s="4"/>
      <c r="W283" s="4"/>
      <c r="AB283" s="4"/>
      <c r="AG283" s="4"/>
      <c r="AL283" s="4"/>
      <c r="AQ283" s="4"/>
      <c r="AV283" s="4"/>
      <c r="BA283" s="4"/>
    </row>
    <row r="284" spans="8:53" s="1" customFormat="1" ht="53.45" customHeight="1">
      <c r="H284" s="4"/>
      <c r="M284" s="4"/>
      <c r="R284" s="4"/>
      <c r="W284" s="4"/>
      <c r="AB284" s="4"/>
      <c r="AG284" s="4"/>
      <c r="AL284" s="4"/>
      <c r="AQ284" s="4"/>
      <c r="AV284" s="4"/>
      <c r="BA284" s="4"/>
    </row>
    <row r="285" spans="8:53" s="1" customFormat="1" ht="53.45" customHeight="1">
      <c r="H285" s="4"/>
      <c r="M285" s="4"/>
      <c r="R285" s="4"/>
      <c r="W285" s="4"/>
      <c r="AB285" s="4"/>
      <c r="AG285" s="4"/>
      <c r="AL285" s="4"/>
      <c r="AQ285" s="4"/>
      <c r="AV285" s="4"/>
      <c r="BA285" s="4"/>
    </row>
    <row r="286" spans="8:53" s="1" customFormat="1" ht="53.45" customHeight="1">
      <c r="H286" s="4"/>
      <c r="M286" s="4"/>
      <c r="R286" s="4"/>
      <c r="W286" s="4"/>
      <c r="AB286" s="4"/>
      <c r="AG286" s="4"/>
      <c r="AL286" s="4"/>
      <c r="AQ286" s="4"/>
      <c r="AV286" s="4"/>
      <c r="BA286" s="4"/>
    </row>
    <row r="287" spans="8:53" s="1" customFormat="1" ht="53.45" customHeight="1">
      <c r="H287" s="4"/>
      <c r="M287" s="4"/>
      <c r="R287" s="4"/>
      <c r="W287" s="4"/>
      <c r="AB287" s="4"/>
      <c r="AG287" s="4"/>
      <c r="AL287" s="4"/>
      <c r="AQ287" s="4"/>
      <c r="AV287" s="4"/>
      <c r="BA287" s="4"/>
    </row>
    <row r="288" spans="8:53" s="1" customFormat="1" ht="53.45" customHeight="1">
      <c r="H288" s="4"/>
      <c r="M288" s="4"/>
      <c r="R288" s="4"/>
      <c r="W288" s="4"/>
      <c r="AB288" s="4"/>
      <c r="AG288" s="4"/>
      <c r="AL288" s="4"/>
      <c r="AQ288" s="4"/>
      <c r="AV288" s="4"/>
      <c r="BA288" s="4"/>
    </row>
    <row r="289" spans="8:53" s="1" customFormat="1" ht="53.45" customHeight="1">
      <c r="H289" s="4"/>
      <c r="M289" s="4"/>
      <c r="R289" s="4"/>
      <c r="W289" s="4"/>
      <c r="AB289" s="4"/>
      <c r="AG289" s="4"/>
      <c r="AL289" s="4"/>
      <c r="AQ289" s="4"/>
      <c r="AV289" s="4"/>
      <c r="BA289" s="4"/>
    </row>
    <row r="290" spans="8:53" s="1" customFormat="1" ht="53.45" customHeight="1">
      <c r="H290" s="4"/>
      <c r="M290" s="4"/>
      <c r="R290" s="4"/>
      <c r="W290" s="4"/>
      <c r="AB290" s="4"/>
      <c r="AG290" s="4"/>
      <c r="AL290" s="4"/>
      <c r="AQ290" s="4"/>
      <c r="AV290" s="4"/>
      <c r="BA290" s="4"/>
    </row>
    <row r="291" spans="8:53" s="1" customFormat="1" ht="53.45" customHeight="1">
      <c r="H291" s="4"/>
      <c r="M291" s="4"/>
      <c r="R291" s="4"/>
      <c r="W291" s="4"/>
      <c r="AB291" s="4"/>
      <c r="AG291" s="4"/>
      <c r="AL291" s="4"/>
      <c r="AQ291" s="4"/>
      <c r="AV291" s="4"/>
      <c r="BA291" s="4"/>
    </row>
    <row r="292" spans="8:53" s="1" customFormat="1" ht="53.45" customHeight="1">
      <c r="H292" s="4"/>
      <c r="M292" s="4"/>
      <c r="R292" s="4"/>
      <c r="W292" s="4"/>
      <c r="AB292" s="4"/>
      <c r="AG292" s="4"/>
      <c r="AL292" s="4"/>
      <c r="AQ292" s="4"/>
      <c r="AV292" s="4"/>
      <c r="BA292" s="4"/>
    </row>
    <row r="293" spans="8:53" s="1" customFormat="1" ht="53.45" customHeight="1">
      <c r="H293" s="4"/>
      <c r="M293" s="4"/>
      <c r="R293" s="4"/>
      <c r="W293" s="4"/>
      <c r="AB293" s="4"/>
      <c r="AG293" s="4"/>
      <c r="AL293" s="4"/>
      <c r="AQ293" s="4"/>
      <c r="AV293" s="4"/>
      <c r="BA293" s="4"/>
    </row>
    <row r="294" spans="8:53" s="1" customFormat="1" ht="53.45" customHeight="1">
      <c r="H294" s="4"/>
      <c r="M294" s="4"/>
      <c r="R294" s="4"/>
      <c r="W294" s="4"/>
      <c r="AB294" s="4"/>
      <c r="AG294" s="4"/>
      <c r="AL294" s="4"/>
      <c r="AQ294" s="4"/>
      <c r="AV294" s="4"/>
      <c r="BA294" s="4"/>
    </row>
    <row r="295" spans="8:53" s="1" customFormat="1" ht="53.45" customHeight="1">
      <c r="H295" s="4"/>
      <c r="M295" s="4"/>
      <c r="R295" s="4"/>
      <c r="W295" s="4"/>
      <c r="AB295" s="4"/>
      <c r="AG295" s="4"/>
      <c r="AL295" s="4"/>
      <c r="AQ295" s="4"/>
      <c r="AV295" s="4"/>
      <c r="BA295" s="4"/>
    </row>
    <row r="296" spans="8:53" s="1" customFormat="1" ht="53.45" customHeight="1">
      <c r="H296" s="4"/>
      <c r="M296" s="4"/>
      <c r="R296" s="4"/>
      <c r="W296" s="4"/>
      <c r="AB296" s="4"/>
      <c r="AG296" s="4"/>
      <c r="AL296" s="4"/>
      <c r="AQ296" s="4"/>
      <c r="AV296" s="4"/>
      <c r="BA296" s="4"/>
    </row>
    <row r="297" spans="8:53" s="1" customFormat="1" ht="53.45" customHeight="1">
      <c r="H297" s="4"/>
      <c r="M297" s="4"/>
      <c r="R297" s="4"/>
      <c r="W297" s="4"/>
      <c r="AB297" s="4"/>
      <c r="AG297" s="4"/>
      <c r="AL297" s="4"/>
      <c r="AQ297" s="4"/>
      <c r="AV297" s="4"/>
      <c r="BA297" s="4"/>
    </row>
    <row r="298" spans="8:53" s="1" customFormat="1" ht="53.45" customHeight="1">
      <c r="H298" s="4"/>
      <c r="M298" s="4"/>
      <c r="R298" s="4"/>
      <c r="W298" s="4"/>
      <c r="AB298" s="4"/>
      <c r="AG298" s="4"/>
      <c r="AL298" s="4"/>
      <c r="AQ298" s="4"/>
      <c r="AV298" s="4"/>
      <c r="BA298" s="4"/>
    </row>
    <row r="299" spans="8:53" s="1" customFormat="1" ht="53.45" customHeight="1">
      <c r="H299" s="4"/>
      <c r="M299" s="4"/>
      <c r="R299" s="4"/>
      <c r="W299" s="4"/>
      <c r="AB299" s="4"/>
      <c r="AG299" s="4"/>
      <c r="AL299" s="4"/>
      <c r="AQ299" s="4"/>
      <c r="AV299" s="4"/>
      <c r="BA299" s="4"/>
    </row>
    <row r="300" spans="8:53" s="1" customFormat="1" ht="53.45" customHeight="1">
      <c r="H300" s="4"/>
      <c r="M300" s="4"/>
      <c r="R300" s="4"/>
      <c r="W300" s="4"/>
      <c r="AB300" s="4"/>
      <c r="AG300" s="4"/>
      <c r="AL300" s="4"/>
      <c r="AQ300" s="4"/>
      <c r="AV300" s="4"/>
      <c r="BA300" s="4"/>
    </row>
    <row r="301" spans="8:53" s="1" customFormat="1" ht="53.45" customHeight="1">
      <c r="H301" s="4"/>
      <c r="M301" s="4"/>
      <c r="R301" s="4"/>
      <c r="W301" s="4"/>
      <c r="AB301" s="4"/>
      <c r="AG301" s="4"/>
      <c r="AL301" s="4"/>
      <c r="AQ301" s="4"/>
      <c r="AV301" s="4"/>
      <c r="BA301" s="4"/>
    </row>
    <row r="302" spans="8:53" s="1" customFormat="1" ht="53.45" customHeight="1">
      <c r="H302" s="4"/>
      <c r="M302" s="4"/>
      <c r="R302" s="4"/>
      <c r="W302" s="4"/>
      <c r="AB302" s="4"/>
      <c r="AG302" s="4"/>
      <c r="AL302" s="4"/>
      <c r="AQ302" s="4"/>
      <c r="AV302" s="4"/>
      <c r="BA302" s="4"/>
    </row>
    <row r="303" spans="8:53" s="1" customFormat="1" ht="53.45" customHeight="1">
      <c r="H303" s="4"/>
      <c r="M303" s="4"/>
      <c r="R303" s="4"/>
      <c r="W303" s="4"/>
      <c r="AB303" s="4"/>
      <c r="AG303" s="4"/>
      <c r="AL303" s="4"/>
      <c r="AQ303" s="4"/>
      <c r="AV303" s="4"/>
      <c r="BA303" s="4"/>
    </row>
    <row r="304" spans="8:53" s="1" customFormat="1" ht="53.45" customHeight="1">
      <c r="H304" s="4"/>
      <c r="M304" s="4"/>
      <c r="R304" s="4"/>
      <c r="W304" s="4"/>
      <c r="AB304" s="4"/>
      <c r="AG304" s="4"/>
      <c r="AL304" s="4"/>
      <c r="AQ304" s="4"/>
      <c r="AV304" s="4"/>
      <c r="BA304" s="4"/>
    </row>
    <row r="305" spans="8:53" s="1" customFormat="1" ht="53.45" customHeight="1">
      <c r="H305" s="4"/>
      <c r="M305" s="4"/>
      <c r="R305" s="4"/>
      <c r="W305" s="4"/>
      <c r="AB305" s="4"/>
      <c r="AG305" s="4"/>
      <c r="AL305" s="4"/>
      <c r="AQ305" s="4"/>
      <c r="AV305" s="4"/>
      <c r="BA305" s="4"/>
    </row>
    <row r="306" spans="8:53" s="1" customFormat="1" ht="53.45" customHeight="1">
      <c r="H306" s="4"/>
      <c r="M306" s="4"/>
      <c r="R306" s="4"/>
      <c r="W306" s="4"/>
      <c r="AB306" s="4"/>
      <c r="AG306" s="4"/>
      <c r="AL306" s="4"/>
      <c r="AQ306" s="4"/>
      <c r="AV306" s="4"/>
      <c r="BA306" s="4"/>
    </row>
    <row r="307" spans="8:53" s="1" customFormat="1" ht="53.45" customHeight="1">
      <c r="H307" s="4"/>
      <c r="M307" s="4"/>
      <c r="R307" s="4"/>
      <c r="W307" s="4"/>
      <c r="AB307" s="4"/>
      <c r="AG307" s="4"/>
      <c r="AL307" s="4"/>
      <c r="AQ307" s="4"/>
      <c r="AV307" s="4"/>
      <c r="BA307" s="4"/>
    </row>
    <row r="308" spans="8:53" s="1" customFormat="1" ht="53.45" customHeight="1">
      <c r="H308" s="4"/>
      <c r="M308" s="4"/>
      <c r="R308" s="4"/>
      <c r="W308" s="4"/>
      <c r="AB308" s="4"/>
      <c r="AG308" s="4"/>
      <c r="AL308" s="4"/>
      <c r="AQ308" s="4"/>
      <c r="AV308" s="4"/>
      <c r="BA308" s="4"/>
    </row>
    <row r="309" spans="8:53" s="1" customFormat="1" ht="53.45" customHeight="1">
      <c r="H309" s="4"/>
      <c r="M309" s="4"/>
      <c r="R309" s="4"/>
      <c r="W309" s="4"/>
      <c r="AB309" s="4"/>
      <c r="AG309" s="4"/>
      <c r="AL309" s="4"/>
      <c r="AQ309" s="4"/>
      <c r="AV309" s="4"/>
      <c r="BA309" s="4"/>
    </row>
    <row r="310" spans="8:53" s="1" customFormat="1" ht="53.45" customHeight="1">
      <c r="H310" s="4"/>
      <c r="M310" s="4"/>
      <c r="R310" s="4"/>
      <c r="W310" s="4"/>
      <c r="AB310" s="4"/>
      <c r="AG310" s="4"/>
      <c r="AL310" s="4"/>
      <c r="AQ310" s="4"/>
      <c r="AV310" s="4"/>
      <c r="BA310" s="4"/>
    </row>
    <row r="311" spans="8:53" s="1" customFormat="1" ht="53.45" customHeight="1">
      <c r="H311" s="4"/>
      <c r="M311" s="4"/>
      <c r="R311" s="4"/>
      <c r="W311" s="4"/>
      <c r="AB311" s="4"/>
      <c r="AG311" s="4"/>
      <c r="AL311" s="4"/>
      <c r="AQ311" s="4"/>
      <c r="AV311" s="4"/>
      <c r="BA311" s="4"/>
    </row>
    <row r="312" spans="8:53" s="1" customFormat="1" ht="53.45" customHeight="1">
      <c r="H312" s="4"/>
      <c r="M312" s="4"/>
      <c r="R312" s="4"/>
      <c r="W312" s="4"/>
      <c r="AB312" s="4"/>
      <c r="AG312" s="4"/>
      <c r="AL312" s="4"/>
      <c r="AQ312" s="4"/>
      <c r="AV312" s="4"/>
      <c r="BA312" s="4"/>
    </row>
    <row r="313" spans="8:53" s="1" customFormat="1" ht="53.45" customHeight="1">
      <c r="H313" s="4"/>
      <c r="M313" s="4"/>
      <c r="R313" s="4"/>
      <c r="W313" s="4"/>
      <c r="AB313" s="4"/>
      <c r="AG313" s="4"/>
      <c r="AL313" s="4"/>
      <c r="AQ313" s="4"/>
      <c r="AV313" s="4"/>
      <c r="BA313" s="4"/>
    </row>
    <row r="314" spans="8:53" s="1" customFormat="1" ht="53.45" customHeight="1">
      <c r="H314" s="4"/>
      <c r="M314" s="4"/>
      <c r="R314" s="4"/>
      <c r="W314" s="4"/>
      <c r="AB314" s="4"/>
      <c r="AG314" s="4"/>
      <c r="AL314" s="4"/>
      <c r="AQ314" s="4"/>
      <c r="AV314" s="4"/>
      <c r="BA314" s="4"/>
    </row>
    <row r="315" spans="8:53" s="1" customFormat="1" ht="53.45" customHeight="1">
      <c r="H315" s="4"/>
      <c r="M315" s="4"/>
      <c r="R315" s="4"/>
      <c r="W315" s="4"/>
      <c r="AB315" s="4"/>
      <c r="AG315" s="4"/>
      <c r="AL315" s="4"/>
      <c r="AQ315" s="4"/>
      <c r="AV315" s="4"/>
      <c r="BA315" s="4"/>
    </row>
    <row r="316" spans="8:53" s="1" customFormat="1" ht="53.45" customHeight="1">
      <c r="H316" s="4"/>
      <c r="M316" s="4"/>
      <c r="R316" s="4"/>
      <c r="W316" s="4"/>
      <c r="AB316" s="4"/>
      <c r="AG316" s="4"/>
      <c r="AL316" s="4"/>
      <c r="AQ316" s="4"/>
      <c r="AV316" s="4"/>
      <c r="BA316" s="4"/>
    </row>
    <row r="317" spans="8:53" s="1" customFormat="1" ht="53.45" customHeight="1">
      <c r="H317" s="4"/>
      <c r="M317" s="4"/>
      <c r="R317" s="4"/>
      <c r="W317" s="4"/>
      <c r="AB317" s="4"/>
      <c r="AG317" s="4"/>
      <c r="AL317" s="4"/>
      <c r="AQ317" s="4"/>
      <c r="AV317" s="4"/>
      <c r="BA317" s="4"/>
    </row>
    <row r="318" spans="8:53" s="1" customFormat="1" ht="53.45" customHeight="1">
      <c r="H318" s="4"/>
      <c r="M318" s="4"/>
      <c r="R318" s="4"/>
      <c r="W318" s="4"/>
      <c r="AB318" s="4"/>
      <c r="AG318" s="4"/>
      <c r="AL318" s="4"/>
      <c r="AQ318" s="4"/>
      <c r="AV318" s="4"/>
      <c r="BA318" s="4"/>
    </row>
    <row r="319" spans="8:53" s="1" customFormat="1" ht="53.45" customHeight="1">
      <c r="H319" s="4"/>
      <c r="M319" s="4"/>
      <c r="R319" s="4"/>
      <c r="W319" s="4"/>
      <c r="AB319" s="4"/>
      <c r="AG319" s="4"/>
      <c r="AL319" s="4"/>
      <c r="AQ319" s="4"/>
      <c r="AV319" s="4"/>
      <c r="BA319" s="4"/>
    </row>
    <row r="320" spans="8:53" s="1" customFormat="1" ht="53.45" customHeight="1">
      <c r="H320" s="4"/>
      <c r="M320" s="4"/>
      <c r="R320" s="4"/>
      <c r="W320" s="4"/>
      <c r="AB320" s="4"/>
      <c r="AG320" s="4"/>
      <c r="AL320" s="4"/>
      <c r="AQ320" s="4"/>
      <c r="AV320" s="4"/>
      <c r="BA320" s="4"/>
    </row>
    <row r="321" spans="8:53" s="1" customFormat="1" ht="53.45" customHeight="1">
      <c r="H321" s="4"/>
      <c r="M321" s="4"/>
      <c r="R321" s="4"/>
      <c r="W321" s="4"/>
      <c r="AB321" s="4"/>
      <c r="AG321" s="4"/>
      <c r="AL321" s="4"/>
      <c r="AQ321" s="4"/>
      <c r="AV321" s="4"/>
      <c r="BA321" s="4"/>
    </row>
    <row r="322" spans="8:53" s="1" customFormat="1" ht="53.45" customHeight="1">
      <c r="H322" s="4"/>
      <c r="M322" s="4"/>
      <c r="R322" s="4"/>
      <c r="W322" s="4"/>
      <c r="AB322" s="4"/>
      <c r="AG322" s="4"/>
      <c r="AL322" s="4"/>
      <c r="AQ322" s="4"/>
      <c r="AV322" s="4"/>
      <c r="BA322" s="4"/>
    </row>
    <row r="323" spans="8:53" s="1" customFormat="1" ht="53.45" customHeight="1">
      <c r="H323" s="4"/>
      <c r="M323" s="4"/>
      <c r="R323" s="4"/>
      <c r="W323" s="4"/>
      <c r="AB323" s="4"/>
      <c r="AG323" s="4"/>
      <c r="AL323" s="4"/>
      <c r="AQ323" s="4"/>
      <c r="AV323" s="4"/>
      <c r="BA323" s="4"/>
    </row>
    <row r="324" spans="8:53" s="1" customFormat="1" ht="53.45" customHeight="1">
      <c r="H324" s="4"/>
      <c r="M324" s="4"/>
      <c r="R324" s="4"/>
      <c r="W324" s="4"/>
      <c r="AB324" s="4"/>
      <c r="AG324" s="4"/>
      <c r="AL324" s="4"/>
      <c r="AQ324" s="4"/>
      <c r="AV324" s="4"/>
      <c r="BA324" s="4"/>
    </row>
    <row r="325" spans="8:53" s="1" customFormat="1" ht="53.45" customHeight="1">
      <c r="H325" s="4"/>
      <c r="M325" s="4"/>
      <c r="R325" s="4"/>
      <c r="W325" s="4"/>
      <c r="AB325" s="4"/>
      <c r="AG325" s="4"/>
      <c r="AL325" s="4"/>
      <c r="AQ325" s="4"/>
      <c r="AV325" s="4"/>
      <c r="BA325" s="4"/>
    </row>
    <row r="326" spans="8:53" s="1" customFormat="1" ht="53.45" customHeight="1">
      <c r="H326" s="4"/>
      <c r="M326" s="4"/>
      <c r="R326" s="4"/>
      <c r="W326" s="4"/>
      <c r="AB326" s="4"/>
      <c r="AG326" s="4"/>
      <c r="AL326" s="4"/>
      <c r="AQ326" s="4"/>
      <c r="AV326" s="4"/>
      <c r="BA326" s="4"/>
    </row>
    <row r="327" spans="8:53" s="1" customFormat="1" ht="53.45" customHeight="1">
      <c r="H327" s="4"/>
      <c r="M327" s="4"/>
      <c r="R327" s="4"/>
      <c r="W327" s="4"/>
      <c r="AB327" s="4"/>
      <c r="AG327" s="4"/>
      <c r="AL327" s="4"/>
      <c r="AQ327" s="4"/>
      <c r="AV327" s="4"/>
      <c r="BA327" s="4"/>
    </row>
    <row r="328" spans="8:53" s="1" customFormat="1" ht="53.45" customHeight="1">
      <c r="H328" s="4"/>
      <c r="M328" s="4"/>
      <c r="R328" s="4"/>
      <c r="W328" s="4"/>
      <c r="AB328" s="4"/>
      <c r="AG328" s="4"/>
      <c r="AL328" s="4"/>
      <c r="AQ328" s="4"/>
      <c r="AV328" s="4"/>
      <c r="BA328" s="4"/>
    </row>
    <row r="329" spans="8:53" s="1" customFormat="1" ht="53.45" customHeight="1">
      <c r="H329" s="4"/>
      <c r="M329" s="4"/>
      <c r="R329" s="4"/>
      <c r="W329" s="4"/>
      <c r="AB329" s="4"/>
      <c r="AG329" s="4"/>
      <c r="AL329" s="4"/>
      <c r="AQ329" s="4"/>
      <c r="AV329" s="4"/>
      <c r="BA329" s="4"/>
    </row>
    <row r="330" spans="8:53" s="1" customFormat="1" ht="53.45" customHeight="1">
      <c r="H330" s="4"/>
      <c r="M330" s="4"/>
      <c r="R330" s="4"/>
      <c r="W330" s="4"/>
      <c r="AB330" s="4"/>
      <c r="AG330" s="4"/>
      <c r="AL330" s="4"/>
      <c r="AQ330" s="4"/>
      <c r="AV330" s="4"/>
      <c r="BA330" s="4"/>
    </row>
    <row r="331" spans="8:53" s="1" customFormat="1" ht="53.45" customHeight="1">
      <c r="H331" s="4"/>
      <c r="M331" s="4"/>
      <c r="R331" s="4"/>
      <c r="W331" s="4"/>
      <c r="AB331" s="4"/>
      <c r="AG331" s="4"/>
      <c r="AL331" s="4"/>
      <c r="AQ331" s="4"/>
      <c r="AV331" s="4"/>
      <c r="BA331" s="4"/>
    </row>
    <row r="332" spans="8:53" s="1" customFormat="1" ht="53.45" customHeight="1">
      <c r="H332" s="4"/>
      <c r="M332" s="4"/>
      <c r="R332" s="4"/>
      <c r="W332" s="4"/>
      <c r="AB332" s="4"/>
      <c r="AG332" s="4"/>
      <c r="AL332" s="4"/>
      <c r="AQ332" s="4"/>
      <c r="AV332" s="4"/>
      <c r="BA332" s="4"/>
    </row>
    <row r="333" spans="8:53" s="1" customFormat="1" ht="53.45" customHeight="1">
      <c r="H333" s="4"/>
      <c r="M333" s="4"/>
      <c r="R333" s="4"/>
      <c r="W333" s="4"/>
      <c r="AB333" s="4"/>
      <c r="AG333" s="4"/>
      <c r="AL333" s="4"/>
      <c r="AQ333" s="4"/>
      <c r="AV333" s="4"/>
      <c r="BA333" s="4"/>
    </row>
    <row r="334" spans="8:53" s="1" customFormat="1" ht="53.45" customHeight="1">
      <c r="H334" s="4"/>
      <c r="M334" s="4"/>
      <c r="R334" s="4"/>
      <c r="W334" s="4"/>
      <c r="AB334" s="4"/>
      <c r="AG334" s="4"/>
      <c r="AL334" s="4"/>
      <c r="AQ334" s="4"/>
      <c r="AV334" s="4"/>
      <c r="BA334" s="4"/>
    </row>
    <row r="335" spans="8:53" s="1" customFormat="1" ht="53.45" customHeight="1">
      <c r="H335" s="4"/>
      <c r="M335" s="4"/>
      <c r="R335" s="4"/>
      <c r="W335" s="4"/>
      <c r="AB335" s="4"/>
      <c r="AG335" s="4"/>
      <c r="AL335" s="4"/>
      <c r="AQ335" s="4"/>
      <c r="AV335" s="4"/>
      <c r="BA335" s="4"/>
    </row>
    <row r="336" spans="8:53" s="1" customFormat="1" ht="53.45" customHeight="1">
      <c r="H336" s="4"/>
      <c r="M336" s="4"/>
      <c r="R336" s="4"/>
      <c r="W336" s="4"/>
      <c r="AB336" s="4"/>
      <c r="AG336" s="4"/>
      <c r="AL336" s="4"/>
      <c r="AQ336" s="4"/>
      <c r="AV336" s="4"/>
      <c r="BA336" s="4"/>
    </row>
    <row r="337" spans="8:53" s="1" customFormat="1" ht="53.45" customHeight="1">
      <c r="H337" s="4"/>
      <c r="M337" s="4"/>
      <c r="R337" s="4"/>
      <c r="W337" s="4"/>
      <c r="AB337" s="4"/>
      <c r="AG337" s="4"/>
      <c r="AL337" s="4"/>
      <c r="AQ337" s="4"/>
      <c r="AV337" s="4"/>
      <c r="BA337" s="4"/>
    </row>
    <row r="338" spans="8:53" s="1" customFormat="1" ht="53.45" customHeight="1">
      <c r="H338" s="4"/>
      <c r="M338" s="4"/>
      <c r="R338" s="4"/>
      <c r="W338" s="4"/>
      <c r="AB338" s="4"/>
      <c r="AG338" s="4"/>
      <c r="AL338" s="4"/>
      <c r="AQ338" s="4"/>
      <c r="AV338" s="4"/>
      <c r="BA338" s="4"/>
    </row>
    <row r="339" spans="8:53" s="1" customFormat="1" ht="53.45" customHeight="1">
      <c r="H339" s="4"/>
      <c r="M339" s="4"/>
      <c r="R339" s="4"/>
      <c r="W339" s="4"/>
      <c r="AB339" s="4"/>
      <c r="AG339" s="4"/>
      <c r="AL339" s="4"/>
      <c r="AQ339" s="4"/>
      <c r="AV339" s="4"/>
      <c r="BA339" s="4"/>
    </row>
    <row r="340" spans="8:53" s="1" customFormat="1" ht="53.45" customHeight="1">
      <c r="H340" s="4"/>
      <c r="M340" s="4"/>
      <c r="R340" s="4"/>
      <c r="W340" s="4"/>
      <c r="AB340" s="4"/>
      <c r="AG340" s="4"/>
      <c r="AL340" s="4"/>
      <c r="AQ340" s="4"/>
      <c r="AV340" s="4"/>
      <c r="BA340" s="4"/>
    </row>
    <row r="341" spans="8:53" s="1" customFormat="1" ht="53.45" customHeight="1">
      <c r="H341" s="4"/>
      <c r="M341" s="4"/>
      <c r="R341" s="4"/>
      <c r="W341" s="4"/>
      <c r="AB341" s="4"/>
      <c r="AG341" s="4"/>
      <c r="AL341" s="4"/>
      <c r="AQ341" s="4"/>
      <c r="AV341" s="4"/>
      <c r="BA341" s="4"/>
    </row>
    <row r="342" spans="8:53" s="1" customFormat="1" ht="53.45" customHeight="1">
      <c r="H342" s="4"/>
      <c r="M342" s="4"/>
      <c r="R342" s="4"/>
      <c r="W342" s="4"/>
      <c r="AB342" s="4"/>
      <c r="AG342" s="4"/>
      <c r="AL342" s="4"/>
      <c r="AQ342" s="4"/>
      <c r="AV342" s="4"/>
      <c r="BA342" s="4"/>
    </row>
    <row r="343" spans="8:53" s="1" customFormat="1" ht="53.45" customHeight="1">
      <c r="H343" s="4"/>
      <c r="M343" s="4"/>
      <c r="R343" s="4"/>
      <c r="W343" s="4"/>
      <c r="AB343" s="4"/>
      <c r="AG343" s="4"/>
      <c r="AL343" s="4"/>
      <c r="AQ343" s="4"/>
      <c r="AV343" s="4"/>
      <c r="BA343" s="4"/>
    </row>
    <row r="344" spans="8:53" s="1" customFormat="1" ht="53.45" customHeight="1">
      <c r="H344" s="4"/>
      <c r="M344" s="4"/>
      <c r="R344" s="4"/>
      <c r="W344" s="4"/>
      <c r="AB344" s="4"/>
      <c r="AG344" s="4"/>
      <c r="AL344" s="4"/>
      <c r="AQ344" s="4"/>
      <c r="AV344" s="4"/>
      <c r="BA344" s="4"/>
    </row>
    <row r="345" spans="8:53" s="1" customFormat="1" ht="53.45" customHeight="1">
      <c r="H345" s="4"/>
      <c r="M345" s="4"/>
      <c r="R345" s="4"/>
      <c r="W345" s="4"/>
      <c r="AB345" s="4"/>
      <c r="AG345" s="4"/>
      <c r="AL345" s="4"/>
      <c r="AQ345" s="4"/>
      <c r="AV345" s="4"/>
      <c r="BA345" s="4"/>
    </row>
    <row r="346" spans="8:53" s="1" customFormat="1" ht="53.45" customHeight="1">
      <c r="H346" s="4"/>
      <c r="M346" s="4"/>
      <c r="R346" s="4"/>
      <c r="W346" s="4"/>
      <c r="AB346" s="4"/>
      <c r="AG346" s="4"/>
      <c r="AL346" s="4"/>
      <c r="AQ346" s="4"/>
      <c r="AV346" s="4"/>
      <c r="BA346" s="4"/>
    </row>
    <row r="347" spans="8:53" s="1" customFormat="1" ht="53.45" customHeight="1">
      <c r="H347" s="4"/>
      <c r="M347" s="4"/>
      <c r="R347" s="4"/>
      <c r="W347" s="4"/>
      <c r="AB347" s="4"/>
      <c r="AG347" s="4"/>
      <c r="AL347" s="4"/>
      <c r="AQ347" s="4"/>
      <c r="AV347" s="4"/>
      <c r="BA347" s="4"/>
    </row>
    <row r="348" spans="8:53" s="1" customFormat="1" ht="53.45" customHeight="1">
      <c r="H348" s="4"/>
      <c r="M348" s="4"/>
      <c r="R348" s="4"/>
      <c r="W348" s="4"/>
      <c r="AB348" s="4"/>
      <c r="AG348" s="4"/>
      <c r="AL348" s="4"/>
      <c r="AQ348" s="4"/>
      <c r="AV348" s="4"/>
      <c r="BA348" s="4"/>
    </row>
    <row r="349" spans="8:53" s="1" customFormat="1" ht="53.45" customHeight="1">
      <c r="H349" s="4"/>
      <c r="M349" s="4"/>
      <c r="R349" s="4"/>
      <c r="W349" s="4"/>
      <c r="AB349" s="4"/>
      <c r="AG349" s="4"/>
      <c r="AL349" s="4"/>
      <c r="AQ349" s="4"/>
      <c r="AV349" s="4"/>
      <c r="BA349" s="4"/>
    </row>
    <row r="350" spans="8:53" s="1" customFormat="1" ht="53.45" customHeight="1">
      <c r="H350" s="4"/>
      <c r="M350" s="4"/>
      <c r="R350" s="4"/>
      <c r="W350" s="4"/>
      <c r="AB350" s="4"/>
      <c r="AG350" s="4"/>
      <c r="AL350" s="4"/>
      <c r="AQ350" s="4"/>
      <c r="AV350" s="4"/>
      <c r="BA350" s="4"/>
    </row>
    <row r="351" spans="8:53" s="1" customFormat="1" ht="53.45" customHeight="1">
      <c r="H351" s="4"/>
      <c r="M351" s="4"/>
      <c r="R351" s="4"/>
      <c r="W351" s="4"/>
      <c r="AB351" s="4"/>
      <c r="AG351" s="4"/>
      <c r="AL351" s="4"/>
      <c r="AQ351" s="4"/>
      <c r="AV351" s="4"/>
      <c r="BA351" s="4"/>
    </row>
    <row r="352" spans="8:53" s="1" customFormat="1" ht="53.45" customHeight="1">
      <c r="H352" s="4"/>
      <c r="M352" s="4"/>
      <c r="R352" s="4"/>
      <c r="W352" s="4"/>
      <c r="AB352" s="4"/>
      <c r="AG352" s="4"/>
      <c r="AL352" s="4"/>
      <c r="AQ352" s="4"/>
      <c r="AV352" s="4"/>
      <c r="BA352" s="4"/>
    </row>
    <row r="353" spans="8:53" s="1" customFormat="1" ht="53.45" customHeight="1">
      <c r="H353" s="4"/>
      <c r="M353" s="4"/>
      <c r="R353" s="4"/>
      <c r="W353" s="4"/>
      <c r="AB353" s="4"/>
      <c r="AG353" s="4"/>
      <c r="AL353" s="4"/>
      <c r="AQ353" s="4"/>
      <c r="AV353" s="4"/>
      <c r="BA353" s="4"/>
    </row>
    <row r="354" spans="8:53" s="1" customFormat="1" ht="53.45" customHeight="1">
      <c r="H354" s="4"/>
      <c r="M354" s="4"/>
      <c r="R354" s="4"/>
      <c r="W354" s="4"/>
      <c r="AB354" s="4"/>
      <c r="AG354" s="4"/>
      <c r="AL354" s="4"/>
      <c r="AQ354" s="4"/>
      <c r="AV354" s="4"/>
      <c r="BA354" s="4"/>
    </row>
    <row r="355" spans="8:53" s="1" customFormat="1" ht="53.45" customHeight="1">
      <c r="H355" s="4"/>
      <c r="M355" s="4"/>
      <c r="R355" s="4"/>
      <c r="W355" s="4"/>
      <c r="AB355" s="4"/>
      <c r="AG355" s="4"/>
      <c r="AL355" s="4"/>
      <c r="AQ355" s="4"/>
      <c r="AV355" s="4"/>
      <c r="BA355" s="4"/>
    </row>
    <row r="356" spans="8:53" s="1" customFormat="1" ht="53.45" customHeight="1">
      <c r="H356" s="4"/>
      <c r="M356" s="4"/>
      <c r="R356" s="4"/>
      <c r="W356" s="4"/>
      <c r="AB356" s="4"/>
      <c r="AG356" s="4"/>
      <c r="AL356" s="4"/>
      <c r="AQ356" s="4"/>
      <c r="AV356" s="4"/>
      <c r="BA356" s="4"/>
    </row>
    <row r="357" spans="8:53" s="1" customFormat="1" ht="53.45" customHeight="1">
      <c r="H357" s="4"/>
      <c r="M357" s="4"/>
      <c r="R357" s="4"/>
      <c r="W357" s="4"/>
      <c r="AB357" s="4"/>
      <c r="AG357" s="4"/>
      <c r="AL357" s="4"/>
      <c r="AQ357" s="4"/>
      <c r="AV357" s="4"/>
      <c r="BA357" s="4"/>
    </row>
    <row r="358" spans="8:53" s="1" customFormat="1" ht="53.45" customHeight="1">
      <c r="H358" s="4"/>
      <c r="M358" s="4"/>
      <c r="R358" s="4"/>
      <c r="W358" s="4"/>
      <c r="AB358" s="4"/>
      <c r="AG358" s="4"/>
      <c r="AL358" s="4"/>
      <c r="AQ358" s="4"/>
      <c r="AV358" s="4"/>
      <c r="BA358" s="4"/>
    </row>
    <row r="359" spans="8:53" s="1" customFormat="1" ht="53.45" customHeight="1">
      <c r="H359" s="4"/>
      <c r="M359" s="4"/>
      <c r="R359" s="4"/>
      <c r="W359" s="4"/>
      <c r="AB359" s="4"/>
      <c r="AG359" s="4"/>
      <c r="AL359" s="4"/>
      <c r="AQ359" s="4"/>
      <c r="AV359" s="4"/>
      <c r="BA359" s="4"/>
    </row>
    <row r="360" spans="8:53" s="1" customFormat="1" ht="53.45" customHeight="1">
      <c r="H360" s="4"/>
      <c r="M360" s="4"/>
      <c r="R360" s="4"/>
      <c r="W360" s="4"/>
      <c r="AB360" s="4"/>
      <c r="AG360" s="4"/>
      <c r="AL360" s="4"/>
      <c r="AQ360" s="4"/>
      <c r="AV360" s="4"/>
      <c r="BA360" s="4"/>
    </row>
    <row r="361" spans="8:53" s="1" customFormat="1" ht="53.45" customHeight="1">
      <c r="H361" s="4"/>
      <c r="M361" s="4"/>
      <c r="R361" s="4"/>
      <c r="W361" s="4"/>
      <c r="AB361" s="4"/>
      <c r="AG361" s="4"/>
      <c r="AL361" s="4"/>
      <c r="AQ361" s="4"/>
      <c r="AV361" s="4"/>
      <c r="BA361" s="4"/>
    </row>
    <row r="362" spans="8:53" s="1" customFormat="1" ht="53.45" customHeight="1">
      <c r="H362" s="4"/>
      <c r="M362" s="4"/>
      <c r="R362" s="4"/>
      <c r="W362" s="4"/>
      <c r="AB362" s="4"/>
      <c r="AG362" s="4"/>
      <c r="AL362" s="4"/>
      <c r="AQ362" s="4"/>
      <c r="AV362" s="4"/>
      <c r="BA362" s="4"/>
    </row>
    <row r="363" spans="8:53" s="1" customFormat="1" ht="53.45" customHeight="1">
      <c r="H363" s="4"/>
      <c r="M363" s="4"/>
      <c r="R363" s="4"/>
      <c r="W363" s="4"/>
      <c r="AB363" s="4"/>
      <c r="AG363" s="4"/>
      <c r="AL363" s="4"/>
      <c r="AQ363" s="4"/>
      <c r="AV363" s="4"/>
      <c r="BA363" s="4"/>
    </row>
    <row r="364" spans="8:53" s="1" customFormat="1" ht="53.45" customHeight="1">
      <c r="H364" s="4"/>
      <c r="M364" s="4"/>
      <c r="R364" s="4"/>
      <c r="W364" s="4"/>
      <c r="AB364" s="4"/>
      <c r="AG364" s="4"/>
      <c r="AL364" s="4"/>
      <c r="AQ364" s="4"/>
      <c r="AV364" s="4"/>
      <c r="BA364" s="4"/>
    </row>
    <row r="365" spans="8:53" s="1" customFormat="1" ht="53.45" customHeight="1">
      <c r="H365" s="4"/>
      <c r="M365" s="4"/>
      <c r="R365" s="4"/>
      <c r="W365" s="4"/>
      <c r="AB365" s="4"/>
      <c r="AG365" s="4"/>
      <c r="AL365" s="4"/>
      <c r="AQ365" s="4"/>
      <c r="AV365" s="4"/>
      <c r="BA365" s="4"/>
    </row>
    <row r="366" spans="8:53" s="1" customFormat="1" ht="53.45" customHeight="1">
      <c r="H366" s="4"/>
      <c r="M366" s="4"/>
      <c r="R366" s="4"/>
      <c r="W366" s="4"/>
      <c r="AB366" s="4"/>
      <c r="AG366" s="4"/>
      <c r="AL366" s="4"/>
      <c r="AQ366" s="4"/>
      <c r="AV366" s="4"/>
      <c r="BA366" s="4"/>
    </row>
    <row r="367" spans="8:53" s="1" customFormat="1" ht="53.45" customHeight="1">
      <c r="H367" s="4"/>
      <c r="M367" s="4"/>
      <c r="R367" s="4"/>
      <c r="W367" s="4"/>
      <c r="AB367" s="4"/>
      <c r="AG367" s="4"/>
      <c r="AL367" s="4"/>
      <c r="AQ367" s="4"/>
      <c r="AV367" s="4"/>
      <c r="BA367" s="4"/>
    </row>
    <row r="368" spans="8:53" s="1" customFormat="1" ht="53.45" customHeight="1">
      <c r="H368" s="4"/>
      <c r="M368" s="4"/>
      <c r="R368" s="4"/>
      <c r="W368" s="4"/>
      <c r="AB368" s="4"/>
      <c r="AG368" s="4"/>
      <c r="AL368" s="4"/>
      <c r="AQ368" s="4"/>
      <c r="AV368" s="4"/>
      <c r="BA368" s="4"/>
    </row>
    <row r="369" spans="8:53" s="1" customFormat="1" ht="53.45" customHeight="1">
      <c r="H369" s="4"/>
      <c r="M369" s="4"/>
      <c r="R369" s="4"/>
      <c r="W369" s="4"/>
      <c r="AB369" s="4"/>
      <c r="AG369" s="4"/>
      <c r="AL369" s="4"/>
      <c r="AQ369" s="4"/>
      <c r="AV369" s="4"/>
      <c r="BA369" s="4"/>
    </row>
    <row r="370" spans="8:53" s="1" customFormat="1" ht="53.45" customHeight="1">
      <c r="H370" s="4"/>
      <c r="M370" s="4"/>
      <c r="R370" s="4"/>
      <c r="W370" s="4"/>
      <c r="AB370" s="4"/>
      <c r="AG370" s="4"/>
      <c r="AL370" s="4"/>
      <c r="AQ370" s="4"/>
      <c r="AV370" s="4"/>
      <c r="BA370" s="4"/>
    </row>
    <row r="371" spans="8:53" s="1" customFormat="1" ht="53.45" customHeight="1">
      <c r="H371" s="4"/>
      <c r="M371" s="4"/>
      <c r="R371" s="4"/>
      <c r="W371" s="4"/>
      <c r="AB371" s="4"/>
      <c r="AG371" s="4"/>
      <c r="AL371" s="4"/>
      <c r="AQ371" s="4"/>
      <c r="AV371" s="4"/>
      <c r="BA371" s="4"/>
    </row>
    <row r="372" spans="8:53" s="1" customFormat="1" ht="53.45" customHeight="1">
      <c r="H372" s="4"/>
      <c r="M372" s="4"/>
      <c r="R372" s="4"/>
      <c r="W372" s="4"/>
      <c r="AB372" s="4"/>
      <c r="AG372" s="4"/>
      <c r="AL372" s="4"/>
      <c r="AQ372" s="4"/>
      <c r="AV372" s="4"/>
      <c r="BA372" s="4"/>
    </row>
    <row r="373" spans="8:53" s="1" customFormat="1" ht="53.45" customHeight="1">
      <c r="H373" s="4"/>
      <c r="M373" s="4"/>
      <c r="R373" s="4"/>
      <c r="W373" s="4"/>
      <c r="AB373" s="4"/>
      <c r="AG373" s="4"/>
      <c r="AL373" s="4"/>
      <c r="AQ373" s="4"/>
      <c r="AV373" s="4"/>
      <c r="BA373" s="4"/>
    </row>
    <row r="374" spans="8:53" s="1" customFormat="1" ht="53.45" customHeight="1">
      <c r="H374" s="4"/>
      <c r="M374" s="4"/>
      <c r="R374" s="4"/>
      <c r="W374" s="4"/>
      <c r="AB374" s="4"/>
      <c r="AG374" s="4"/>
      <c r="AL374" s="4"/>
      <c r="AQ374" s="4"/>
      <c r="AV374" s="4"/>
      <c r="BA374" s="4"/>
    </row>
    <row r="375" spans="8:53" s="1" customFormat="1" ht="53.45" customHeight="1">
      <c r="H375" s="4"/>
      <c r="M375" s="4"/>
      <c r="R375" s="4"/>
      <c r="W375" s="4"/>
      <c r="AB375" s="4"/>
      <c r="AG375" s="4"/>
      <c r="AL375" s="4"/>
      <c r="AQ375" s="4"/>
      <c r="AV375" s="4"/>
      <c r="BA375" s="4"/>
    </row>
    <row r="376" spans="8:53" s="1" customFormat="1" ht="53.45" customHeight="1">
      <c r="H376" s="4"/>
      <c r="M376" s="4"/>
      <c r="R376" s="4"/>
      <c r="W376" s="4"/>
      <c r="AB376" s="4"/>
      <c r="AG376" s="4"/>
      <c r="AL376" s="4"/>
      <c r="AQ376" s="4"/>
      <c r="AV376" s="4"/>
      <c r="BA376" s="4"/>
    </row>
    <row r="377" spans="8:53" s="1" customFormat="1" ht="53.45" customHeight="1">
      <c r="H377" s="4"/>
      <c r="M377" s="4"/>
      <c r="R377" s="4"/>
      <c r="W377" s="4"/>
      <c r="AB377" s="4"/>
      <c r="AG377" s="4"/>
      <c r="AL377" s="4"/>
      <c r="AQ377" s="4"/>
      <c r="AV377" s="4"/>
      <c r="BA377" s="4"/>
    </row>
    <row r="378" spans="8:53" s="1" customFormat="1" ht="53.45" customHeight="1">
      <c r="H378" s="4"/>
      <c r="M378" s="4"/>
      <c r="R378" s="4"/>
      <c r="W378" s="4"/>
      <c r="AB378" s="4"/>
      <c r="AG378" s="4"/>
      <c r="AL378" s="4"/>
      <c r="AQ378" s="4"/>
      <c r="AV378" s="4"/>
      <c r="BA378" s="4"/>
    </row>
    <row r="379" spans="8:53" s="1" customFormat="1" ht="53.45" customHeight="1">
      <c r="H379" s="4"/>
      <c r="M379" s="4"/>
      <c r="R379" s="4"/>
      <c r="W379" s="4"/>
      <c r="AB379" s="4"/>
      <c r="AG379" s="4"/>
      <c r="AL379" s="4"/>
      <c r="AQ379" s="4"/>
      <c r="AV379" s="4"/>
      <c r="BA379" s="4"/>
    </row>
    <row r="380" spans="8:53" s="1" customFormat="1" ht="53.45" customHeight="1">
      <c r="H380" s="4"/>
      <c r="M380" s="4"/>
      <c r="R380" s="4"/>
      <c r="W380" s="4"/>
      <c r="AB380" s="4"/>
      <c r="AG380" s="4"/>
      <c r="AL380" s="4"/>
      <c r="AQ380" s="4"/>
      <c r="AV380" s="4"/>
      <c r="BA380" s="4"/>
    </row>
    <row r="381" spans="8:53" s="1" customFormat="1" ht="53.45" customHeight="1">
      <c r="H381" s="4"/>
      <c r="M381" s="4"/>
      <c r="R381" s="4"/>
      <c r="W381" s="4"/>
      <c r="AB381" s="4"/>
      <c r="AG381" s="4"/>
      <c r="AL381" s="4"/>
      <c r="AQ381" s="4"/>
      <c r="AV381" s="4"/>
      <c r="BA381" s="4"/>
    </row>
    <row r="382" spans="8:53" s="1" customFormat="1" ht="53.45" customHeight="1">
      <c r="H382" s="4"/>
      <c r="M382" s="4"/>
      <c r="R382" s="4"/>
      <c r="W382" s="4"/>
      <c r="AB382" s="4"/>
      <c r="AG382" s="4"/>
      <c r="AL382" s="4"/>
      <c r="AQ382" s="4"/>
      <c r="AV382" s="4"/>
      <c r="BA382" s="4"/>
    </row>
    <row r="383" spans="8:53" s="1" customFormat="1" ht="53.45" customHeight="1">
      <c r="H383" s="4"/>
      <c r="M383" s="4"/>
      <c r="R383" s="4"/>
      <c r="W383" s="4"/>
      <c r="AB383" s="4"/>
      <c r="AG383" s="4"/>
      <c r="AL383" s="4"/>
      <c r="AQ383" s="4"/>
      <c r="AV383" s="4"/>
      <c r="BA383" s="4"/>
    </row>
    <row r="384" spans="8:53" s="1" customFormat="1" ht="53.45" customHeight="1">
      <c r="H384" s="4"/>
      <c r="M384" s="4"/>
      <c r="R384" s="4"/>
      <c r="W384" s="4"/>
      <c r="AB384" s="4"/>
      <c r="AG384" s="4"/>
      <c r="AL384" s="4"/>
      <c r="AQ384" s="4"/>
      <c r="AV384" s="4"/>
      <c r="BA384" s="4"/>
    </row>
    <row r="385" spans="8:53" s="1" customFormat="1" ht="53.45" customHeight="1">
      <c r="H385" s="4"/>
      <c r="M385" s="4"/>
      <c r="R385" s="4"/>
      <c r="W385" s="4"/>
      <c r="AB385" s="4"/>
      <c r="AG385" s="4"/>
      <c r="AL385" s="4"/>
      <c r="AQ385" s="4"/>
      <c r="AV385" s="4"/>
      <c r="BA385" s="4"/>
    </row>
    <row r="386" spans="8:53" s="1" customFormat="1" ht="53.45" customHeight="1">
      <c r="H386" s="4"/>
      <c r="M386" s="4"/>
      <c r="R386" s="4"/>
      <c r="W386" s="4"/>
      <c r="AB386" s="4"/>
      <c r="AG386" s="4"/>
      <c r="AL386" s="4"/>
      <c r="AQ386" s="4"/>
      <c r="AV386" s="4"/>
      <c r="BA386" s="4"/>
    </row>
    <row r="387" spans="8:53" s="1" customFormat="1" ht="53.45" customHeight="1">
      <c r="H387" s="4"/>
      <c r="M387" s="4"/>
      <c r="R387" s="4"/>
      <c r="W387" s="4"/>
      <c r="AB387" s="4"/>
      <c r="AG387" s="4"/>
      <c r="AL387" s="4"/>
      <c r="AQ387" s="4"/>
      <c r="AV387" s="4"/>
      <c r="BA387" s="4"/>
    </row>
    <row r="388" spans="8:53" s="1" customFormat="1" ht="53.45" customHeight="1">
      <c r="H388" s="4"/>
      <c r="M388" s="4"/>
      <c r="R388" s="4"/>
      <c r="W388" s="4"/>
      <c r="AB388" s="4"/>
      <c r="AG388" s="4"/>
      <c r="AL388" s="4"/>
      <c r="AQ388" s="4"/>
      <c r="AV388" s="4"/>
      <c r="BA388" s="4"/>
    </row>
    <row r="389" spans="8:53" s="1" customFormat="1" ht="53.45" customHeight="1">
      <c r="H389" s="4"/>
      <c r="M389" s="4"/>
      <c r="R389" s="4"/>
      <c r="W389" s="4"/>
      <c r="AB389" s="4"/>
      <c r="AG389" s="4"/>
      <c r="AL389" s="4"/>
      <c r="AQ389" s="4"/>
      <c r="AV389" s="4"/>
      <c r="BA389" s="4"/>
    </row>
    <row r="390" spans="8:53" s="1" customFormat="1" ht="53.45" customHeight="1">
      <c r="H390" s="4"/>
      <c r="M390" s="4"/>
      <c r="R390" s="4"/>
      <c r="W390" s="4"/>
      <c r="AB390" s="4"/>
      <c r="AG390" s="4"/>
      <c r="AL390" s="4"/>
      <c r="AQ390" s="4"/>
      <c r="AV390" s="4"/>
      <c r="BA390" s="4"/>
    </row>
    <row r="391" spans="8:53" s="1" customFormat="1" ht="53.45" customHeight="1">
      <c r="H391" s="4"/>
      <c r="M391" s="4"/>
      <c r="R391" s="4"/>
      <c r="W391" s="4"/>
      <c r="AB391" s="4"/>
      <c r="AG391" s="4"/>
      <c r="AL391" s="4"/>
      <c r="AQ391" s="4"/>
      <c r="AV391" s="4"/>
      <c r="BA391" s="4"/>
    </row>
    <row r="392" spans="8:53" s="1" customFormat="1" ht="53.45" customHeight="1">
      <c r="H392" s="4"/>
      <c r="M392" s="4"/>
      <c r="R392" s="4"/>
      <c r="W392" s="4"/>
      <c r="AB392" s="4"/>
      <c r="AG392" s="4"/>
      <c r="AL392" s="4"/>
      <c r="AQ392" s="4"/>
      <c r="AV392" s="4"/>
      <c r="BA392" s="4"/>
    </row>
    <row r="393" spans="8:53" s="1" customFormat="1" ht="53.45" customHeight="1">
      <c r="H393" s="4"/>
      <c r="M393" s="4"/>
      <c r="R393" s="4"/>
      <c r="W393" s="4"/>
      <c r="AB393" s="4"/>
      <c r="AG393" s="4"/>
      <c r="AL393" s="4"/>
      <c r="AQ393" s="4"/>
      <c r="AV393" s="4"/>
      <c r="BA393" s="4"/>
    </row>
    <row r="394" spans="8:53" s="1" customFormat="1" ht="53.45" customHeight="1">
      <c r="H394" s="4"/>
      <c r="M394" s="4"/>
      <c r="R394" s="4"/>
      <c r="W394" s="4"/>
      <c r="AB394" s="4"/>
      <c r="AG394" s="4"/>
      <c r="AL394" s="4"/>
      <c r="AQ394" s="4"/>
      <c r="AV394" s="4"/>
      <c r="BA394" s="4"/>
    </row>
    <row r="395" spans="8:53" s="1" customFormat="1" ht="53.45" customHeight="1">
      <c r="H395" s="4"/>
      <c r="M395" s="4"/>
      <c r="R395" s="4"/>
      <c r="W395" s="4"/>
      <c r="AB395" s="4"/>
      <c r="AG395" s="4"/>
      <c r="AL395" s="4"/>
      <c r="AQ395" s="4"/>
      <c r="AV395" s="4"/>
      <c r="BA395" s="4"/>
    </row>
    <row r="396" spans="8:53" s="1" customFormat="1" ht="53.45" customHeight="1">
      <c r="H396" s="4"/>
      <c r="M396" s="4"/>
      <c r="R396" s="4"/>
      <c r="W396" s="4"/>
      <c r="AB396" s="4"/>
      <c r="AG396" s="4"/>
      <c r="AL396" s="4"/>
      <c r="AQ396" s="4"/>
      <c r="AV396" s="4"/>
      <c r="BA396" s="4"/>
    </row>
    <row r="397" spans="8:53" s="1" customFormat="1" ht="53.45" customHeight="1">
      <c r="H397" s="4"/>
      <c r="M397" s="4"/>
      <c r="R397" s="4"/>
      <c r="W397" s="4"/>
      <c r="AB397" s="4"/>
      <c r="AG397" s="4"/>
      <c r="AL397" s="4"/>
      <c r="AQ397" s="4"/>
      <c r="AV397" s="4"/>
      <c r="BA397" s="4"/>
    </row>
    <row r="398" spans="8:53" s="1" customFormat="1" ht="53.45" customHeight="1">
      <c r="H398" s="4"/>
      <c r="M398" s="4"/>
      <c r="R398" s="4"/>
      <c r="W398" s="4"/>
      <c r="AB398" s="4"/>
      <c r="AG398" s="4"/>
      <c r="AL398" s="4"/>
      <c r="AQ398" s="4"/>
      <c r="AV398" s="4"/>
      <c r="BA398" s="4"/>
    </row>
    <row r="399" spans="8:53" s="1" customFormat="1" ht="53.45" customHeight="1">
      <c r="H399" s="4"/>
      <c r="M399" s="4"/>
      <c r="R399" s="4"/>
      <c r="W399" s="4"/>
      <c r="AB399" s="4"/>
      <c r="AG399" s="4"/>
      <c r="AL399" s="4"/>
      <c r="AQ399" s="4"/>
      <c r="AV399" s="4"/>
      <c r="BA399" s="4"/>
    </row>
    <row r="400" spans="8:53" s="1" customFormat="1" ht="53.45" customHeight="1">
      <c r="H400" s="4"/>
      <c r="M400" s="4"/>
      <c r="R400" s="4"/>
      <c r="W400" s="4"/>
      <c r="AB400" s="4"/>
      <c r="AG400" s="4"/>
      <c r="AL400" s="4"/>
      <c r="AQ400" s="4"/>
      <c r="AV400" s="4"/>
      <c r="BA400" s="4"/>
    </row>
    <row r="401" spans="8:53" s="1" customFormat="1" ht="53.45" customHeight="1">
      <c r="H401" s="4"/>
      <c r="M401" s="4"/>
      <c r="R401" s="4"/>
      <c r="W401" s="4"/>
      <c r="AB401" s="4"/>
      <c r="AG401" s="4"/>
      <c r="AL401" s="4"/>
      <c r="AQ401" s="4"/>
      <c r="AV401" s="4"/>
      <c r="BA401" s="4"/>
    </row>
    <row r="402" spans="8:53" s="1" customFormat="1" ht="53.45" customHeight="1">
      <c r="H402" s="4"/>
      <c r="M402" s="4"/>
      <c r="R402" s="4"/>
      <c r="W402" s="4"/>
      <c r="AB402" s="4"/>
      <c r="AG402" s="4"/>
      <c r="AL402" s="4"/>
      <c r="AQ402" s="4"/>
      <c r="AV402" s="4"/>
      <c r="BA402" s="4"/>
    </row>
    <row r="403" spans="8:53" s="1" customFormat="1" ht="53.45" customHeight="1">
      <c r="H403" s="4"/>
      <c r="M403" s="4"/>
      <c r="R403" s="4"/>
      <c r="W403" s="4"/>
      <c r="AB403" s="4"/>
      <c r="AG403" s="4"/>
      <c r="AL403" s="4"/>
      <c r="AQ403" s="4"/>
      <c r="AV403" s="4"/>
      <c r="BA403" s="4"/>
    </row>
    <row r="404" spans="8:53" s="1" customFormat="1" ht="53.45" customHeight="1">
      <c r="H404" s="4"/>
      <c r="M404" s="4"/>
      <c r="R404" s="4"/>
      <c r="W404" s="4"/>
      <c r="AB404" s="4"/>
      <c r="AG404" s="4"/>
      <c r="AL404" s="4"/>
      <c r="AQ404" s="4"/>
      <c r="AV404" s="4"/>
      <c r="BA404" s="4"/>
    </row>
    <row r="405" spans="8:53" s="1" customFormat="1" ht="53.45" customHeight="1">
      <c r="H405" s="4"/>
      <c r="M405" s="4"/>
      <c r="R405" s="4"/>
      <c r="W405" s="4"/>
      <c r="AB405" s="4"/>
      <c r="AG405" s="4"/>
      <c r="AL405" s="4"/>
      <c r="AQ405" s="4"/>
      <c r="AV405" s="4"/>
      <c r="BA405" s="4"/>
    </row>
    <row r="406" spans="8:53" s="1" customFormat="1" ht="53.45" customHeight="1">
      <c r="H406" s="4"/>
      <c r="M406" s="4"/>
      <c r="R406" s="4"/>
      <c r="W406" s="4"/>
      <c r="AB406" s="4"/>
      <c r="AG406" s="4"/>
      <c r="AL406" s="4"/>
      <c r="AQ406" s="4"/>
      <c r="AV406" s="4"/>
      <c r="BA406" s="4"/>
    </row>
    <row r="407" spans="8:53" s="1" customFormat="1" ht="53.45" customHeight="1">
      <c r="H407" s="4"/>
      <c r="M407" s="4"/>
      <c r="R407" s="4"/>
      <c r="W407" s="4"/>
      <c r="AB407" s="4"/>
      <c r="AG407" s="4"/>
      <c r="AL407" s="4"/>
      <c r="AQ407" s="4"/>
      <c r="AV407" s="4"/>
      <c r="BA407" s="4"/>
    </row>
    <row r="408" spans="8:53" s="1" customFormat="1" ht="53.45" customHeight="1">
      <c r="H408" s="4"/>
      <c r="M408" s="4"/>
      <c r="R408" s="4"/>
      <c r="W408" s="4"/>
      <c r="AB408" s="4"/>
      <c r="AG408" s="4"/>
      <c r="AL408" s="4"/>
      <c r="AQ408" s="4"/>
      <c r="AV408" s="4"/>
      <c r="BA408" s="4"/>
    </row>
    <row r="409" spans="8:53" s="1" customFormat="1" ht="53.45" customHeight="1">
      <c r="H409" s="4"/>
      <c r="M409" s="4"/>
      <c r="R409" s="4"/>
      <c r="W409" s="4"/>
      <c r="AB409" s="4"/>
      <c r="AG409" s="4"/>
      <c r="AL409" s="4"/>
      <c r="AQ409" s="4"/>
      <c r="AV409" s="4"/>
      <c r="BA409" s="4"/>
    </row>
    <row r="410" spans="8:53" s="1" customFormat="1" ht="53.45" customHeight="1">
      <c r="H410" s="4"/>
      <c r="M410" s="4"/>
      <c r="R410" s="4"/>
      <c r="W410" s="4"/>
      <c r="AB410" s="4"/>
      <c r="AG410" s="4"/>
      <c r="AL410" s="4"/>
      <c r="AQ410" s="4"/>
      <c r="AV410" s="4"/>
      <c r="BA410" s="4"/>
    </row>
    <row r="411" spans="8:53" s="1" customFormat="1" ht="53.45" customHeight="1">
      <c r="H411" s="4"/>
      <c r="M411" s="4"/>
      <c r="R411" s="4"/>
      <c r="W411" s="4"/>
      <c r="AB411" s="4"/>
      <c r="AG411" s="4"/>
      <c r="AL411" s="4"/>
      <c r="AQ411" s="4"/>
      <c r="AV411" s="4"/>
      <c r="BA411" s="4"/>
    </row>
    <row r="412" spans="8:53" s="1" customFormat="1" ht="53.45" customHeight="1">
      <c r="H412" s="4"/>
      <c r="M412" s="4"/>
      <c r="R412" s="4"/>
      <c r="W412" s="4"/>
      <c r="AB412" s="4"/>
      <c r="AG412" s="4"/>
      <c r="AL412" s="4"/>
      <c r="AQ412" s="4"/>
      <c r="AV412" s="4"/>
      <c r="BA412" s="4"/>
    </row>
    <row r="413" spans="8:53" s="1" customFormat="1" ht="53.45" customHeight="1">
      <c r="H413" s="4"/>
      <c r="M413" s="4"/>
      <c r="R413" s="4"/>
      <c r="W413" s="4"/>
      <c r="AB413" s="4"/>
      <c r="AG413" s="4"/>
      <c r="AL413" s="4"/>
      <c r="AQ413" s="4"/>
      <c r="AV413" s="4"/>
      <c r="BA413" s="4"/>
    </row>
    <row r="414" spans="8:53" s="1" customFormat="1" ht="53.45" customHeight="1">
      <c r="H414" s="4"/>
      <c r="M414" s="4"/>
      <c r="R414" s="4"/>
      <c r="W414" s="4"/>
      <c r="AB414" s="4"/>
      <c r="AG414" s="4"/>
      <c r="AL414" s="4"/>
      <c r="AQ414" s="4"/>
      <c r="AV414" s="4"/>
      <c r="BA414" s="4"/>
    </row>
    <row r="415" spans="8:53" s="1" customFormat="1" ht="53.45" customHeight="1">
      <c r="H415" s="4"/>
      <c r="M415" s="4"/>
      <c r="R415" s="4"/>
      <c r="W415" s="4"/>
      <c r="AB415" s="4"/>
      <c r="AG415" s="4"/>
      <c r="AL415" s="4"/>
      <c r="AQ415" s="4"/>
      <c r="AV415" s="4"/>
      <c r="BA415" s="4"/>
    </row>
    <row r="416" spans="8:53" s="1" customFormat="1" ht="53.45" customHeight="1">
      <c r="H416" s="4"/>
      <c r="M416" s="4"/>
      <c r="R416" s="4"/>
      <c r="W416" s="4"/>
      <c r="AB416" s="4"/>
      <c r="AG416" s="4"/>
      <c r="AL416" s="4"/>
      <c r="AQ416" s="4"/>
      <c r="AV416" s="4"/>
      <c r="BA416" s="4"/>
    </row>
    <row r="417" spans="8:53" s="1" customFormat="1" ht="53.45" customHeight="1">
      <c r="H417" s="4"/>
      <c r="M417" s="4"/>
      <c r="R417" s="4"/>
      <c r="W417" s="4"/>
      <c r="AB417" s="4"/>
      <c r="AG417" s="4"/>
      <c r="AL417" s="4"/>
      <c r="AQ417" s="4"/>
      <c r="AV417" s="4"/>
      <c r="BA417" s="4"/>
    </row>
    <row r="418" spans="8:53" s="1" customFormat="1" ht="53.45" customHeight="1">
      <c r="H418" s="4"/>
      <c r="M418" s="4"/>
      <c r="R418" s="4"/>
      <c r="W418" s="4"/>
      <c r="AB418" s="4"/>
      <c r="AG418" s="4"/>
      <c r="AL418" s="4"/>
      <c r="AQ418" s="4"/>
      <c r="AV418" s="4"/>
      <c r="BA418" s="4"/>
    </row>
    <row r="419" spans="8:53" s="1" customFormat="1" ht="53.45" customHeight="1">
      <c r="H419" s="4"/>
      <c r="M419" s="4"/>
      <c r="R419" s="4"/>
      <c r="W419" s="4"/>
      <c r="AB419" s="4"/>
      <c r="AG419" s="4"/>
      <c r="AL419" s="4"/>
      <c r="AQ419" s="4"/>
      <c r="AV419" s="4"/>
      <c r="BA419" s="4"/>
    </row>
    <row r="420" spans="8:53" s="1" customFormat="1" ht="53.45" customHeight="1">
      <c r="H420" s="4"/>
      <c r="M420" s="4"/>
      <c r="R420" s="4"/>
      <c r="W420" s="4"/>
      <c r="AB420" s="4"/>
      <c r="AG420" s="4"/>
      <c r="AL420" s="4"/>
      <c r="AQ420" s="4"/>
      <c r="AV420" s="4"/>
      <c r="BA420" s="4"/>
    </row>
    <row r="421" spans="8:53" s="1" customFormat="1" ht="53.45" customHeight="1">
      <c r="H421" s="4"/>
      <c r="M421" s="4"/>
      <c r="R421" s="4"/>
      <c r="W421" s="4"/>
      <c r="AB421" s="4"/>
      <c r="AG421" s="4"/>
      <c r="AL421" s="4"/>
      <c r="AQ421" s="4"/>
      <c r="AV421" s="4"/>
      <c r="BA421" s="4"/>
    </row>
    <row r="422" spans="8:53" s="1" customFormat="1" ht="53.45" customHeight="1">
      <c r="H422" s="4"/>
      <c r="M422" s="4"/>
      <c r="R422" s="4"/>
      <c r="W422" s="4"/>
      <c r="AB422" s="4"/>
      <c r="AG422" s="4"/>
      <c r="AL422" s="4"/>
      <c r="AQ422" s="4"/>
      <c r="AV422" s="4"/>
      <c r="BA422" s="4"/>
    </row>
    <row r="423" spans="8:53" s="1" customFormat="1" ht="53.45" customHeight="1">
      <c r="H423" s="4"/>
      <c r="M423" s="4"/>
      <c r="R423" s="4"/>
      <c r="W423" s="4"/>
      <c r="AB423" s="4"/>
      <c r="AG423" s="4"/>
      <c r="AL423" s="4"/>
      <c r="AQ423" s="4"/>
      <c r="AV423" s="4"/>
      <c r="BA423" s="4"/>
    </row>
    <row r="424" spans="8:53" s="1" customFormat="1" ht="53.45" customHeight="1">
      <c r="H424" s="4"/>
      <c r="M424" s="4"/>
      <c r="R424" s="4"/>
      <c r="W424" s="4"/>
      <c r="AB424" s="4"/>
      <c r="AG424" s="4"/>
      <c r="AL424" s="4"/>
      <c r="AQ424" s="4"/>
      <c r="AV424" s="4"/>
      <c r="BA424" s="4"/>
    </row>
    <row r="425" spans="8:53" s="1" customFormat="1" ht="53.45" customHeight="1">
      <c r="H425" s="4"/>
      <c r="M425" s="4"/>
      <c r="R425" s="4"/>
      <c r="W425" s="4"/>
      <c r="AB425" s="4"/>
      <c r="AG425" s="4"/>
      <c r="AL425" s="4"/>
      <c r="AQ425" s="4"/>
      <c r="AV425" s="4"/>
      <c r="BA425" s="4"/>
    </row>
    <row r="426" spans="8:53" s="1" customFormat="1" ht="53.45" customHeight="1">
      <c r="H426" s="4"/>
      <c r="M426" s="4"/>
      <c r="R426" s="4"/>
      <c r="W426" s="4"/>
      <c r="AB426" s="4"/>
      <c r="AG426" s="4"/>
      <c r="AL426" s="4"/>
      <c r="AQ426" s="4"/>
      <c r="AV426" s="4"/>
      <c r="BA426" s="4"/>
    </row>
    <row r="427" spans="8:53" s="1" customFormat="1" ht="53.45" customHeight="1">
      <c r="H427" s="4"/>
      <c r="M427" s="4"/>
      <c r="R427" s="4"/>
      <c r="W427" s="4"/>
      <c r="AB427" s="4"/>
      <c r="AG427" s="4"/>
      <c r="AL427" s="4"/>
      <c r="AQ427" s="4"/>
      <c r="AV427" s="4"/>
      <c r="BA427" s="4"/>
    </row>
    <row r="428" spans="8:53" s="1" customFormat="1" ht="53.45" customHeight="1">
      <c r="H428" s="4"/>
      <c r="M428" s="4"/>
      <c r="R428" s="4"/>
      <c r="W428" s="4"/>
      <c r="AB428" s="4"/>
      <c r="AG428" s="4"/>
      <c r="AL428" s="4"/>
      <c r="AQ428" s="4"/>
      <c r="AV428" s="4"/>
      <c r="BA428" s="4"/>
    </row>
    <row r="429" spans="8:53" s="1" customFormat="1" ht="53.45" customHeight="1">
      <c r="H429" s="4"/>
      <c r="M429" s="4"/>
      <c r="R429" s="4"/>
      <c r="W429" s="4"/>
      <c r="AB429" s="4"/>
      <c r="AG429" s="4"/>
      <c r="AL429" s="4"/>
      <c r="AQ429" s="4"/>
      <c r="AV429" s="4"/>
      <c r="BA429" s="4"/>
    </row>
    <row r="430" spans="8:53" s="1" customFormat="1" ht="53.45" customHeight="1">
      <c r="H430" s="4"/>
      <c r="M430" s="4"/>
      <c r="R430" s="4"/>
      <c r="W430" s="4"/>
      <c r="AB430" s="4"/>
      <c r="AG430" s="4"/>
      <c r="AL430" s="4"/>
      <c r="AQ430" s="4"/>
      <c r="AV430" s="4"/>
      <c r="BA430" s="4"/>
    </row>
    <row r="431" spans="8:53" s="1" customFormat="1" ht="53.45" customHeight="1">
      <c r="H431" s="4"/>
      <c r="M431" s="4"/>
      <c r="R431" s="4"/>
      <c r="W431" s="4"/>
      <c r="AB431" s="4"/>
      <c r="AG431" s="4"/>
      <c r="AL431" s="4"/>
      <c r="AQ431" s="4"/>
      <c r="AV431" s="4"/>
      <c r="BA431" s="4"/>
    </row>
    <row r="432" spans="8:53" s="1" customFormat="1" ht="53.45" customHeight="1">
      <c r="H432" s="4"/>
      <c r="M432" s="4"/>
      <c r="R432" s="4"/>
      <c r="W432" s="4"/>
      <c r="AB432" s="4"/>
      <c r="AG432" s="4"/>
      <c r="AL432" s="4"/>
      <c r="AQ432" s="4"/>
      <c r="AV432" s="4"/>
      <c r="BA432" s="4"/>
    </row>
    <row r="433" spans="8:53" s="1" customFormat="1" ht="53.45" customHeight="1">
      <c r="H433" s="4"/>
      <c r="M433" s="4"/>
      <c r="R433" s="4"/>
      <c r="W433" s="4"/>
      <c r="AB433" s="4"/>
      <c r="AG433" s="4"/>
      <c r="AL433" s="4"/>
      <c r="AQ433" s="4"/>
      <c r="AV433" s="4"/>
      <c r="BA433" s="4"/>
    </row>
    <row r="434" spans="8:53" s="1" customFormat="1" ht="53.45" customHeight="1">
      <c r="H434" s="4"/>
      <c r="M434" s="4"/>
      <c r="R434" s="4"/>
      <c r="W434" s="4"/>
      <c r="AB434" s="4"/>
      <c r="AG434" s="4"/>
      <c r="AL434" s="4"/>
      <c r="AQ434" s="4"/>
      <c r="AV434" s="4"/>
      <c r="BA434" s="4"/>
    </row>
    <row r="435" spans="8:53" s="1" customFormat="1" ht="53.45" customHeight="1">
      <c r="H435" s="4"/>
      <c r="M435" s="4"/>
      <c r="R435" s="4"/>
      <c r="W435" s="4"/>
      <c r="AB435" s="4"/>
      <c r="AG435" s="4"/>
      <c r="AL435" s="4"/>
      <c r="AQ435" s="4"/>
      <c r="AV435" s="4"/>
      <c r="BA435" s="4"/>
    </row>
    <row r="436" spans="8:53" s="1" customFormat="1" ht="53.45" customHeight="1">
      <c r="H436" s="4"/>
      <c r="M436" s="4"/>
      <c r="R436" s="4"/>
      <c r="W436" s="4"/>
      <c r="AB436" s="4"/>
      <c r="AG436" s="4"/>
      <c r="AL436" s="4"/>
      <c r="AQ436" s="4"/>
      <c r="AV436" s="4"/>
      <c r="BA436" s="4"/>
    </row>
    <row r="437" spans="8:53" s="1" customFormat="1" ht="53.45" customHeight="1">
      <c r="H437" s="4"/>
      <c r="M437" s="4"/>
      <c r="R437" s="4"/>
      <c r="W437" s="4"/>
      <c r="AB437" s="4"/>
      <c r="AG437" s="4"/>
      <c r="AL437" s="4"/>
      <c r="AQ437" s="4"/>
      <c r="AV437" s="4"/>
      <c r="BA437" s="4"/>
    </row>
    <row r="438" spans="8:53" s="1" customFormat="1" ht="53.45" customHeight="1">
      <c r="H438" s="4"/>
      <c r="M438" s="4"/>
      <c r="R438" s="4"/>
      <c r="W438" s="4"/>
      <c r="AB438" s="4"/>
      <c r="AG438" s="4"/>
      <c r="AL438" s="4"/>
      <c r="AQ438" s="4"/>
      <c r="AV438" s="4"/>
      <c r="BA438" s="4"/>
    </row>
    <row r="439" spans="8:53" s="1" customFormat="1" ht="53.45" customHeight="1">
      <c r="H439" s="4"/>
      <c r="M439" s="4"/>
      <c r="R439" s="4"/>
      <c r="W439" s="4"/>
      <c r="AB439" s="4"/>
      <c r="AG439" s="4"/>
      <c r="AL439" s="4"/>
      <c r="AQ439" s="4"/>
      <c r="AV439" s="4"/>
      <c r="BA439" s="4"/>
    </row>
    <row r="440" spans="8:53" s="1" customFormat="1" ht="53.45" customHeight="1">
      <c r="H440" s="4"/>
      <c r="M440" s="4"/>
      <c r="R440" s="4"/>
      <c r="W440" s="4"/>
      <c r="AB440" s="4"/>
      <c r="AG440" s="4"/>
      <c r="AL440" s="4"/>
      <c r="AQ440" s="4"/>
      <c r="AV440" s="4"/>
      <c r="BA440" s="4"/>
    </row>
    <row r="441" spans="8:53" s="1" customFormat="1" ht="53.45" customHeight="1">
      <c r="H441" s="4"/>
      <c r="M441" s="4"/>
      <c r="R441" s="4"/>
      <c r="W441" s="4"/>
      <c r="AB441" s="4"/>
      <c r="AG441" s="4"/>
      <c r="AL441" s="4"/>
      <c r="AQ441" s="4"/>
      <c r="AV441" s="4"/>
      <c r="BA441" s="4"/>
    </row>
    <row r="442" spans="8:53" s="1" customFormat="1" ht="53.45" customHeight="1">
      <c r="H442" s="4"/>
      <c r="M442" s="4"/>
      <c r="R442" s="4"/>
      <c r="W442" s="4"/>
      <c r="AB442" s="4"/>
      <c r="AG442" s="4"/>
      <c r="AL442" s="4"/>
      <c r="AQ442" s="4"/>
      <c r="AV442" s="4"/>
      <c r="BA442" s="4"/>
    </row>
    <row r="443" spans="8:53" s="1" customFormat="1" ht="53.45" customHeight="1">
      <c r="H443" s="4"/>
      <c r="M443" s="4"/>
      <c r="R443" s="4"/>
      <c r="W443" s="4"/>
      <c r="AB443" s="4"/>
      <c r="AG443" s="4"/>
      <c r="AL443" s="4"/>
      <c r="AQ443" s="4"/>
      <c r="AV443" s="4"/>
      <c r="BA443" s="4"/>
    </row>
    <row r="444" spans="8:53" s="1" customFormat="1" ht="53.45" customHeight="1">
      <c r="H444" s="4"/>
      <c r="M444" s="4"/>
      <c r="R444" s="4"/>
      <c r="W444" s="4"/>
      <c r="AB444" s="4"/>
      <c r="AG444" s="4"/>
      <c r="AL444" s="4"/>
      <c r="AQ444" s="4"/>
      <c r="AV444" s="4"/>
      <c r="BA444" s="4"/>
    </row>
    <row r="445" spans="8:53" s="1" customFormat="1" ht="53.45" customHeight="1">
      <c r="H445" s="4"/>
      <c r="M445" s="4"/>
      <c r="R445" s="4"/>
      <c r="W445" s="4"/>
      <c r="AB445" s="4"/>
      <c r="AG445" s="4"/>
      <c r="AL445" s="4"/>
      <c r="AQ445" s="4"/>
      <c r="AV445" s="4"/>
      <c r="BA445" s="4"/>
    </row>
    <row r="446" spans="8:53" s="1" customFormat="1" ht="53.45" customHeight="1">
      <c r="H446" s="4"/>
      <c r="M446" s="4"/>
      <c r="R446" s="4"/>
      <c r="W446" s="4"/>
      <c r="AB446" s="4"/>
      <c r="AG446" s="4"/>
      <c r="AL446" s="4"/>
      <c r="AQ446" s="4"/>
      <c r="AV446" s="4"/>
      <c r="BA446" s="4"/>
    </row>
    <row r="447" spans="8:53" s="1" customFormat="1" ht="53.45" customHeight="1">
      <c r="H447" s="4"/>
      <c r="M447" s="4"/>
      <c r="R447" s="4"/>
      <c r="W447" s="4"/>
      <c r="AB447" s="4"/>
      <c r="AG447" s="4"/>
      <c r="AL447" s="4"/>
      <c r="AQ447" s="4"/>
      <c r="AV447" s="4"/>
      <c r="BA447" s="4"/>
    </row>
    <row r="448" spans="8:53" s="1" customFormat="1" ht="53.45" customHeight="1">
      <c r="H448" s="4"/>
      <c r="M448" s="4"/>
      <c r="R448" s="4"/>
      <c r="W448" s="4"/>
      <c r="AB448" s="4"/>
      <c r="AG448" s="4"/>
      <c r="AL448" s="4"/>
      <c r="AQ448" s="4"/>
      <c r="AV448" s="4"/>
      <c r="BA448" s="4"/>
    </row>
    <row r="449" spans="8:53" s="1" customFormat="1" ht="53.45" customHeight="1">
      <c r="H449" s="4"/>
      <c r="M449" s="4"/>
      <c r="R449" s="4"/>
      <c r="W449" s="4"/>
      <c r="AB449" s="4"/>
      <c r="AG449" s="4"/>
      <c r="AL449" s="4"/>
      <c r="AQ449" s="4"/>
      <c r="AV449" s="4"/>
      <c r="BA449" s="4"/>
    </row>
    <row r="450" spans="8:53" s="1" customFormat="1" ht="53.45" customHeight="1">
      <c r="H450" s="4"/>
      <c r="M450" s="4"/>
      <c r="R450" s="4"/>
      <c r="W450" s="4"/>
      <c r="AB450" s="4"/>
      <c r="AG450" s="4"/>
      <c r="AL450" s="4"/>
      <c r="AQ450" s="4"/>
      <c r="AV450" s="4"/>
      <c r="BA450" s="4"/>
    </row>
    <row r="451" spans="8:53" s="1" customFormat="1" ht="53.45" customHeight="1">
      <c r="H451" s="4"/>
      <c r="M451" s="4"/>
      <c r="R451" s="4"/>
      <c r="W451" s="4"/>
      <c r="AB451" s="4"/>
      <c r="AG451" s="4"/>
      <c r="AL451" s="4"/>
      <c r="AQ451" s="4"/>
      <c r="AV451" s="4"/>
      <c r="BA451" s="4"/>
    </row>
    <row r="452" spans="8:53" s="1" customFormat="1" ht="53.45" customHeight="1">
      <c r="H452" s="4"/>
      <c r="M452" s="4"/>
      <c r="R452" s="4"/>
      <c r="W452" s="4"/>
      <c r="AB452" s="4"/>
      <c r="AG452" s="4"/>
      <c r="AL452" s="4"/>
      <c r="AQ452" s="4"/>
      <c r="AV452" s="4"/>
      <c r="BA452" s="4"/>
    </row>
    <row r="453" spans="8:53" s="1" customFormat="1" ht="53.45" customHeight="1">
      <c r="H453" s="4"/>
      <c r="M453" s="4"/>
      <c r="R453" s="4"/>
      <c r="W453" s="4"/>
      <c r="AB453" s="4"/>
      <c r="AG453" s="4"/>
      <c r="AL453" s="4"/>
      <c r="AQ453" s="4"/>
      <c r="AV453" s="4"/>
      <c r="BA453" s="4"/>
    </row>
    <row r="454" spans="8:53" s="1" customFormat="1" ht="53.45" customHeight="1">
      <c r="H454" s="4"/>
      <c r="M454" s="4"/>
      <c r="R454" s="4"/>
      <c r="W454" s="4"/>
      <c r="AB454" s="4"/>
      <c r="AG454" s="4"/>
      <c r="AL454" s="4"/>
      <c r="AQ454" s="4"/>
      <c r="AV454" s="4"/>
      <c r="BA454" s="4"/>
    </row>
    <row r="455" spans="8:53" s="1" customFormat="1" ht="53.45" customHeight="1">
      <c r="H455" s="4"/>
      <c r="M455" s="4"/>
      <c r="R455" s="4"/>
      <c r="W455" s="4"/>
      <c r="AB455" s="4"/>
      <c r="AG455" s="4"/>
      <c r="AL455" s="4"/>
      <c r="AQ455" s="4"/>
      <c r="AV455" s="4"/>
      <c r="BA455" s="4"/>
    </row>
    <row r="456" spans="8:53" s="1" customFormat="1" ht="53.45" customHeight="1">
      <c r="H456" s="4"/>
      <c r="M456" s="4"/>
      <c r="R456" s="4"/>
      <c r="W456" s="4"/>
      <c r="AB456" s="4"/>
      <c r="AG456" s="4"/>
      <c r="AL456" s="4"/>
      <c r="AQ456" s="4"/>
      <c r="AV456" s="4"/>
      <c r="BA456" s="4"/>
    </row>
    <row r="457" spans="8:53" s="1" customFormat="1" ht="53.45" customHeight="1">
      <c r="H457" s="4"/>
      <c r="M457" s="4"/>
      <c r="R457" s="4"/>
      <c r="W457" s="4"/>
      <c r="AB457" s="4"/>
      <c r="AG457" s="4"/>
      <c r="AL457" s="4"/>
      <c r="AQ457" s="4"/>
      <c r="AV457" s="4"/>
      <c r="BA457" s="4"/>
    </row>
    <row r="458" spans="8:53" s="1" customFormat="1" ht="53.45" customHeight="1">
      <c r="H458" s="4"/>
      <c r="M458" s="4"/>
      <c r="R458" s="4"/>
      <c r="W458" s="4"/>
      <c r="AB458" s="4"/>
      <c r="AG458" s="4"/>
      <c r="AL458" s="4"/>
      <c r="AQ458" s="4"/>
      <c r="AV458" s="4"/>
      <c r="BA458" s="4"/>
    </row>
    <row r="459" spans="8:53" s="1" customFormat="1" ht="53.45" customHeight="1">
      <c r="H459" s="4"/>
      <c r="M459" s="4"/>
      <c r="R459" s="4"/>
      <c r="W459" s="4"/>
      <c r="AB459" s="4"/>
      <c r="AG459" s="4"/>
      <c r="AL459" s="4"/>
      <c r="AQ459" s="4"/>
      <c r="AV459" s="4"/>
      <c r="BA459" s="4"/>
    </row>
    <row r="460" spans="8:53" s="1" customFormat="1" ht="53.45" customHeight="1">
      <c r="H460" s="4"/>
      <c r="M460" s="4"/>
      <c r="R460" s="4"/>
      <c r="W460" s="4"/>
      <c r="AB460" s="4"/>
      <c r="AG460" s="4"/>
      <c r="AL460" s="4"/>
      <c r="AQ460" s="4"/>
      <c r="AV460" s="4"/>
      <c r="BA460" s="4"/>
    </row>
    <row r="461" spans="8:53" s="1" customFormat="1" ht="53.45" customHeight="1">
      <c r="H461" s="4"/>
      <c r="M461" s="4"/>
      <c r="R461" s="4"/>
      <c r="W461" s="4"/>
      <c r="AB461" s="4"/>
      <c r="AG461" s="4"/>
      <c r="AL461" s="4"/>
      <c r="AQ461" s="4"/>
      <c r="AV461" s="4"/>
      <c r="BA461" s="4"/>
    </row>
    <row r="462" spans="8:53" s="1" customFormat="1" ht="53.45" customHeight="1">
      <c r="H462" s="4"/>
      <c r="M462" s="4"/>
      <c r="R462" s="4"/>
      <c r="W462" s="4"/>
      <c r="AB462" s="4"/>
      <c r="AG462" s="4"/>
      <c r="AL462" s="4"/>
      <c r="AQ462" s="4"/>
      <c r="AV462" s="4"/>
      <c r="BA462" s="4"/>
    </row>
    <row r="463" spans="8:53" s="1" customFormat="1" ht="53.45" customHeight="1">
      <c r="H463" s="4"/>
      <c r="M463" s="4"/>
      <c r="R463" s="4"/>
      <c r="W463" s="4"/>
      <c r="AB463" s="4"/>
      <c r="AG463" s="4"/>
      <c r="AL463" s="4"/>
      <c r="AQ463" s="4"/>
      <c r="AV463" s="4"/>
      <c r="BA463" s="4"/>
    </row>
    <row r="464" spans="8:53" s="1" customFormat="1" ht="53.45" customHeight="1">
      <c r="H464" s="4"/>
      <c r="M464" s="4"/>
      <c r="R464" s="4"/>
      <c r="W464" s="4"/>
      <c r="AB464" s="4"/>
      <c r="AG464" s="4"/>
      <c r="AL464" s="4"/>
      <c r="AQ464" s="4"/>
      <c r="AV464" s="4"/>
      <c r="BA464" s="4"/>
    </row>
    <row r="465" spans="8:53" s="1" customFormat="1" ht="53.45" customHeight="1">
      <c r="H465" s="4"/>
      <c r="M465" s="4"/>
      <c r="R465" s="4"/>
      <c r="W465" s="4"/>
      <c r="AB465" s="4"/>
      <c r="AG465" s="4"/>
      <c r="AL465" s="4"/>
      <c r="AQ465" s="4"/>
      <c r="AV465" s="4"/>
      <c r="BA465" s="4"/>
    </row>
    <row r="466" spans="8:53" s="1" customFormat="1" ht="53.45" customHeight="1">
      <c r="H466" s="4"/>
      <c r="M466" s="4"/>
      <c r="R466" s="4"/>
      <c r="W466" s="4"/>
      <c r="AB466" s="4"/>
      <c r="AG466" s="4"/>
      <c r="AL466" s="4"/>
      <c r="AQ466" s="4"/>
      <c r="AV466" s="4"/>
      <c r="BA466" s="4"/>
    </row>
    <row r="467" spans="8:53" s="1" customFormat="1" ht="53.45" customHeight="1">
      <c r="H467" s="4"/>
      <c r="M467" s="4"/>
      <c r="R467" s="4"/>
      <c r="W467" s="4"/>
      <c r="AB467" s="4"/>
      <c r="AG467" s="4"/>
      <c r="AL467" s="4"/>
      <c r="AQ467" s="4"/>
      <c r="AV467" s="4"/>
      <c r="BA467" s="4"/>
    </row>
    <row r="468" spans="8:53" s="1" customFormat="1" ht="53.45" customHeight="1">
      <c r="H468" s="4"/>
      <c r="M468" s="4"/>
      <c r="R468" s="4"/>
      <c r="W468" s="4"/>
      <c r="AB468" s="4"/>
      <c r="AG468" s="4"/>
      <c r="AL468" s="4"/>
      <c r="AQ468" s="4"/>
      <c r="AV468" s="4"/>
      <c r="BA468" s="4"/>
    </row>
    <row r="469" spans="8:53" s="1" customFormat="1" ht="53.45" customHeight="1">
      <c r="H469" s="4"/>
      <c r="M469" s="4"/>
      <c r="R469" s="4"/>
      <c r="W469" s="4"/>
      <c r="AB469" s="4"/>
      <c r="AG469" s="4"/>
      <c r="AL469" s="4"/>
      <c r="AQ469" s="4"/>
      <c r="AV469" s="4"/>
      <c r="BA469" s="4"/>
    </row>
    <row r="470" spans="8:53" s="1" customFormat="1" ht="53.45" customHeight="1">
      <c r="H470" s="4"/>
      <c r="M470" s="4"/>
      <c r="R470" s="4"/>
      <c r="W470" s="4"/>
      <c r="AB470" s="4"/>
      <c r="AG470" s="4"/>
      <c r="AL470" s="4"/>
      <c r="AQ470" s="4"/>
      <c r="AV470" s="4"/>
      <c r="BA470" s="4"/>
    </row>
    <row r="471" spans="8:53" s="1" customFormat="1" ht="53.45" customHeight="1">
      <c r="H471" s="4"/>
      <c r="M471" s="4"/>
      <c r="R471" s="4"/>
      <c r="W471" s="4"/>
      <c r="AB471" s="4"/>
      <c r="AG471" s="4"/>
      <c r="AL471" s="4"/>
      <c r="AQ471" s="4"/>
      <c r="AV471" s="4"/>
      <c r="BA471" s="4"/>
    </row>
    <row r="472" spans="8:53" s="1" customFormat="1" ht="53.45" customHeight="1">
      <c r="H472" s="4"/>
      <c r="M472" s="4"/>
      <c r="R472" s="4"/>
      <c r="W472" s="4"/>
      <c r="AB472" s="4"/>
      <c r="AG472" s="4"/>
      <c r="AL472" s="4"/>
      <c r="AQ472" s="4"/>
      <c r="AV472" s="4"/>
      <c r="BA472" s="4"/>
    </row>
    <row r="473" spans="8:53" s="1" customFormat="1" ht="53.45" customHeight="1">
      <c r="H473" s="4"/>
      <c r="M473" s="4"/>
      <c r="R473" s="4"/>
      <c r="W473" s="4"/>
      <c r="AB473" s="4"/>
      <c r="AG473" s="4"/>
      <c r="AL473" s="4"/>
      <c r="AQ473" s="4"/>
      <c r="AV473" s="4"/>
      <c r="BA473" s="4"/>
    </row>
    <row r="474" spans="8:53" s="1" customFormat="1" ht="53.45" customHeight="1">
      <c r="H474" s="4"/>
      <c r="M474" s="4"/>
      <c r="R474" s="4"/>
      <c r="W474" s="4"/>
      <c r="AB474" s="4"/>
      <c r="AG474" s="4"/>
      <c r="AL474" s="4"/>
      <c r="AQ474" s="4"/>
      <c r="AV474" s="4"/>
      <c r="BA474" s="4"/>
    </row>
    <row r="475" spans="8:53" s="1" customFormat="1" ht="53.45" customHeight="1">
      <c r="H475" s="4"/>
      <c r="M475" s="4"/>
      <c r="R475" s="4"/>
      <c r="W475" s="4"/>
      <c r="AB475" s="4"/>
      <c r="AG475" s="4"/>
      <c r="AL475" s="4"/>
      <c r="AQ475" s="4"/>
      <c r="AV475" s="4"/>
      <c r="BA475" s="4"/>
    </row>
    <row r="476" spans="8:53" s="1" customFormat="1" ht="53.45" customHeight="1">
      <c r="H476" s="4"/>
      <c r="M476" s="4"/>
      <c r="R476" s="4"/>
      <c r="W476" s="4"/>
      <c r="AB476" s="4"/>
      <c r="AG476" s="4"/>
      <c r="AL476" s="4"/>
      <c r="AQ476" s="4"/>
      <c r="AV476" s="4"/>
      <c r="BA476" s="4"/>
    </row>
    <row r="477" spans="8:53" s="1" customFormat="1" ht="53.45" customHeight="1">
      <c r="H477" s="4"/>
      <c r="M477" s="4"/>
      <c r="R477" s="4"/>
      <c r="W477" s="4"/>
      <c r="AB477" s="4"/>
      <c r="AG477" s="4"/>
      <c r="AL477" s="4"/>
      <c r="AQ477" s="4"/>
      <c r="AV477" s="4"/>
      <c r="BA477" s="4"/>
    </row>
    <row r="478" spans="8:53" s="1" customFormat="1" ht="53.45" customHeight="1">
      <c r="H478" s="4"/>
      <c r="M478" s="4"/>
      <c r="R478" s="4"/>
      <c r="W478" s="4"/>
      <c r="AB478" s="4"/>
      <c r="AG478" s="4"/>
      <c r="AL478" s="4"/>
      <c r="AQ478" s="4"/>
      <c r="AV478" s="4"/>
      <c r="BA478" s="4"/>
    </row>
    <row r="479" spans="8:53" s="1" customFormat="1" ht="53.45" customHeight="1">
      <c r="H479" s="4"/>
      <c r="M479" s="4"/>
      <c r="R479" s="4"/>
      <c r="W479" s="4"/>
      <c r="AB479" s="4"/>
      <c r="AG479" s="4"/>
      <c r="AL479" s="4"/>
      <c r="AQ479" s="4"/>
      <c r="AV479" s="4"/>
      <c r="BA479" s="4"/>
    </row>
    <row r="480" spans="8:53" s="1" customFormat="1" ht="53.45" customHeight="1">
      <c r="H480" s="4"/>
      <c r="M480" s="4"/>
      <c r="R480" s="4"/>
      <c r="W480" s="4"/>
      <c r="AB480" s="4"/>
      <c r="AG480" s="4"/>
      <c r="AL480" s="4"/>
      <c r="AQ480" s="4"/>
      <c r="AV480" s="4"/>
      <c r="BA480" s="4"/>
    </row>
    <row r="481" spans="8:53" s="1" customFormat="1" ht="53.45" customHeight="1">
      <c r="H481" s="4"/>
      <c r="M481" s="4"/>
      <c r="R481" s="4"/>
      <c r="W481" s="4"/>
      <c r="AB481" s="4"/>
      <c r="AG481" s="4"/>
      <c r="AL481" s="4"/>
      <c r="AQ481" s="4"/>
      <c r="AV481" s="4"/>
      <c r="BA481" s="4"/>
    </row>
  </sheetData>
  <mergeCells count="23">
    <mergeCell ref="AE3:AF3"/>
    <mergeCell ref="H1:AF1"/>
    <mergeCell ref="H2:K2"/>
    <mergeCell ref="M2:P2"/>
    <mergeCell ref="R2:T2"/>
    <mergeCell ref="V2:X2"/>
    <mergeCell ref="Z2:AB2"/>
    <mergeCell ref="AE2:AF2"/>
    <mergeCell ref="H3:K3"/>
    <mergeCell ref="M3:P3"/>
    <mergeCell ref="R3:T3"/>
    <mergeCell ref="V3:X3"/>
    <mergeCell ref="Z3:AB3"/>
    <mergeCell ref="AL16:AL17"/>
    <mergeCell ref="AQ16:AQ17"/>
    <mergeCell ref="AV16:AV17"/>
    <mergeCell ref="BA16:BA17"/>
    <mergeCell ref="H16:H17"/>
    <mergeCell ref="M16:M17"/>
    <mergeCell ref="R16:R17"/>
    <mergeCell ref="W16:W17"/>
    <mergeCell ref="AB16:AB17"/>
    <mergeCell ref="AG16:AG17"/>
  </mergeCells>
  <printOptions horizontalCentered="1" verticalCentered="1"/>
  <pageMargins left="0" right="0" top="0" bottom="0" header="0" footer="0"/>
  <pageSetup paperSize="9" scale="2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481"/>
  <sheetViews>
    <sheetView view="pageBreakPreview" zoomScale="40" zoomScaleNormal="20" zoomScaleSheetLayoutView="40" workbookViewId="0">
      <selection activeCell="V4" sqref="V4"/>
    </sheetView>
  </sheetViews>
  <sheetFormatPr defaultRowHeight="15"/>
  <cols>
    <col min="1" max="1" width="2.42578125" customWidth="1"/>
    <col min="2" max="2" width="36.42578125" customWidth="1"/>
    <col min="4" max="4" width="8.85546875" customWidth="1"/>
    <col min="7" max="7" width="2.42578125" customWidth="1"/>
    <col min="8" max="8" width="6.5703125" style="15" bestFit="1" customWidth="1"/>
    <col min="9" max="9" width="60.7109375" customWidth="1"/>
    <col min="10" max="12" width="11.28515625" customWidth="1"/>
    <col min="13" max="13" width="6.5703125" style="15" bestFit="1" customWidth="1"/>
    <col min="14" max="14" width="60.7109375" customWidth="1"/>
    <col min="15" max="17" width="11.28515625" customWidth="1"/>
    <col min="18" max="18" width="6.5703125" style="15" bestFit="1" customWidth="1"/>
    <col min="19" max="19" width="60.7109375" customWidth="1"/>
    <col min="20" max="22" width="11.28515625" customWidth="1"/>
    <col min="23" max="23" width="6.5703125" style="15" bestFit="1" customWidth="1"/>
    <col min="24" max="24" width="60.7109375" customWidth="1"/>
    <col min="25" max="27" width="11.28515625" customWidth="1"/>
    <col min="28" max="28" width="6.5703125" style="15" bestFit="1" customWidth="1"/>
    <col min="29" max="29" width="60.7109375" customWidth="1"/>
    <col min="30" max="32" width="11.28515625" customWidth="1"/>
    <col min="33" max="33" width="6.5703125" style="15" bestFit="1" customWidth="1"/>
    <col min="34" max="34" width="60.7109375" customWidth="1"/>
    <col min="35" max="37" width="11.28515625" customWidth="1"/>
    <col min="38" max="38" width="5.7109375" style="15" customWidth="1"/>
    <col min="39" max="39" width="60.7109375" customWidth="1"/>
    <col min="40" max="42" width="11.28515625" customWidth="1"/>
    <col min="43" max="43" width="5.7109375" style="15" customWidth="1"/>
    <col min="44" max="44" width="60.7109375" customWidth="1"/>
    <col min="45" max="47" width="11.28515625" customWidth="1"/>
    <col min="48" max="48" width="5.7109375" style="15" customWidth="1"/>
    <col min="49" max="49" width="60.7109375" customWidth="1"/>
    <col min="50" max="52" width="11.28515625" customWidth="1"/>
    <col min="53" max="53" width="5.7109375" style="15" customWidth="1"/>
    <col min="54" max="54" width="60.7109375" customWidth="1"/>
    <col min="55" max="57" width="11.28515625" customWidth="1"/>
  </cols>
  <sheetData>
    <row r="1" spans="2:57" s="1" customFormat="1" ht="47.45" customHeight="1">
      <c r="C1" s="16"/>
      <c r="D1" s="16"/>
      <c r="E1" s="16"/>
      <c r="F1" s="16"/>
      <c r="G1" s="16"/>
      <c r="H1" s="46" t="str">
        <f>'YAMAZUMI цеха'!H1</f>
        <v>YAMAZUMI ""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</row>
    <row r="2" spans="2:57" s="1" customFormat="1" ht="51.6" customHeight="1">
      <c r="H2" s="47" t="s">
        <v>12</v>
      </c>
      <c r="I2" s="47"/>
      <c r="J2" s="47"/>
      <c r="K2" s="47"/>
      <c r="L2" s="2"/>
      <c r="M2" s="47" t="s">
        <v>6</v>
      </c>
      <c r="N2" s="47"/>
      <c r="O2" s="47"/>
      <c r="P2" s="47"/>
      <c r="Q2" s="2"/>
      <c r="R2" s="47" t="s">
        <v>7</v>
      </c>
      <c r="S2" s="47"/>
      <c r="T2" s="47"/>
      <c r="U2" s="2"/>
      <c r="V2" s="47" t="s">
        <v>0</v>
      </c>
      <c r="W2" s="47"/>
      <c r="X2" s="47"/>
      <c r="Y2" s="2"/>
      <c r="Z2" s="47" t="s">
        <v>13</v>
      </c>
      <c r="AA2" s="47"/>
      <c r="AB2" s="47"/>
      <c r="AC2" s="30">
        <f>MAX(E5:E14)*1.1</f>
        <v>0</v>
      </c>
      <c r="AE2" s="41" t="s">
        <v>30</v>
      </c>
      <c r="AF2" s="41"/>
      <c r="AG2" s="4"/>
      <c r="AL2" s="4"/>
      <c r="AQ2" s="4"/>
      <c r="AV2" s="4"/>
      <c r="BA2" s="4"/>
    </row>
    <row r="3" spans="2:57" s="1" customFormat="1" ht="51.6" customHeight="1">
      <c r="H3" s="47">
        <f>COUNTA(I18:I153,N18:N153,S18:S153,X18:X153,AC18:AC153)</f>
        <v>0</v>
      </c>
      <c r="I3" s="47"/>
      <c r="J3" s="47"/>
      <c r="K3" s="47"/>
      <c r="L3" s="2"/>
      <c r="M3" s="47">
        <f>COUNTA(I18,N18,S18,X18,AC18)</f>
        <v>0</v>
      </c>
      <c r="N3" s="47"/>
      <c r="O3" s="47"/>
      <c r="P3" s="47"/>
      <c r="Q3" s="2"/>
      <c r="R3" s="48">
        <f>'YAMAZUMI цеха'!R3</f>
        <v>0</v>
      </c>
      <c r="S3" s="47"/>
      <c r="T3" s="47"/>
      <c r="U3" s="2"/>
      <c r="V3" s="47"/>
      <c r="W3" s="47"/>
      <c r="X3" s="47"/>
      <c r="Y3" s="2"/>
      <c r="Z3" s="47" t="s">
        <v>8</v>
      </c>
      <c r="AA3" s="47"/>
      <c r="AB3" s="47"/>
      <c r="AC3" s="30">
        <f>MAX(E5:E14)</f>
        <v>0</v>
      </c>
      <c r="AE3" s="42" t="e">
        <f>26700/AC2</f>
        <v>#DIV/0!</v>
      </c>
      <c r="AF3" s="42"/>
      <c r="AG3" s="4"/>
      <c r="AL3" s="4"/>
      <c r="AQ3" s="4"/>
      <c r="AV3" s="4"/>
      <c r="BA3" s="4"/>
    </row>
    <row r="4" spans="2:57" s="1" customFormat="1" ht="81.599999999999994" customHeight="1">
      <c r="B4" s="28" t="s">
        <v>9</v>
      </c>
      <c r="C4" s="6" t="s">
        <v>2</v>
      </c>
      <c r="D4" s="6" t="s">
        <v>3</v>
      </c>
      <c r="E4" s="6" t="s">
        <v>10</v>
      </c>
      <c r="F4" s="6" t="s">
        <v>5</v>
      </c>
      <c r="H4" s="4"/>
      <c r="M4" s="4"/>
      <c r="R4" s="4"/>
      <c r="W4" s="4"/>
      <c r="AB4" s="4"/>
      <c r="AG4" s="4"/>
      <c r="AL4" s="4"/>
      <c r="AQ4" s="4"/>
      <c r="AV4" s="4"/>
      <c r="BA4" s="4"/>
    </row>
    <row r="5" spans="2:57" s="1" customFormat="1" ht="51.6" customHeight="1">
      <c r="B5" s="7" t="s">
        <v>20</v>
      </c>
      <c r="C5" s="30">
        <f>J17</f>
        <v>0</v>
      </c>
      <c r="D5" s="30">
        <f>K17</f>
        <v>0</v>
      </c>
      <c r="E5" s="30">
        <f>L17</f>
        <v>0</v>
      </c>
      <c r="F5" s="30">
        <f>AC2</f>
        <v>0</v>
      </c>
      <c r="H5" s="4"/>
      <c r="M5" s="4"/>
      <c r="R5" s="4"/>
      <c r="W5" s="4"/>
      <c r="AB5" s="4"/>
      <c r="AG5" s="4"/>
      <c r="AL5" s="4"/>
      <c r="AQ5" s="4"/>
      <c r="AV5" s="4"/>
      <c r="BA5" s="4"/>
    </row>
    <row r="6" spans="2:57" s="1" customFormat="1" ht="51.6" customHeight="1">
      <c r="B6" s="7" t="s">
        <v>21</v>
      </c>
      <c r="C6" s="30">
        <f>O17</f>
        <v>0</v>
      </c>
      <c r="D6" s="30">
        <f>P17</f>
        <v>0</v>
      </c>
      <c r="E6" s="30">
        <f>Q17</f>
        <v>0</v>
      </c>
      <c r="F6" s="30">
        <f>AC2</f>
        <v>0</v>
      </c>
      <c r="H6" s="4"/>
      <c r="M6" s="4"/>
      <c r="R6" s="4"/>
      <c r="W6" s="4"/>
      <c r="AB6" s="4"/>
      <c r="AG6" s="4"/>
      <c r="AL6" s="4"/>
      <c r="AQ6" s="4"/>
      <c r="AV6" s="4"/>
      <c r="BA6" s="4"/>
    </row>
    <row r="7" spans="2:57" s="1" customFormat="1" ht="51.6" customHeight="1">
      <c r="B7" s="7" t="s">
        <v>22</v>
      </c>
      <c r="C7" s="30">
        <f>T17</f>
        <v>0</v>
      </c>
      <c r="D7" s="30">
        <f>U17</f>
        <v>0</v>
      </c>
      <c r="E7" s="30">
        <f>V17</f>
        <v>0</v>
      </c>
      <c r="F7" s="30">
        <f>AC2</f>
        <v>0</v>
      </c>
      <c r="H7" s="4"/>
      <c r="M7" s="4"/>
      <c r="R7" s="4"/>
      <c r="W7" s="4"/>
      <c r="AB7" s="4"/>
      <c r="AG7" s="4"/>
      <c r="AL7" s="4"/>
      <c r="AQ7" s="4"/>
      <c r="AV7" s="4"/>
      <c r="BA7" s="4"/>
    </row>
    <row r="8" spans="2:57" s="1" customFormat="1" ht="51.6" customHeight="1">
      <c r="B8" s="7" t="s">
        <v>23</v>
      </c>
      <c r="C8" s="30">
        <f>Y17</f>
        <v>0</v>
      </c>
      <c r="D8" s="30">
        <f>Z17</f>
        <v>0</v>
      </c>
      <c r="E8" s="30">
        <f>AA17</f>
        <v>0</v>
      </c>
      <c r="F8" s="30">
        <f>AC2</f>
        <v>0</v>
      </c>
      <c r="H8" s="4"/>
      <c r="M8" s="4"/>
      <c r="R8" s="4"/>
      <c r="W8" s="4"/>
      <c r="AB8" s="4"/>
      <c r="AG8" s="4"/>
      <c r="AL8" s="4"/>
      <c r="AQ8" s="4"/>
      <c r="AV8" s="4"/>
      <c r="BA8" s="4"/>
    </row>
    <row r="9" spans="2:57" s="1" customFormat="1" ht="51.6" customHeight="1">
      <c r="B9" s="7" t="s">
        <v>24</v>
      </c>
      <c r="C9" s="30">
        <f>AD17</f>
        <v>0</v>
      </c>
      <c r="D9" s="30">
        <f>AE17</f>
        <v>0</v>
      </c>
      <c r="E9" s="30">
        <f>AF17</f>
        <v>0</v>
      </c>
      <c r="F9" s="30">
        <f>AC2</f>
        <v>0</v>
      </c>
      <c r="H9" s="4"/>
      <c r="M9" s="4"/>
      <c r="R9" s="4"/>
      <c r="W9" s="4"/>
      <c r="AB9" s="4"/>
      <c r="AG9" s="4"/>
      <c r="AL9" s="4"/>
      <c r="AQ9" s="4"/>
      <c r="AV9" s="4"/>
      <c r="BA9" s="4"/>
    </row>
    <row r="10" spans="2:57" s="1" customFormat="1" ht="51.6" customHeight="1">
      <c r="B10" s="7" t="s">
        <v>25</v>
      </c>
      <c r="C10" s="30">
        <f>AI17</f>
        <v>0</v>
      </c>
      <c r="D10" s="30">
        <f>AJ17</f>
        <v>0</v>
      </c>
      <c r="E10" s="30">
        <f>AK17</f>
        <v>0</v>
      </c>
      <c r="F10" s="30">
        <f>AC2</f>
        <v>0</v>
      </c>
      <c r="H10" s="4"/>
      <c r="M10" s="4"/>
      <c r="R10" s="4"/>
      <c r="W10" s="4"/>
      <c r="AB10" s="4"/>
      <c r="AG10" s="4"/>
      <c r="AL10" s="4"/>
      <c r="AQ10" s="4"/>
      <c r="AV10" s="4"/>
      <c r="BA10" s="4"/>
    </row>
    <row r="11" spans="2:57" s="1" customFormat="1" ht="51.6" customHeight="1">
      <c r="B11" s="7" t="s">
        <v>26</v>
      </c>
      <c r="C11" s="30">
        <f>AN17</f>
        <v>0</v>
      </c>
      <c r="D11" s="30">
        <f>AO17</f>
        <v>0</v>
      </c>
      <c r="E11" s="30">
        <f>AP17</f>
        <v>0</v>
      </c>
      <c r="F11" s="30">
        <f>AC2</f>
        <v>0</v>
      </c>
      <c r="H11" s="4"/>
      <c r="M11" s="4"/>
      <c r="R11" s="4"/>
      <c r="W11" s="4"/>
      <c r="AB11" s="4"/>
      <c r="AG11" s="4"/>
      <c r="AL11" s="4"/>
      <c r="AQ11" s="4"/>
      <c r="AV11" s="4"/>
      <c r="BA11" s="4"/>
    </row>
    <row r="12" spans="2:57" s="1" customFormat="1" ht="51.6" customHeight="1">
      <c r="B12" s="7" t="s">
        <v>27</v>
      </c>
      <c r="C12" s="30">
        <f>AS17</f>
        <v>0</v>
      </c>
      <c r="D12" s="30">
        <f>AT17</f>
        <v>0</v>
      </c>
      <c r="E12" s="30">
        <f>AU17</f>
        <v>0</v>
      </c>
      <c r="F12" s="30">
        <f>AC2</f>
        <v>0</v>
      </c>
      <c r="H12" s="4"/>
      <c r="M12" s="4"/>
      <c r="R12" s="4"/>
      <c r="W12" s="4"/>
      <c r="AB12" s="4"/>
      <c r="AG12" s="4"/>
      <c r="AL12" s="4"/>
      <c r="AQ12" s="4"/>
      <c r="AV12" s="4"/>
      <c r="BA12" s="4"/>
    </row>
    <row r="13" spans="2:57" s="1" customFormat="1" ht="51.6" customHeight="1">
      <c r="B13" s="7" t="s">
        <v>28</v>
      </c>
      <c r="C13" s="30">
        <f>AX17</f>
        <v>0</v>
      </c>
      <c r="D13" s="30">
        <f>AY17</f>
        <v>0</v>
      </c>
      <c r="E13" s="30">
        <f>AZ17</f>
        <v>0</v>
      </c>
      <c r="F13" s="30">
        <f>AC2</f>
        <v>0</v>
      </c>
      <c r="H13" s="4"/>
      <c r="M13" s="4"/>
      <c r="R13" s="4"/>
      <c r="W13" s="4"/>
      <c r="AB13" s="4"/>
      <c r="AG13" s="4"/>
      <c r="AL13" s="4"/>
      <c r="AQ13" s="4"/>
      <c r="AV13" s="4"/>
      <c r="BA13" s="4"/>
    </row>
    <row r="14" spans="2:57" s="1" customFormat="1" ht="51.6" customHeight="1">
      <c r="B14" s="7" t="s">
        <v>29</v>
      </c>
      <c r="C14" s="30">
        <f>BC17</f>
        <v>0</v>
      </c>
      <c r="D14" s="30">
        <f>BD17</f>
        <v>0</v>
      </c>
      <c r="E14" s="30">
        <f>BE17</f>
        <v>0</v>
      </c>
      <c r="F14" s="30">
        <f>AC2</f>
        <v>0</v>
      </c>
      <c r="H14" s="4"/>
      <c r="M14" s="4"/>
      <c r="R14" s="4"/>
      <c r="W14" s="4"/>
      <c r="AB14" s="4"/>
      <c r="AG14" s="4"/>
      <c r="AL14" s="4"/>
      <c r="AQ14" s="4"/>
      <c r="AV14" s="4"/>
      <c r="BA14" s="4"/>
    </row>
    <row r="15" spans="2:57" s="1" customFormat="1" ht="15.75">
      <c r="H15" s="4"/>
      <c r="M15" s="4"/>
      <c r="R15" s="4"/>
      <c r="W15" s="4"/>
      <c r="AB15" s="4"/>
      <c r="AG15" s="4"/>
      <c r="AL15" s="4"/>
      <c r="AQ15" s="4"/>
      <c r="AV15" s="4"/>
      <c r="BA15" s="4"/>
    </row>
    <row r="16" spans="2:57" s="2" customFormat="1" ht="94.15" customHeight="1">
      <c r="H16" s="43" t="s">
        <v>1</v>
      </c>
      <c r="I16" s="30" t="s">
        <v>20</v>
      </c>
      <c r="J16" s="8" t="s">
        <v>2</v>
      </c>
      <c r="K16" s="8" t="s">
        <v>3</v>
      </c>
      <c r="L16" s="8" t="s">
        <v>10</v>
      </c>
      <c r="M16" s="43" t="s">
        <v>1</v>
      </c>
      <c r="N16" s="30" t="s">
        <v>21</v>
      </c>
      <c r="O16" s="8" t="s">
        <v>2</v>
      </c>
      <c r="P16" s="8" t="s">
        <v>3</v>
      </c>
      <c r="Q16" s="8" t="s">
        <v>10</v>
      </c>
      <c r="R16" s="43" t="s">
        <v>1</v>
      </c>
      <c r="S16" s="30" t="s">
        <v>22</v>
      </c>
      <c r="T16" s="8" t="s">
        <v>2</v>
      </c>
      <c r="U16" s="8" t="s">
        <v>3</v>
      </c>
      <c r="V16" s="8" t="s">
        <v>10</v>
      </c>
      <c r="W16" s="43" t="s">
        <v>1</v>
      </c>
      <c r="X16" s="30" t="s">
        <v>23</v>
      </c>
      <c r="Y16" s="8" t="s">
        <v>2</v>
      </c>
      <c r="Z16" s="8" t="s">
        <v>3</v>
      </c>
      <c r="AA16" s="8" t="s">
        <v>10</v>
      </c>
      <c r="AB16" s="43" t="s">
        <v>1</v>
      </c>
      <c r="AC16" s="30" t="s">
        <v>24</v>
      </c>
      <c r="AD16" s="8" t="s">
        <v>2</v>
      </c>
      <c r="AE16" s="8" t="s">
        <v>3</v>
      </c>
      <c r="AF16" s="8" t="s">
        <v>10</v>
      </c>
      <c r="AG16" s="43" t="s">
        <v>1</v>
      </c>
      <c r="AH16" s="30" t="s">
        <v>25</v>
      </c>
      <c r="AI16" s="8" t="s">
        <v>2</v>
      </c>
      <c r="AJ16" s="8" t="s">
        <v>3</v>
      </c>
      <c r="AK16" s="8" t="s">
        <v>10</v>
      </c>
      <c r="AL16" s="43" t="s">
        <v>1</v>
      </c>
      <c r="AM16" s="30" t="s">
        <v>26</v>
      </c>
      <c r="AN16" s="8" t="s">
        <v>2</v>
      </c>
      <c r="AO16" s="8" t="s">
        <v>3</v>
      </c>
      <c r="AP16" s="8" t="s">
        <v>10</v>
      </c>
      <c r="AQ16" s="43" t="s">
        <v>1</v>
      </c>
      <c r="AR16" s="30" t="s">
        <v>27</v>
      </c>
      <c r="AS16" s="8" t="s">
        <v>2</v>
      </c>
      <c r="AT16" s="8" t="s">
        <v>3</v>
      </c>
      <c r="AU16" s="8" t="s">
        <v>10</v>
      </c>
      <c r="AV16" s="43" t="s">
        <v>1</v>
      </c>
      <c r="AW16" s="30" t="s">
        <v>28</v>
      </c>
      <c r="AX16" s="8" t="s">
        <v>2</v>
      </c>
      <c r="AY16" s="8" t="s">
        <v>3</v>
      </c>
      <c r="AZ16" s="8" t="s">
        <v>10</v>
      </c>
      <c r="BA16" s="43" t="s">
        <v>1</v>
      </c>
      <c r="BB16" s="30" t="s">
        <v>29</v>
      </c>
      <c r="BC16" s="8" t="s">
        <v>2</v>
      </c>
      <c r="BD16" s="8" t="s">
        <v>3</v>
      </c>
      <c r="BE16" s="8" t="s">
        <v>10</v>
      </c>
    </row>
    <row r="17" spans="1:57" s="2" customFormat="1" ht="63.6" customHeight="1">
      <c r="H17" s="43"/>
      <c r="I17" s="28" t="s">
        <v>4</v>
      </c>
      <c r="J17" s="9">
        <f>SUM(J18:J73)</f>
        <v>0</v>
      </c>
      <c r="K17" s="9">
        <f>SUM(K18:K73)</f>
        <v>0</v>
      </c>
      <c r="L17" s="9">
        <f>SUM(L18:L73)</f>
        <v>0</v>
      </c>
      <c r="M17" s="43"/>
      <c r="N17" s="28" t="s">
        <v>4</v>
      </c>
      <c r="O17" s="9">
        <f>SUM(O18:O73)</f>
        <v>0</v>
      </c>
      <c r="P17" s="9">
        <f>SUM(P18:P73)</f>
        <v>0</v>
      </c>
      <c r="Q17" s="9">
        <f>SUM(Q18:Q73)</f>
        <v>0</v>
      </c>
      <c r="R17" s="43"/>
      <c r="S17" s="28" t="s">
        <v>4</v>
      </c>
      <c r="T17" s="9">
        <f>SUM(T18:T73)</f>
        <v>0</v>
      </c>
      <c r="U17" s="9">
        <f>SUM(U18:U73)</f>
        <v>0</v>
      </c>
      <c r="V17" s="9">
        <f>SUM(V18:V73)</f>
        <v>0</v>
      </c>
      <c r="W17" s="43"/>
      <c r="X17" s="28" t="s">
        <v>4</v>
      </c>
      <c r="Y17" s="9">
        <f>SUM(Y18:Y73)</f>
        <v>0</v>
      </c>
      <c r="Z17" s="9">
        <f>SUM(Z18:Z73)</f>
        <v>0</v>
      </c>
      <c r="AA17" s="9">
        <f>SUM(AA18:AA73)</f>
        <v>0</v>
      </c>
      <c r="AB17" s="43"/>
      <c r="AC17" s="28" t="s">
        <v>4</v>
      </c>
      <c r="AD17" s="9">
        <f>SUM(AD18:AD73)</f>
        <v>0</v>
      </c>
      <c r="AE17" s="9">
        <f>SUM(AE18:AE73)</f>
        <v>0</v>
      </c>
      <c r="AF17" s="9">
        <f>SUM(AF18:AF73)</f>
        <v>0</v>
      </c>
      <c r="AG17" s="43"/>
      <c r="AH17" s="28" t="s">
        <v>4</v>
      </c>
      <c r="AI17" s="9">
        <f>SUM(AI18:AI73)</f>
        <v>0</v>
      </c>
      <c r="AJ17" s="9">
        <f>SUM(AJ18:AJ73)</f>
        <v>0</v>
      </c>
      <c r="AK17" s="9">
        <f>SUM(AK18:AK73)</f>
        <v>0</v>
      </c>
      <c r="AL17" s="43"/>
      <c r="AM17" s="28" t="s">
        <v>4</v>
      </c>
      <c r="AN17" s="9">
        <f>SUM(AN18:AN73)</f>
        <v>0</v>
      </c>
      <c r="AO17" s="9">
        <f>SUM(AO18:AO73)</f>
        <v>0</v>
      </c>
      <c r="AP17" s="9">
        <f>SUM(AP18:AP73)</f>
        <v>0</v>
      </c>
      <c r="AQ17" s="43"/>
      <c r="AR17" s="28" t="s">
        <v>4</v>
      </c>
      <c r="AS17" s="9">
        <f>SUM(AS18:AS73)</f>
        <v>0</v>
      </c>
      <c r="AT17" s="9">
        <f>SUM(AT18:AT73)</f>
        <v>0</v>
      </c>
      <c r="AU17" s="9">
        <f>SUM(AU18:AU73)</f>
        <v>0</v>
      </c>
      <c r="AV17" s="43"/>
      <c r="AW17" s="28" t="s">
        <v>4</v>
      </c>
      <c r="AX17" s="9">
        <f>SUM(AX18:AX73)</f>
        <v>0</v>
      </c>
      <c r="AY17" s="9">
        <f>SUM(AY18:AY73)</f>
        <v>0</v>
      </c>
      <c r="AZ17" s="9">
        <f>SUM(AZ18:AZ73)</f>
        <v>0</v>
      </c>
      <c r="BA17" s="43"/>
      <c r="BB17" s="28" t="s">
        <v>4</v>
      </c>
      <c r="BC17" s="9">
        <f>SUM(BC18:BC73)</f>
        <v>0</v>
      </c>
      <c r="BD17" s="9">
        <f>SUM(BD18:BD73)</f>
        <v>0</v>
      </c>
      <c r="BE17" s="9">
        <f>SUM(BE18:BE73)</f>
        <v>0</v>
      </c>
    </row>
    <row r="18" spans="1:57" s="2" customFormat="1" ht="90" customHeight="1">
      <c r="H18" s="29">
        <v>1</v>
      </c>
      <c r="I18" s="11"/>
      <c r="J18" s="12"/>
      <c r="K18" s="12"/>
      <c r="L18" s="12">
        <f>SUM(J18:K18)</f>
        <v>0</v>
      </c>
      <c r="M18" s="29">
        <v>1</v>
      </c>
      <c r="N18" s="11"/>
      <c r="O18" s="12"/>
      <c r="P18" s="12"/>
      <c r="Q18" s="12">
        <f>SUM(O18:P18)</f>
        <v>0</v>
      </c>
      <c r="R18" s="29">
        <v>1</v>
      </c>
      <c r="S18" s="13"/>
      <c r="T18" s="14"/>
      <c r="U18" s="14"/>
      <c r="V18" s="12">
        <f>SUM(T18:U18)</f>
        <v>0</v>
      </c>
      <c r="W18" s="29">
        <v>1</v>
      </c>
      <c r="X18" s="13"/>
      <c r="Y18" s="14"/>
      <c r="Z18" s="14"/>
      <c r="AA18" s="12">
        <f>SUM(Y18:Z18)</f>
        <v>0</v>
      </c>
      <c r="AB18" s="29">
        <v>1</v>
      </c>
      <c r="AC18" s="11"/>
      <c r="AD18" s="12"/>
      <c r="AE18" s="12"/>
      <c r="AF18" s="12">
        <f>SUM(AD18:AE18)</f>
        <v>0</v>
      </c>
      <c r="AG18" s="29">
        <v>1</v>
      </c>
      <c r="AH18" s="11"/>
      <c r="AI18" s="12"/>
      <c r="AJ18" s="12"/>
      <c r="AK18" s="12">
        <f>SUM(AI18:AJ18)</f>
        <v>0</v>
      </c>
      <c r="AL18" s="29">
        <v>1</v>
      </c>
      <c r="AM18" s="11"/>
      <c r="AN18" s="12"/>
      <c r="AO18" s="12"/>
      <c r="AP18" s="12">
        <f>SUM(AN18:AO18)</f>
        <v>0</v>
      </c>
      <c r="AQ18" s="29">
        <v>1</v>
      </c>
      <c r="AR18" s="11"/>
      <c r="AS18" s="12"/>
      <c r="AT18" s="12"/>
      <c r="AU18" s="12">
        <f>SUM(AS18:AT18)</f>
        <v>0</v>
      </c>
      <c r="AV18" s="29">
        <v>1</v>
      </c>
      <c r="AW18" s="11"/>
      <c r="AX18" s="12"/>
      <c r="AY18" s="12"/>
      <c r="AZ18" s="12">
        <f>SUM(AX18:AY18)</f>
        <v>0</v>
      </c>
      <c r="BA18" s="29">
        <v>1</v>
      </c>
      <c r="BB18" s="11"/>
      <c r="BC18" s="12"/>
      <c r="BD18" s="12"/>
      <c r="BE18" s="12">
        <f>SUM(BC18:BD18)</f>
        <v>0</v>
      </c>
    </row>
    <row r="19" spans="1:57" s="2" customFormat="1" ht="90" customHeight="1">
      <c r="H19" s="28">
        <v>2</v>
      </c>
      <c r="I19" s="13"/>
      <c r="J19" s="14"/>
      <c r="K19" s="14"/>
      <c r="L19" s="14">
        <f t="shared" ref="L19:L73" si="0">SUM(J19:K19)</f>
        <v>0</v>
      </c>
      <c r="M19" s="28">
        <v>2</v>
      </c>
      <c r="N19" s="13"/>
      <c r="O19" s="14"/>
      <c r="P19" s="14"/>
      <c r="Q19" s="14">
        <f t="shared" ref="Q19:Q73" si="1">SUM(O19:P19)</f>
        <v>0</v>
      </c>
      <c r="R19" s="28">
        <v>2</v>
      </c>
      <c r="S19" s="11"/>
      <c r="T19" s="12"/>
      <c r="U19" s="12"/>
      <c r="V19" s="14">
        <f t="shared" ref="V19:V73" si="2">SUM(T19:U19)</f>
        <v>0</v>
      </c>
      <c r="W19" s="28">
        <v>2</v>
      </c>
      <c r="X19" s="11"/>
      <c r="Y19" s="12"/>
      <c r="Z19" s="12"/>
      <c r="AA19" s="14">
        <f t="shared" ref="AA19:AA73" si="3">SUM(Y19:Z19)</f>
        <v>0</v>
      </c>
      <c r="AB19" s="28">
        <v>2</v>
      </c>
      <c r="AC19" s="13"/>
      <c r="AD19" s="14"/>
      <c r="AE19" s="14"/>
      <c r="AF19" s="14">
        <f t="shared" ref="AF19:AF73" si="4">SUM(AD19:AE19)</f>
        <v>0</v>
      </c>
      <c r="AG19" s="28">
        <v>2</v>
      </c>
      <c r="AH19" s="13"/>
      <c r="AI19" s="14"/>
      <c r="AJ19" s="14"/>
      <c r="AK19" s="14">
        <f t="shared" ref="AK19:AK73" si="5">SUM(AI19:AJ19)</f>
        <v>0</v>
      </c>
      <c r="AL19" s="28">
        <v>2</v>
      </c>
      <c r="AM19" s="13"/>
      <c r="AN19" s="14"/>
      <c r="AO19" s="14"/>
      <c r="AP19" s="14">
        <f t="shared" ref="AP19:AP73" si="6">SUM(AN19:AO19)</f>
        <v>0</v>
      </c>
      <c r="AQ19" s="28">
        <v>2</v>
      </c>
      <c r="AR19" s="13"/>
      <c r="AS19" s="14"/>
      <c r="AT19" s="14"/>
      <c r="AU19" s="14">
        <f t="shared" ref="AU19:AU73" si="7">SUM(AS19:AT19)</f>
        <v>0</v>
      </c>
      <c r="AV19" s="28">
        <v>2</v>
      </c>
      <c r="AW19" s="13"/>
      <c r="AX19" s="14"/>
      <c r="AY19" s="14"/>
      <c r="AZ19" s="14">
        <f t="shared" ref="AZ19:AZ73" si="8">SUM(AX19:AY19)</f>
        <v>0</v>
      </c>
      <c r="BA19" s="28">
        <v>2</v>
      </c>
      <c r="BB19" s="13"/>
      <c r="BC19" s="14"/>
      <c r="BD19" s="14"/>
      <c r="BE19" s="14">
        <f t="shared" ref="BE19:BE73" si="9">SUM(BC19:BD19)</f>
        <v>0</v>
      </c>
    </row>
    <row r="20" spans="1:57" s="2" customFormat="1" ht="90" customHeight="1">
      <c r="A20" s="18"/>
      <c r="H20" s="28">
        <v>3</v>
      </c>
      <c r="I20" s="13"/>
      <c r="J20" s="14"/>
      <c r="K20" s="14"/>
      <c r="L20" s="14">
        <f t="shared" si="0"/>
        <v>0</v>
      </c>
      <c r="M20" s="28">
        <v>3</v>
      </c>
      <c r="N20" s="13"/>
      <c r="O20" s="14"/>
      <c r="P20" s="14"/>
      <c r="Q20" s="14">
        <f t="shared" si="1"/>
        <v>0</v>
      </c>
      <c r="R20" s="28">
        <v>3</v>
      </c>
      <c r="S20" s="13"/>
      <c r="T20" s="14"/>
      <c r="U20" s="14"/>
      <c r="V20" s="14">
        <f t="shared" si="2"/>
        <v>0</v>
      </c>
      <c r="W20" s="28">
        <v>3</v>
      </c>
      <c r="X20" s="13"/>
      <c r="Y20" s="14"/>
      <c r="Z20" s="14"/>
      <c r="AA20" s="14">
        <f t="shared" si="3"/>
        <v>0</v>
      </c>
      <c r="AB20" s="28">
        <v>3</v>
      </c>
      <c r="AC20" s="13"/>
      <c r="AD20" s="14"/>
      <c r="AE20" s="14"/>
      <c r="AF20" s="14">
        <f t="shared" si="4"/>
        <v>0</v>
      </c>
      <c r="AG20" s="28">
        <v>3</v>
      </c>
      <c r="AH20" s="13"/>
      <c r="AI20" s="14"/>
      <c r="AJ20" s="14"/>
      <c r="AK20" s="14">
        <f t="shared" si="5"/>
        <v>0</v>
      </c>
      <c r="AL20" s="28">
        <v>3</v>
      </c>
      <c r="AM20" s="13"/>
      <c r="AN20" s="14"/>
      <c r="AO20" s="14"/>
      <c r="AP20" s="14">
        <f t="shared" si="6"/>
        <v>0</v>
      </c>
      <c r="AQ20" s="28">
        <v>3</v>
      </c>
      <c r="AR20" s="13"/>
      <c r="AS20" s="14"/>
      <c r="AT20" s="14"/>
      <c r="AU20" s="14">
        <f t="shared" si="7"/>
        <v>0</v>
      </c>
      <c r="AV20" s="28">
        <v>3</v>
      </c>
      <c r="AW20" s="13"/>
      <c r="AX20" s="14"/>
      <c r="AY20" s="14"/>
      <c r="AZ20" s="14">
        <f t="shared" si="8"/>
        <v>0</v>
      </c>
      <c r="BA20" s="28">
        <v>3</v>
      </c>
      <c r="BB20" s="13"/>
      <c r="BC20" s="14"/>
      <c r="BD20" s="14"/>
      <c r="BE20" s="14">
        <f t="shared" si="9"/>
        <v>0</v>
      </c>
    </row>
    <row r="21" spans="1:57" s="2" customFormat="1" ht="90" customHeight="1">
      <c r="H21" s="28">
        <v>4</v>
      </c>
      <c r="I21" s="13"/>
      <c r="J21" s="14"/>
      <c r="K21" s="14"/>
      <c r="L21" s="14">
        <f t="shared" si="0"/>
        <v>0</v>
      </c>
      <c r="M21" s="28">
        <v>4</v>
      </c>
      <c r="N21" s="13"/>
      <c r="O21" s="14"/>
      <c r="P21" s="14"/>
      <c r="Q21" s="14">
        <f t="shared" si="1"/>
        <v>0</v>
      </c>
      <c r="R21" s="28">
        <v>4</v>
      </c>
      <c r="S21" s="13"/>
      <c r="T21" s="14"/>
      <c r="U21" s="14"/>
      <c r="V21" s="14">
        <f t="shared" si="2"/>
        <v>0</v>
      </c>
      <c r="W21" s="28">
        <v>4</v>
      </c>
      <c r="X21" s="13"/>
      <c r="Y21" s="14"/>
      <c r="Z21" s="14"/>
      <c r="AA21" s="14">
        <f t="shared" si="3"/>
        <v>0</v>
      </c>
      <c r="AB21" s="28">
        <v>4</v>
      </c>
      <c r="AC21" s="13"/>
      <c r="AD21" s="14"/>
      <c r="AE21" s="14"/>
      <c r="AF21" s="14">
        <f t="shared" si="4"/>
        <v>0</v>
      </c>
      <c r="AG21" s="28">
        <v>4</v>
      </c>
      <c r="AH21" s="13"/>
      <c r="AI21" s="14"/>
      <c r="AJ21" s="14"/>
      <c r="AK21" s="14">
        <f t="shared" si="5"/>
        <v>0</v>
      </c>
      <c r="AL21" s="28">
        <v>4</v>
      </c>
      <c r="AM21" s="13"/>
      <c r="AN21" s="14"/>
      <c r="AO21" s="14"/>
      <c r="AP21" s="14">
        <f t="shared" si="6"/>
        <v>0</v>
      </c>
      <c r="AQ21" s="28">
        <v>4</v>
      </c>
      <c r="AR21" s="13"/>
      <c r="AS21" s="14"/>
      <c r="AT21" s="14"/>
      <c r="AU21" s="14">
        <f t="shared" si="7"/>
        <v>0</v>
      </c>
      <c r="AV21" s="28">
        <v>4</v>
      </c>
      <c r="AW21" s="13"/>
      <c r="AX21" s="14"/>
      <c r="AY21" s="14"/>
      <c r="AZ21" s="14">
        <f t="shared" si="8"/>
        <v>0</v>
      </c>
      <c r="BA21" s="28">
        <v>4</v>
      </c>
      <c r="BB21" s="13"/>
      <c r="BC21" s="14"/>
      <c r="BD21" s="14"/>
      <c r="BE21" s="14">
        <f t="shared" si="9"/>
        <v>0</v>
      </c>
    </row>
    <row r="22" spans="1:57" s="2" customFormat="1" ht="90" customHeight="1">
      <c r="H22" s="28">
        <v>5</v>
      </c>
      <c r="I22" s="13"/>
      <c r="J22" s="14"/>
      <c r="K22" s="14"/>
      <c r="L22" s="14">
        <f t="shared" si="0"/>
        <v>0</v>
      </c>
      <c r="M22" s="28">
        <v>5</v>
      </c>
      <c r="N22" s="13"/>
      <c r="O22" s="14"/>
      <c r="P22" s="14"/>
      <c r="Q22" s="14">
        <f t="shared" si="1"/>
        <v>0</v>
      </c>
      <c r="R22" s="28">
        <v>5</v>
      </c>
      <c r="S22" s="26"/>
      <c r="T22" s="14"/>
      <c r="U22" s="14"/>
      <c r="V22" s="14">
        <f t="shared" si="2"/>
        <v>0</v>
      </c>
      <c r="W22" s="28">
        <v>5</v>
      </c>
      <c r="X22" s="13"/>
      <c r="Y22" s="14"/>
      <c r="Z22" s="14"/>
      <c r="AA22" s="14">
        <f t="shared" si="3"/>
        <v>0</v>
      </c>
      <c r="AB22" s="28">
        <v>5</v>
      </c>
      <c r="AC22" s="13"/>
      <c r="AD22" s="14"/>
      <c r="AE22" s="14"/>
      <c r="AF22" s="14">
        <f t="shared" si="4"/>
        <v>0</v>
      </c>
      <c r="AG22" s="28">
        <v>5</v>
      </c>
      <c r="AH22" s="13"/>
      <c r="AI22" s="14"/>
      <c r="AJ22" s="14"/>
      <c r="AK22" s="14">
        <f t="shared" si="5"/>
        <v>0</v>
      </c>
      <c r="AL22" s="28">
        <v>5</v>
      </c>
      <c r="AM22" s="13"/>
      <c r="AN22" s="14"/>
      <c r="AO22" s="14"/>
      <c r="AP22" s="14">
        <f t="shared" si="6"/>
        <v>0</v>
      </c>
      <c r="AQ22" s="28">
        <v>5</v>
      </c>
      <c r="AR22" s="13"/>
      <c r="AS22" s="14"/>
      <c r="AT22" s="14"/>
      <c r="AU22" s="14">
        <f t="shared" si="7"/>
        <v>0</v>
      </c>
      <c r="AV22" s="28">
        <v>5</v>
      </c>
      <c r="AW22" s="13"/>
      <c r="AX22" s="14"/>
      <c r="AY22" s="14"/>
      <c r="AZ22" s="14">
        <f t="shared" si="8"/>
        <v>0</v>
      </c>
      <c r="BA22" s="28">
        <v>5</v>
      </c>
      <c r="BB22" s="13"/>
      <c r="BC22" s="14"/>
      <c r="BD22" s="14"/>
      <c r="BE22" s="14">
        <f t="shared" si="9"/>
        <v>0</v>
      </c>
    </row>
    <row r="23" spans="1:57" s="2" customFormat="1" ht="90" customHeight="1">
      <c r="H23" s="28">
        <v>6</v>
      </c>
      <c r="I23" s="13"/>
      <c r="J23" s="14"/>
      <c r="K23" s="14"/>
      <c r="L23" s="14">
        <f t="shared" si="0"/>
        <v>0</v>
      </c>
      <c r="M23" s="28">
        <v>6</v>
      </c>
      <c r="N23" s="13"/>
      <c r="O23" s="14"/>
      <c r="P23" s="14"/>
      <c r="Q23" s="14">
        <f t="shared" si="1"/>
        <v>0</v>
      </c>
      <c r="R23" s="28">
        <v>6</v>
      </c>
      <c r="S23" s="13"/>
      <c r="T23" s="14"/>
      <c r="U23" s="14"/>
      <c r="V23" s="14">
        <f t="shared" si="2"/>
        <v>0</v>
      </c>
      <c r="W23" s="28">
        <v>6</v>
      </c>
      <c r="X23" s="13"/>
      <c r="Y23" s="14"/>
      <c r="Z23" s="14"/>
      <c r="AA23" s="14">
        <f t="shared" si="3"/>
        <v>0</v>
      </c>
      <c r="AB23" s="28">
        <v>6</v>
      </c>
      <c r="AC23" s="13"/>
      <c r="AD23" s="14"/>
      <c r="AE23" s="14"/>
      <c r="AF23" s="14">
        <f t="shared" si="4"/>
        <v>0</v>
      </c>
      <c r="AG23" s="28">
        <v>6</v>
      </c>
      <c r="AH23" s="13"/>
      <c r="AI23" s="14"/>
      <c r="AJ23" s="14"/>
      <c r="AK23" s="14">
        <f t="shared" si="5"/>
        <v>0</v>
      </c>
      <c r="AL23" s="28">
        <v>6</v>
      </c>
      <c r="AM23" s="13"/>
      <c r="AN23" s="14"/>
      <c r="AO23" s="14"/>
      <c r="AP23" s="14">
        <f t="shared" si="6"/>
        <v>0</v>
      </c>
      <c r="AQ23" s="28">
        <v>6</v>
      </c>
      <c r="AR23" s="13"/>
      <c r="AS23" s="14"/>
      <c r="AT23" s="14"/>
      <c r="AU23" s="14">
        <f t="shared" si="7"/>
        <v>0</v>
      </c>
      <c r="AV23" s="28">
        <v>6</v>
      </c>
      <c r="AW23" s="13"/>
      <c r="AX23" s="14"/>
      <c r="AY23" s="14"/>
      <c r="AZ23" s="14">
        <f t="shared" si="8"/>
        <v>0</v>
      </c>
      <c r="BA23" s="28">
        <v>6</v>
      </c>
      <c r="BB23" s="13"/>
      <c r="BC23" s="14"/>
      <c r="BD23" s="14"/>
      <c r="BE23" s="14">
        <f t="shared" si="9"/>
        <v>0</v>
      </c>
    </row>
    <row r="24" spans="1:57" s="2" customFormat="1" ht="90" customHeight="1">
      <c r="H24" s="28">
        <v>7</v>
      </c>
      <c r="I24" s="11"/>
      <c r="J24" s="12"/>
      <c r="K24" s="12"/>
      <c r="L24" s="14">
        <f t="shared" si="0"/>
        <v>0</v>
      </c>
      <c r="M24" s="28">
        <v>7</v>
      </c>
      <c r="N24" s="13"/>
      <c r="O24" s="14"/>
      <c r="P24" s="14"/>
      <c r="Q24" s="14">
        <f t="shared" si="1"/>
        <v>0</v>
      </c>
      <c r="R24" s="28">
        <v>7</v>
      </c>
      <c r="S24" s="13"/>
      <c r="T24" s="14"/>
      <c r="U24" s="14"/>
      <c r="V24" s="14">
        <f t="shared" si="2"/>
        <v>0</v>
      </c>
      <c r="W24" s="28">
        <v>7</v>
      </c>
      <c r="X24" s="13"/>
      <c r="Y24" s="14"/>
      <c r="Z24" s="14"/>
      <c r="AA24" s="14">
        <f t="shared" si="3"/>
        <v>0</v>
      </c>
      <c r="AB24" s="28">
        <v>7</v>
      </c>
      <c r="AC24" s="13"/>
      <c r="AD24" s="14"/>
      <c r="AE24" s="14"/>
      <c r="AF24" s="14">
        <f t="shared" si="4"/>
        <v>0</v>
      </c>
      <c r="AG24" s="28">
        <v>7</v>
      </c>
      <c r="AH24" s="13"/>
      <c r="AI24" s="14"/>
      <c r="AJ24" s="14"/>
      <c r="AK24" s="14">
        <f t="shared" si="5"/>
        <v>0</v>
      </c>
      <c r="AL24" s="28">
        <v>7</v>
      </c>
      <c r="AM24" s="13"/>
      <c r="AN24" s="14"/>
      <c r="AO24" s="14"/>
      <c r="AP24" s="14">
        <f t="shared" si="6"/>
        <v>0</v>
      </c>
      <c r="AQ24" s="28">
        <v>7</v>
      </c>
      <c r="AR24" s="13"/>
      <c r="AS24" s="14"/>
      <c r="AT24" s="14"/>
      <c r="AU24" s="14">
        <f t="shared" si="7"/>
        <v>0</v>
      </c>
      <c r="AV24" s="28">
        <v>7</v>
      </c>
      <c r="AW24" s="13"/>
      <c r="AX24" s="14"/>
      <c r="AY24" s="14"/>
      <c r="AZ24" s="14">
        <f t="shared" si="8"/>
        <v>0</v>
      </c>
      <c r="BA24" s="28">
        <v>7</v>
      </c>
      <c r="BB24" s="13"/>
      <c r="BC24" s="14"/>
      <c r="BD24" s="14"/>
      <c r="BE24" s="14">
        <f t="shared" si="9"/>
        <v>0</v>
      </c>
    </row>
    <row r="25" spans="1:57" s="2" customFormat="1" ht="90" customHeight="1">
      <c r="H25" s="28">
        <v>8</v>
      </c>
      <c r="I25" s="13"/>
      <c r="J25" s="14"/>
      <c r="K25" s="14"/>
      <c r="L25" s="14">
        <f t="shared" si="0"/>
        <v>0</v>
      </c>
      <c r="M25" s="28">
        <v>8</v>
      </c>
      <c r="N25" s="13"/>
      <c r="O25" s="14"/>
      <c r="P25" s="14"/>
      <c r="Q25" s="14">
        <f t="shared" si="1"/>
        <v>0</v>
      </c>
      <c r="R25" s="28">
        <v>8</v>
      </c>
      <c r="S25" s="13"/>
      <c r="T25" s="14"/>
      <c r="U25" s="14"/>
      <c r="V25" s="14">
        <f t="shared" si="2"/>
        <v>0</v>
      </c>
      <c r="W25" s="28">
        <v>8</v>
      </c>
      <c r="X25" s="13"/>
      <c r="Y25" s="14"/>
      <c r="Z25" s="14"/>
      <c r="AA25" s="14">
        <f t="shared" si="3"/>
        <v>0</v>
      </c>
      <c r="AB25" s="28">
        <v>8</v>
      </c>
      <c r="AC25" s="13"/>
      <c r="AD25" s="14"/>
      <c r="AE25" s="14"/>
      <c r="AF25" s="14">
        <f t="shared" si="4"/>
        <v>0</v>
      </c>
      <c r="AG25" s="28">
        <v>8</v>
      </c>
      <c r="AH25" s="13"/>
      <c r="AI25" s="14"/>
      <c r="AJ25" s="14"/>
      <c r="AK25" s="14">
        <f t="shared" si="5"/>
        <v>0</v>
      </c>
      <c r="AL25" s="28">
        <v>8</v>
      </c>
      <c r="AM25" s="13"/>
      <c r="AN25" s="14"/>
      <c r="AO25" s="14"/>
      <c r="AP25" s="14">
        <f t="shared" si="6"/>
        <v>0</v>
      </c>
      <c r="AQ25" s="28">
        <v>8</v>
      </c>
      <c r="AR25" s="13"/>
      <c r="AS25" s="14"/>
      <c r="AT25" s="14"/>
      <c r="AU25" s="14">
        <f t="shared" si="7"/>
        <v>0</v>
      </c>
      <c r="AV25" s="28">
        <v>8</v>
      </c>
      <c r="AW25" s="13"/>
      <c r="AX25" s="14"/>
      <c r="AY25" s="14"/>
      <c r="AZ25" s="14">
        <f t="shared" si="8"/>
        <v>0</v>
      </c>
      <c r="BA25" s="28">
        <v>8</v>
      </c>
      <c r="BB25" s="13"/>
      <c r="BC25" s="14"/>
      <c r="BD25" s="14"/>
      <c r="BE25" s="14">
        <f t="shared" si="9"/>
        <v>0</v>
      </c>
    </row>
    <row r="26" spans="1:57" s="2" customFormat="1" ht="90" customHeight="1">
      <c r="H26" s="28">
        <v>9</v>
      </c>
      <c r="I26" s="13"/>
      <c r="J26" s="14"/>
      <c r="K26" s="14"/>
      <c r="L26" s="14">
        <f t="shared" si="0"/>
        <v>0</v>
      </c>
      <c r="M26" s="28">
        <v>9</v>
      </c>
      <c r="N26" s="13"/>
      <c r="O26" s="14"/>
      <c r="P26" s="14"/>
      <c r="Q26" s="14">
        <f t="shared" si="1"/>
        <v>0</v>
      </c>
      <c r="R26" s="28">
        <v>9</v>
      </c>
      <c r="S26" s="13"/>
      <c r="T26" s="14"/>
      <c r="U26" s="14"/>
      <c r="V26" s="14">
        <f t="shared" si="2"/>
        <v>0</v>
      </c>
      <c r="W26" s="28">
        <v>9</v>
      </c>
      <c r="X26" s="13"/>
      <c r="Y26" s="14"/>
      <c r="Z26" s="14"/>
      <c r="AA26" s="14">
        <f t="shared" si="3"/>
        <v>0</v>
      </c>
      <c r="AB26" s="28">
        <v>9</v>
      </c>
      <c r="AC26" s="13"/>
      <c r="AD26" s="14"/>
      <c r="AE26" s="14"/>
      <c r="AF26" s="14">
        <f t="shared" si="4"/>
        <v>0</v>
      </c>
      <c r="AG26" s="28">
        <v>9</v>
      </c>
      <c r="AH26" s="13"/>
      <c r="AI26" s="14"/>
      <c r="AJ26" s="14"/>
      <c r="AK26" s="14">
        <f t="shared" si="5"/>
        <v>0</v>
      </c>
      <c r="AL26" s="28">
        <v>9</v>
      </c>
      <c r="AM26" s="13"/>
      <c r="AN26" s="14"/>
      <c r="AO26" s="14"/>
      <c r="AP26" s="14">
        <f t="shared" si="6"/>
        <v>0</v>
      </c>
      <c r="AQ26" s="28">
        <v>9</v>
      </c>
      <c r="AR26" s="13"/>
      <c r="AS26" s="14"/>
      <c r="AT26" s="14"/>
      <c r="AU26" s="14">
        <f t="shared" si="7"/>
        <v>0</v>
      </c>
      <c r="AV26" s="28">
        <v>9</v>
      </c>
      <c r="AW26" s="13"/>
      <c r="AX26" s="14"/>
      <c r="AY26" s="14"/>
      <c r="AZ26" s="14">
        <f t="shared" si="8"/>
        <v>0</v>
      </c>
      <c r="BA26" s="28">
        <v>9</v>
      </c>
      <c r="BB26" s="13"/>
      <c r="BC26" s="14"/>
      <c r="BD26" s="14"/>
      <c r="BE26" s="14">
        <f t="shared" si="9"/>
        <v>0</v>
      </c>
    </row>
    <row r="27" spans="1:57" s="2" customFormat="1" ht="85.15" customHeight="1">
      <c r="H27" s="28">
        <v>10</v>
      </c>
      <c r="I27" s="13"/>
      <c r="J27" s="14"/>
      <c r="K27" s="14"/>
      <c r="L27" s="14">
        <f t="shared" si="0"/>
        <v>0</v>
      </c>
      <c r="M27" s="28">
        <v>10</v>
      </c>
      <c r="N27" s="13"/>
      <c r="O27" s="14"/>
      <c r="P27" s="14"/>
      <c r="Q27" s="14">
        <f t="shared" si="1"/>
        <v>0</v>
      </c>
      <c r="R27" s="28">
        <v>10</v>
      </c>
      <c r="S27" s="13"/>
      <c r="T27" s="14"/>
      <c r="U27" s="14"/>
      <c r="V27" s="14">
        <f t="shared" si="2"/>
        <v>0</v>
      </c>
      <c r="W27" s="28">
        <v>10</v>
      </c>
      <c r="X27" s="13"/>
      <c r="Y27" s="14"/>
      <c r="Z27" s="14"/>
      <c r="AA27" s="14">
        <f t="shared" si="3"/>
        <v>0</v>
      </c>
      <c r="AB27" s="28">
        <v>10</v>
      </c>
      <c r="AC27" s="13"/>
      <c r="AD27" s="14"/>
      <c r="AE27" s="14"/>
      <c r="AF27" s="14">
        <f t="shared" si="4"/>
        <v>0</v>
      </c>
      <c r="AG27" s="28">
        <v>10</v>
      </c>
      <c r="AH27" s="13"/>
      <c r="AI27" s="14"/>
      <c r="AJ27" s="14"/>
      <c r="AK27" s="14">
        <f t="shared" si="5"/>
        <v>0</v>
      </c>
      <c r="AL27" s="28">
        <v>10</v>
      </c>
      <c r="AM27" s="13"/>
      <c r="AN27" s="14"/>
      <c r="AO27" s="14"/>
      <c r="AP27" s="14">
        <f t="shared" si="6"/>
        <v>0</v>
      </c>
      <c r="AQ27" s="28">
        <v>10</v>
      </c>
      <c r="AR27" s="13"/>
      <c r="AS27" s="14"/>
      <c r="AT27" s="14"/>
      <c r="AU27" s="14">
        <f t="shared" si="7"/>
        <v>0</v>
      </c>
      <c r="AV27" s="28">
        <v>10</v>
      </c>
      <c r="AW27" s="13"/>
      <c r="AX27" s="14"/>
      <c r="AY27" s="14"/>
      <c r="AZ27" s="14">
        <f t="shared" si="8"/>
        <v>0</v>
      </c>
      <c r="BA27" s="28">
        <v>10</v>
      </c>
      <c r="BB27" s="13"/>
      <c r="BC27" s="14"/>
      <c r="BD27" s="14"/>
      <c r="BE27" s="14">
        <f t="shared" si="9"/>
        <v>0</v>
      </c>
    </row>
    <row r="28" spans="1:57" s="2" customFormat="1" ht="85.15" customHeight="1">
      <c r="H28" s="28">
        <v>11</v>
      </c>
      <c r="I28" s="13"/>
      <c r="J28" s="14"/>
      <c r="K28" s="14"/>
      <c r="L28" s="14">
        <f t="shared" si="0"/>
        <v>0</v>
      </c>
      <c r="M28" s="28">
        <v>11</v>
      </c>
      <c r="N28" s="13"/>
      <c r="O28" s="14"/>
      <c r="P28" s="14"/>
      <c r="Q28" s="14">
        <f t="shared" si="1"/>
        <v>0</v>
      </c>
      <c r="R28" s="28">
        <v>11</v>
      </c>
      <c r="S28" s="13"/>
      <c r="T28" s="14"/>
      <c r="U28" s="14"/>
      <c r="V28" s="14">
        <f t="shared" si="2"/>
        <v>0</v>
      </c>
      <c r="W28" s="28">
        <v>11</v>
      </c>
      <c r="X28" s="13"/>
      <c r="Y28" s="14"/>
      <c r="Z28" s="14"/>
      <c r="AA28" s="14">
        <f t="shared" si="3"/>
        <v>0</v>
      </c>
      <c r="AB28" s="28">
        <v>11</v>
      </c>
      <c r="AC28" s="13"/>
      <c r="AD28" s="14"/>
      <c r="AE28" s="14"/>
      <c r="AF28" s="14">
        <f t="shared" si="4"/>
        <v>0</v>
      </c>
      <c r="AG28" s="28">
        <v>11</v>
      </c>
      <c r="AH28" s="13"/>
      <c r="AI28" s="14"/>
      <c r="AJ28" s="14"/>
      <c r="AK28" s="14">
        <f t="shared" si="5"/>
        <v>0</v>
      </c>
      <c r="AL28" s="28">
        <v>11</v>
      </c>
      <c r="AM28" s="13"/>
      <c r="AN28" s="14"/>
      <c r="AO28" s="14"/>
      <c r="AP28" s="14">
        <f t="shared" si="6"/>
        <v>0</v>
      </c>
      <c r="AQ28" s="28">
        <v>11</v>
      </c>
      <c r="AR28" s="13"/>
      <c r="AS28" s="14"/>
      <c r="AT28" s="14"/>
      <c r="AU28" s="14">
        <f t="shared" si="7"/>
        <v>0</v>
      </c>
      <c r="AV28" s="28">
        <v>11</v>
      </c>
      <c r="AW28" s="13"/>
      <c r="AX28" s="14"/>
      <c r="AY28" s="14"/>
      <c r="AZ28" s="14">
        <f t="shared" si="8"/>
        <v>0</v>
      </c>
      <c r="BA28" s="28">
        <v>11</v>
      </c>
      <c r="BB28" s="13"/>
      <c r="BC28" s="14"/>
      <c r="BD28" s="14"/>
      <c r="BE28" s="14">
        <f t="shared" si="9"/>
        <v>0</v>
      </c>
    </row>
    <row r="29" spans="1:57" s="2" customFormat="1" ht="85.15" customHeight="1">
      <c r="H29" s="28">
        <v>12</v>
      </c>
      <c r="I29" s="13"/>
      <c r="J29" s="14"/>
      <c r="K29" s="14"/>
      <c r="L29" s="14">
        <f t="shared" si="0"/>
        <v>0</v>
      </c>
      <c r="M29" s="28">
        <v>12</v>
      </c>
      <c r="N29" s="13"/>
      <c r="O29" s="14"/>
      <c r="P29" s="14"/>
      <c r="Q29" s="14">
        <f t="shared" si="1"/>
        <v>0</v>
      </c>
      <c r="R29" s="28">
        <v>12</v>
      </c>
      <c r="S29" s="13"/>
      <c r="T29" s="14"/>
      <c r="U29" s="14"/>
      <c r="V29" s="14">
        <f t="shared" si="2"/>
        <v>0</v>
      </c>
      <c r="W29" s="28">
        <v>12</v>
      </c>
      <c r="X29" s="13"/>
      <c r="Y29" s="14"/>
      <c r="Z29" s="14"/>
      <c r="AA29" s="14">
        <f t="shared" si="3"/>
        <v>0</v>
      </c>
      <c r="AB29" s="28">
        <v>12</v>
      </c>
      <c r="AC29" s="13"/>
      <c r="AD29" s="14"/>
      <c r="AE29" s="14"/>
      <c r="AF29" s="14">
        <f t="shared" si="4"/>
        <v>0</v>
      </c>
      <c r="AG29" s="28">
        <v>12</v>
      </c>
      <c r="AH29" s="13"/>
      <c r="AI29" s="14"/>
      <c r="AJ29" s="14"/>
      <c r="AK29" s="14">
        <f t="shared" si="5"/>
        <v>0</v>
      </c>
      <c r="AL29" s="28">
        <v>12</v>
      </c>
      <c r="AM29" s="13"/>
      <c r="AN29" s="14"/>
      <c r="AO29" s="14"/>
      <c r="AP29" s="14">
        <f t="shared" si="6"/>
        <v>0</v>
      </c>
      <c r="AQ29" s="28">
        <v>12</v>
      </c>
      <c r="AR29" s="13"/>
      <c r="AS29" s="14"/>
      <c r="AT29" s="14"/>
      <c r="AU29" s="14">
        <f t="shared" si="7"/>
        <v>0</v>
      </c>
      <c r="AV29" s="28">
        <v>12</v>
      </c>
      <c r="AW29" s="13"/>
      <c r="AX29" s="14"/>
      <c r="AY29" s="14"/>
      <c r="AZ29" s="14">
        <f t="shared" si="8"/>
        <v>0</v>
      </c>
      <c r="BA29" s="28">
        <v>12</v>
      </c>
      <c r="BB29" s="13"/>
      <c r="BC29" s="14"/>
      <c r="BD29" s="14"/>
      <c r="BE29" s="14">
        <f t="shared" si="9"/>
        <v>0</v>
      </c>
    </row>
    <row r="30" spans="1:57" s="2" customFormat="1" ht="85.15" customHeight="1">
      <c r="H30" s="28">
        <v>13</v>
      </c>
      <c r="I30" s="13"/>
      <c r="J30" s="14"/>
      <c r="K30" s="14"/>
      <c r="L30" s="14">
        <f t="shared" si="0"/>
        <v>0</v>
      </c>
      <c r="M30" s="28">
        <v>13</v>
      </c>
      <c r="N30" s="13"/>
      <c r="O30" s="14"/>
      <c r="P30" s="14"/>
      <c r="Q30" s="14">
        <f t="shared" si="1"/>
        <v>0</v>
      </c>
      <c r="R30" s="28">
        <v>13</v>
      </c>
      <c r="S30" s="13"/>
      <c r="T30" s="14"/>
      <c r="U30" s="14"/>
      <c r="V30" s="14">
        <f t="shared" si="2"/>
        <v>0</v>
      </c>
      <c r="W30" s="28">
        <v>13</v>
      </c>
      <c r="X30" s="13"/>
      <c r="Y30" s="14"/>
      <c r="Z30" s="14"/>
      <c r="AA30" s="14">
        <f t="shared" si="3"/>
        <v>0</v>
      </c>
      <c r="AB30" s="28">
        <v>13</v>
      </c>
      <c r="AC30" s="13"/>
      <c r="AD30" s="14"/>
      <c r="AE30" s="14"/>
      <c r="AF30" s="14">
        <f t="shared" si="4"/>
        <v>0</v>
      </c>
      <c r="AG30" s="28">
        <v>13</v>
      </c>
      <c r="AH30" s="13"/>
      <c r="AI30" s="14"/>
      <c r="AJ30" s="14"/>
      <c r="AK30" s="14">
        <f t="shared" si="5"/>
        <v>0</v>
      </c>
      <c r="AL30" s="28">
        <v>13</v>
      </c>
      <c r="AM30" s="13"/>
      <c r="AN30" s="14"/>
      <c r="AO30" s="14"/>
      <c r="AP30" s="14">
        <f t="shared" si="6"/>
        <v>0</v>
      </c>
      <c r="AQ30" s="28">
        <v>13</v>
      </c>
      <c r="AR30" s="13"/>
      <c r="AS30" s="14"/>
      <c r="AT30" s="14"/>
      <c r="AU30" s="14">
        <f t="shared" si="7"/>
        <v>0</v>
      </c>
      <c r="AV30" s="28">
        <v>13</v>
      </c>
      <c r="AW30" s="13"/>
      <c r="AX30" s="14"/>
      <c r="AY30" s="14"/>
      <c r="AZ30" s="14">
        <f t="shared" si="8"/>
        <v>0</v>
      </c>
      <c r="BA30" s="28">
        <v>13</v>
      </c>
      <c r="BB30" s="13"/>
      <c r="BC30" s="14"/>
      <c r="BD30" s="14"/>
      <c r="BE30" s="14">
        <f t="shared" si="9"/>
        <v>0</v>
      </c>
    </row>
    <row r="31" spans="1:57" s="2" customFormat="1" ht="85.15" customHeight="1">
      <c r="H31" s="28">
        <v>14</v>
      </c>
      <c r="I31" s="13"/>
      <c r="J31" s="14"/>
      <c r="K31" s="14"/>
      <c r="L31" s="14">
        <f t="shared" si="0"/>
        <v>0</v>
      </c>
      <c r="M31" s="28">
        <v>14</v>
      </c>
      <c r="N31" s="13"/>
      <c r="O31" s="14"/>
      <c r="P31" s="14"/>
      <c r="Q31" s="14">
        <f t="shared" si="1"/>
        <v>0</v>
      </c>
      <c r="R31" s="28">
        <v>14</v>
      </c>
      <c r="S31" s="13"/>
      <c r="T31" s="14"/>
      <c r="U31" s="14"/>
      <c r="V31" s="14">
        <f t="shared" si="2"/>
        <v>0</v>
      </c>
      <c r="W31" s="28">
        <v>14</v>
      </c>
      <c r="X31" s="13"/>
      <c r="Y31" s="14"/>
      <c r="Z31" s="14"/>
      <c r="AA31" s="14">
        <f t="shared" si="3"/>
        <v>0</v>
      </c>
      <c r="AB31" s="28">
        <v>14</v>
      </c>
      <c r="AC31" s="13"/>
      <c r="AD31" s="14"/>
      <c r="AE31" s="14"/>
      <c r="AF31" s="14">
        <f t="shared" si="4"/>
        <v>0</v>
      </c>
      <c r="AG31" s="28">
        <v>14</v>
      </c>
      <c r="AH31" s="13"/>
      <c r="AI31" s="14"/>
      <c r="AJ31" s="14"/>
      <c r="AK31" s="14">
        <f t="shared" si="5"/>
        <v>0</v>
      </c>
      <c r="AL31" s="28">
        <v>14</v>
      </c>
      <c r="AM31" s="13"/>
      <c r="AN31" s="14"/>
      <c r="AO31" s="14"/>
      <c r="AP31" s="14">
        <f t="shared" si="6"/>
        <v>0</v>
      </c>
      <c r="AQ31" s="28">
        <v>14</v>
      </c>
      <c r="AR31" s="13"/>
      <c r="AS31" s="14"/>
      <c r="AT31" s="14"/>
      <c r="AU31" s="14">
        <f t="shared" si="7"/>
        <v>0</v>
      </c>
      <c r="AV31" s="28">
        <v>14</v>
      </c>
      <c r="AW31" s="13"/>
      <c r="AX31" s="14"/>
      <c r="AY31" s="14"/>
      <c r="AZ31" s="14">
        <f t="shared" si="8"/>
        <v>0</v>
      </c>
      <c r="BA31" s="28">
        <v>14</v>
      </c>
      <c r="BB31" s="13"/>
      <c r="BC31" s="14"/>
      <c r="BD31" s="14"/>
      <c r="BE31" s="14">
        <f t="shared" si="9"/>
        <v>0</v>
      </c>
    </row>
    <row r="32" spans="1:57" s="2" customFormat="1" ht="85.15" customHeight="1">
      <c r="H32" s="28">
        <v>15</v>
      </c>
      <c r="I32" s="13"/>
      <c r="J32" s="14"/>
      <c r="K32" s="14"/>
      <c r="L32" s="14">
        <f t="shared" si="0"/>
        <v>0</v>
      </c>
      <c r="M32" s="28">
        <v>15</v>
      </c>
      <c r="N32" s="13"/>
      <c r="O32" s="14"/>
      <c r="P32" s="14"/>
      <c r="Q32" s="14">
        <f t="shared" si="1"/>
        <v>0</v>
      </c>
      <c r="R32" s="28">
        <v>15</v>
      </c>
      <c r="S32" s="13"/>
      <c r="T32" s="14"/>
      <c r="U32" s="14"/>
      <c r="V32" s="14">
        <f t="shared" si="2"/>
        <v>0</v>
      </c>
      <c r="W32" s="28">
        <v>15</v>
      </c>
      <c r="X32" s="13"/>
      <c r="Y32" s="14"/>
      <c r="Z32" s="14"/>
      <c r="AA32" s="14">
        <f t="shared" si="3"/>
        <v>0</v>
      </c>
      <c r="AB32" s="28">
        <v>15</v>
      </c>
      <c r="AC32" s="13"/>
      <c r="AD32" s="14"/>
      <c r="AE32" s="14"/>
      <c r="AF32" s="14">
        <f t="shared" si="4"/>
        <v>0</v>
      </c>
      <c r="AG32" s="28">
        <v>15</v>
      </c>
      <c r="AH32" s="13"/>
      <c r="AI32" s="14"/>
      <c r="AJ32" s="14"/>
      <c r="AK32" s="14">
        <f t="shared" si="5"/>
        <v>0</v>
      </c>
      <c r="AL32" s="28">
        <v>15</v>
      </c>
      <c r="AM32" s="13"/>
      <c r="AN32" s="14"/>
      <c r="AO32" s="14"/>
      <c r="AP32" s="14">
        <f t="shared" si="6"/>
        <v>0</v>
      </c>
      <c r="AQ32" s="28">
        <v>15</v>
      </c>
      <c r="AR32" s="13"/>
      <c r="AS32" s="14"/>
      <c r="AT32" s="14"/>
      <c r="AU32" s="14">
        <f t="shared" si="7"/>
        <v>0</v>
      </c>
      <c r="AV32" s="28">
        <v>15</v>
      </c>
      <c r="AW32" s="13"/>
      <c r="AX32" s="14"/>
      <c r="AY32" s="14"/>
      <c r="AZ32" s="14">
        <f t="shared" si="8"/>
        <v>0</v>
      </c>
      <c r="BA32" s="28">
        <v>15</v>
      </c>
      <c r="BB32" s="13"/>
      <c r="BC32" s="14"/>
      <c r="BD32" s="14"/>
      <c r="BE32" s="14">
        <f t="shared" si="9"/>
        <v>0</v>
      </c>
    </row>
    <row r="33" spans="8:57" s="2" customFormat="1" ht="85.15" customHeight="1">
      <c r="H33" s="28">
        <v>16</v>
      </c>
      <c r="I33" s="13"/>
      <c r="J33" s="14"/>
      <c r="K33" s="14"/>
      <c r="L33" s="14">
        <f t="shared" si="0"/>
        <v>0</v>
      </c>
      <c r="M33" s="28">
        <v>16</v>
      </c>
      <c r="N33" s="13"/>
      <c r="O33" s="14"/>
      <c r="P33" s="14"/>
      <c r="Q33" s="14">
        <f t="shared" si="1"/>
        <v>0</v>
      </c>
      <c r="R33" s="28">
        <v>16</v>
      </c>
      <c r="S33" s="13"/>
      <c r="T33" s="14"/>
      <c r="U33" s="14"/>
      <c r="V33" s="14">
        <f t="shared" si="2"/>
        <v>0</v>
      </c>
      <c r="W33" s="28">
        <v>16</v>
      </c>
      <c r="X33" s="13"/>
      <c r="Y33" s="14"/>
      <c r="Z33" s="14"/>
      <c r="AA33" s="14">
        <f t="shared" si="3"/>
        <v>0</v>
      </c>
      <c r="AB33" s="28">
        <v>16</v>
      </c>
      <c r="AC33" s="13"/>
      <c r="AD33" s="14"/>
      <c r="AE33" s="14"/>
      <c r="AF33" s="14">
        <f t="shared" si="4"/>
        <v>0</v>
      </c>
      <c r="AG33" s="28">
        <v>16</v>
      </c>
      <c r="AH33" s="13"/>
      <c r="AI33" s="14"/>
      <c r="AJ33" s="14"/>
      <c r="AK33" s="14">
        <f t="shared" si="5"/>
        <v>0</v>
      </c>
      <c r="AL33" s="28">
        <v>16</v>
      </c>
      <c r="AM33" s="13"/>
      <c r="AN33" s="14"/>
      <c r="AO33" s="14"/>
      <c r="AP33" s="14">
        <f t="shared" si="6"/>
        <v>0</v>
      </c>
      <c r="AQ33" s="28">
        <v>16</v>
      </c>
      <c r="AR33" s="13"/>
      <c r="AS33" s="14"/>
      <c r="AT33" s="14"/>
      <c r="AU33" s="14">
        <f t="shared" si="7"/>
        <v>0</v>
      </c>
      <c r="AV33" s="28">
        <v>16</v>
      </c>
      <c r="AW33" s="13"/>
      <c r="AX33" s="14"/>
      <c r="AY33" s="14"/>
      <c r="AZ33" s="14">
        <f t="shared" si="8"/>
        <v>0</v>
      </c>
      <c r="BA33" s="28">
        <v>16</v>
      </c>
      <c r="BB33" s="13"/>
      <c r="BC33" s="14"/>
      <c r="BD33" s="14"/>
      <c r="BE33" s="14">
        <f t="shared" si="9"/>
        <v>0</v>
      </c>
    </row>
    <row r="34" spans="8:57" s="2" customFormat="1" ht="85.15" customHeight="1">
      <c r="H34" s="28">
        <v>17</v>
      </c>
      <c r="I34" s="13"/>
      <c r="J34" s="14"/>
      <c r="K34" s="14"/>
      <c r="L34" s="14">
        <f t="shared" si="0"/>
        <v>0</v>
      </c>
      <c r="M34" s="28">
        <v>17</v>
      </c>
      <c r="N34" s="13"/>
      <c r="O34" s="14"/>
      <c r="P34" s="14"/>
      <c r="Q34" s="14">
        <f t="shared" si="1"/>
        <v>0</v>
      </c>
      <c r="R34" s="28">
        <v>17</v>
      </c>
      <c r="S34" s="13"/>
      <c r="T34" s="14"/>
      <c r="U34" s="14"/>
      <c r="V34" s="14">
        <f t="shared" si="2"/>
        <v>0</v>
      </c>
      <c r="W34" s="28">
        <v>17</v>
      </c>
      <c r="X34" s="13"/>
      <c r="Y34" s="14"/>
      <c r="Z34" s="14"/>
      <c r="AA34" s="14">
        <f t="shared" si="3"/>
        <v>0</v>
      </c>
      <c r="AB34" s="28">
        <v>17</v>
      </c>
      <c r="AC34" s="13"/>
      <c r="AD34" s="14"/>
      <c r="AE34" s="14"/>
      <c r="AF34" s="14">
        <f t="shared" si="4"/>
        <v>0</v>
      </c>
      <c r="AG34" s="28">
        <v>17</v>
      </c>
      <c r="AH34" s="13"/>
      <c r="AI34" s="14"/>
      <c r="AJ34" s="14"/>
      <c r="AK34" s="14">
        <f t="shared" si="5"/>
        <v>0</v>
      </c>
      <c r="AL34" s="28">
        <v>17</v>
      </c>
      <c r="AM34" s="13"/>
      <c r="AN34" s="14"/>
      <c r="AO34" s="14"/>
      <c r="AP34" s="14">
        <f t="shared" si="6"/>
        <v>0</v>
      </c>
      <c r="AQ34" s="28">
        <v>17</v>
      </c>
      <c r="AR34" s="13"/>
      <c r="AS34" s="14"/>
      <c r="AT34" s="14"/>
      <c r="AU34" s="14">
        <f t="shared" si="7"/>
        <v>0</v>
      </c>
      <c r="AV34" s="28">
        <v>17</v>
      </c>
      <c r="AW34" s="13"/>
      <c r="AX34" s="14"/>
      <c r="AY34" s="14"/>
      <c r="AZ34" s="14">
        <f t="shared" si="8"/>
        <v>0</v>
      </c>
      <c r="BA34" s="28">
        <v>17</v>
      </c>
      <c r="BB34" s="13"/>
      <c r="BC34" s="14"/>
      <c r="BD34" s="14"/>
      <c r="BE34" s="14">
        <f t="shared" si="9"/>
        <v>0</v>
      </c>
    </row>
    <row r="35" spans="8:57" s="2" customFormat="1" ht="85.15" customHeight="1">
      <c r="H35" s="28">
        <v>18</v>
      </c>
      <c r="I35" s="13"/>
      <c r="J35" s="14"/>
      <c r="K35" s="14"/>
      <c r="L35" s="14">
        <f t="shared" si="0"/>
        <v>0</v>
      </c>
      <c r="M35" s="28">
        <v>18</v>
      </c>
      <c r="N35" s="13"/>
      <c r="O35" s="14"/>
      <c r="P35" s="14"/>
      <c r="Q35" s="14">
        <f t="shared" si="1"/>
        <v>0</v>
      </c>
      <c r="R35" s="28">
        <v>18</v>
      </c>
      <c r="S35" s="13"/>
      <c r="T35" s="14"/>
      <c r="U35" s="14"/>
      <c r="V35" s="14">
        <f t="shared" si="2"/>
        <v>0</v>
      </c>
      <c r="W35" s="28">
        <v>18</v>
      </c>
      <c r="X35" s="13"/>
      <c r="Y35" s="14"/>
      <c r="Z35" s="14"/>
      <c r="AA35" s="14">
        <f t="shared" si="3"/>
        <v>0</v>
      </c>
      <c r="AB35" s="28">
        <v>18</v>
      </c>
      <c r="AC35" s="13"/>
      <c r="AD35" s="14"/>
      <c r="AE35" s="14"/>
      <c r="AF35" s="14">
        <f t="shared" si="4"/>
        <v>0</v>
      </c>
      <c r="AG35" s="28">
        <v>18</v>
      </c>
      <c r="AH35" s="13"/>
      <c r="AI35" s="14"/>
      <c r="AJ35" s="14"/>
      <c r="AK35" s="14">
        <f t="shared" si="5"/>
        <v>0</v>
      </c>
      <c r="AL35" s="28">
        <v>18</v>
      </c>
      <c r="AM35" s="13"/>
      <c r="AN35" s="14"/>
      <c r="AO35" s="14"/>
      <c r="AP35" s="14">
        <f t="shared" si="6"/>
        <v>0</v>
      </c>
      <c r="AQ35" s="28">
        <v>18</v>
      </c>
      <c r="AR35" s="13"/>
      <c r="AS35" s="14"/>
      <c r="AT35" s="14"/>
      <c r="AU35" s="14">
        <f t="shared" si="7"/>
        <v>0</v>
      </c>
      <c r="AV35" s="28">
        <v>18</v>
      </c>
      <c r="AW35" s="13"/>
      <c r="AX35" s="14"/>
      <c r="AY35" s="14"/>
      <c r="AZ35" s="14">
        <f t="shared" si="8"/>
        <v>0</v>
      </c>
      <c r="BA35" s="28">
        <v>18</v>
      </c>
      <c r="BB35" s="13"/>
      <c r="BC35" s="14"/>
      <c r="BD35" s="14"/>
      <c r="BE35" s="14">
        <f t="shared" si="9"/>
        <v>0</v>
      </c>
    </row>
    <row r="36" spans="8:57" s="2" customFormat="1" ht="85.15" customHeight="1">
      <c r="H36" s="28">
        <v>19</v>
      </c>
      <c r="I36" s="13"/>
      <c r="J36" s="14"/>
      <c r="K36" s="14"/>
      <c r="L36" s="14">
        <f t="shared" si="0"/>
        <v>0</v>
      </c>
      <c r="M36" s="28">
        <v>19</v>
      </c>
      <c r="N36" s="13"/>
      <c r="O36" s="14"/>
      <c r="P36" s="14"/>
      <c r="Q36" s="14">
        <f t="shared" si="1"/>
        <v>0</v>
      </c>
      <c r="R36" s="28">
        <v>19</v>
      </c>
      <c r="S36" s="13"/>
      <c r="T36" s="14"/>
      <c r="U36" s="14"/>
      <c r="V36" s="14">
        <f t="shared" si="2"/>
        <v>0</v>
      </c>
      <c r="W36" s="28">
        <v>19</v>
      </c>
      <c r="X36" s="13"/>
      <c r="Y36" s="14"/>
      <c r="Z36" s="14"/>
      <c r="AA36" s="14">
        <f t="shared" si="3"/>
        <v>0</v>
      </c>
      <c r="AB36" s="28">
        <v>19</v>
      </c>
      <c r="AC36" s="13"/>
      <c r="AD36" s="14"/>
      <c r="AE36" s="14"/>
      <c r="AF36" s="14">
        <f t="shared" si="4"/>
        <v>0</v>
      </c>
      <c r="AG36" s="28">
        <v>19</v>
      </c>
      <c r="AH36" s="13"/>
      <c r="AI36" s="14"/>
      <c r="AJ36" s="14"/>
      <c r="AK36" s="14">
        <f t="shared" si="5"/>
        <v>0</v>
      </c>
      <c r="AL36" s="28">
        <v>19</v>
      </c>
      <c r="AM36" s="13"/>
      <c r="AN36" s="14"/>
      <c r="AO36" s="14"/>
      <c r="AP36" s="14">
        <f t="shared" si="6"/>
        <v>0</v>
      </c>
      <c r="AQ36" s="28">
        <v>19</v>
      </c>
      <c r="AR36" s="13"/>
      <c r="AS36" s="14"/>
      <c r="AT36" s="14"/>
      <c r="AU36" s="14">
        <f t="shared" si="7"/>
        <v>0</v>
      </c>
      <c r="AV36" s="28">
        <v>19</v>
      </c>
      <c r="AW36" s="13"/>
      <c r="AX36" s="14"/>
      <c r="AY36" s="14"/>
      <c r="AZ36" s="14">
        <f t="shared" si="8"/>
        <v>0</v>
      </c>
      <c r="BA36" s="28">
        <v>19</v>
      </c>
      <c r="BB36" s="13"/>
      <c r="BC36" s="14"/>
      <c r="BD36" s="14"/>
      <c r="BE36" s="14">
        <f t="shared" si="9"/>
        <v>0</v>
      </c>
    </row>
    <row r="37" spans="8:57" s="2" customFormat="1" ht="85.15" customHeight="1">
      <c r="H37" s="28">
        <v>20</v>
      </c>
      <c r="I37" s="13"/>
      <c r="J37" s="14"/>
      <c r="K37" s="14"/>
      <c r="L37" s="14">
        <f t="shared" si="0"/>
        <v>0</v>
      </c>
      <c r="M37" s="28">
        <v>20</v>
      </c>
      <c r="N37" s="13"/>
      <c r="O37" s="14"/>
      <c r="P37" s="14"/>
      <c r="Q37" s="14">
        <f t="shared" si="1"/>
        <v>0</v>
      </c>
      <c r="R37" s="28">
        <v>20</v>
      </c>
      <c r="S37" s="13"/>
      <c r="T37" s="14"/>
      <c r="U37" s="14"/>
      <c r="V37" s="14">
        <f t="shared" si="2"/>
        <v>0</v>
      </c>
      <c r="W37" s="28">
        <v>20</v>
      </c>
      <c r="X37" s="13"/>
      <c r="Y37" s="14"/>
      <c r="Z37" s="14"/>
      <c r="AA37" s="14">
        <f t="shared" si="3"/>
        <v>0</v>
      </c>
      <c r="AB37" s="28">
        <v>20</v>
      </c>
      <c r="AC37" s="13"/>
      <c r="AD37" s="14"/>
      <c r="AE37" s="14"/>
      <c r="AF37" s="14">
        <f t="shared" si="4"/>
        <v>0</v>
      </c>
      <c r="AG37" s="28">
        <v>20</v>
      </c>
      <c r="AH37" s="13"/>
      <c r="AI37" s="14"/>
      <c r="AJ37" s="14"/>
      <c r="AK37" s="14">
        <f t="shared" si="5"/>
        <v>0</v>
      </c>
      <c r="AL37" s="28">
        <v>20</v>
      </c>
      <c r="AM37" s="13"/>
      <c r="AN37" s="14"/>
      <c r="AO37" s="14"/>
      <c r="AP37" s="14">
        <f t="shared" si="6"/>
        <v>0</v>
      </c>
      <c r="AQ37" s="28">
        <v>20</v>
      </c>
      <c r="AR37" s="13"/>
      <c r="AS37" s="14"/>
      <c r="AT37" s="14"/>
      <c r="AU37" s="14">
        <f t="shared" si="7"/>
        <v>0</v>
      </c>
      <c r="AV37" s="28">
        <v>20</v>
      </c>
      <c r="AW37" s="13"/>
      <c r="AX37" s="14"/>
      <c r="AY37" s="14"/>
      <c r="AZ37" s="14">
        <f t="shared" si="8"/>
        <v>0</v>
      </c>
      <c r="BA37" s="28">
        <v>20</v>
      </c>
      <c r="BB37" s="13"/>
      <c r="BC37" s="14"/>
      <c r="BD37" s="14"/>
      <c r="BE37" s="14">
        <f t="shared" si="9"/>
        <v>0</v>
      </c>
    </row>
    <row r="38" spans="8:57" s="2" customFormat="1" ht="85.15" customHeight="1">
      <c r="H38" s="28">
        <v>21</v>
      </c>
      <c r="I38" s="13"/>
      <c r="J38" s="14"/>
      <c r="K38" s="14"/>
      <c r="L38" s="14">
        <f t="shared" si="0"/>
        <v>0</v>
      </c>
      <c r="M38" s="28">
        <v>21</v>
      </c>
      <c r="N38" s="13"/>
      <c r="O38" s="14"/>
      <c r="P38" s="14"/>
      <c r="Q38" s="14">
        <f t="shared" si="1"/>
        <v>0</v>
      </c>
      <c r="R38" s="28">
        <v>21</v>
      </c>
      <c r="S38" s="13"/>
      <c r="T38" s="14"/>
      <c r="U38" s="14"/>
      <c r="V38" s="14">
        <f t="shared" si="2"/>
        <v>0</v>
      </c>
      <c r="W38" s="28">
        <v>21</v>
      </c>
      <c r="X38" s="13"/>
      <c r="Y38" s="14"/>
      <c r="Z38" s="14"/>
      <c r="AA38" s="14">
        <f t="shared" si="3"/>
        <v>0</v>
      </c>
      <c r="AB38" s="28">
        <v>21</v>
      </c>
      <c r="AC38" s="13"/>
      <c r="AD38" s="14"/>
      <c r="AE38" s="14"/>
      <c r="AF38" s="14">
        <f t="shared" si="4"/>
        <v>0</v>
      </c>
      <c r="AG38" s="28">
        <v>21</v>
      </c>
      <c r="AH38" s="13"/>
      <c r="AI38" s="14"/>
      <c r="AJ38" s="14"/>
      <c r="AK38" s="14">
        <f t="shared" si="5"/>
        <v>0</v>
      </c>
      <c r="AL38" s="28">
        <v>21</v>
      </c>
      <c r="AM38" s="13"/>
      <c r="AN38" s="14"/>
      <c r="AO38" s="14"/>
      <c r="AP38" s="14">
        <f t="shared" si="6"/>
        <v>0</v>
      </c>
      <c r="AQ38" s="28">
        <v>21</v>
      </c>
      <c r="AR38" s="13"/>
      <c r="AS38" s="14"/>
      <c r="AT38" s="14"/>
      <c r="AU38" s="14">
        <f t="shared" si="7"/>
        <v>0</v>
      </c>
      <c r="AV38" s="28">
        <v>21</v>
      </c>
      <c r="AW38" s="13"/>
      <c r="AX38" s="14"/>
      <c r="AY38" s="14"/>
      <c r="AZ38" s="14">
        <f t="shared" si="8"/>
        <v>0</v>
      </c>
      <c r="BA38" s="28">
        <v>21</v>
      </c>
      <c r="BB38" s="13"/>
      <c r="BC38" s="14"/>
      <c r="BD38" s="14"/>
      <c r="BE38" s="14">
        <f t="shared" si="9"/>
        <v>0</v>
      </c>
    </row>
    <row r="39" spans="8:57" s="2" customFormat="1" ht="85.15" customHeight="1">
      <c r="H39" s="28">
        <v>22</v>
      </c>
      <c r="I39" s="13"/>
      <c r="J39" s="14"/>
      <c r="K39" s="14"/>
      <c r="L39" s="14">
        <f t="shared" si="0"/>
        <v>0</v>
      </c>
      <c r="M39" s="28">
        <v>22</v>
      </c>
      <c r="N39" s="13"/>
      <c r="O39" s="14"/>
      <c r="P39" s="14"/>
      <c r="Q39" s="14">
        <f t="shared" si="1"/>
        <v>0</v>
      </c>
      <c r="R39" s="28">
        <v>22</v>
      </c>
      <c r="S39" s="13"/>
      <c r="T39" s="14"/>
      <c r="U39" s="14"/>
      <c r="V39" s="14">
        <f t="shared" si="2"/>
        <v>0</v>
      </c>
      <c r="W39" s="28">
        <v>22</v>
      </c>
      <c r="X39" s="13"/>
      <c r="Y39" s="14"/>
      <c r="Z39" s="14"/>
      <c r="AA39" s="14">
        <f t="shared" si="3"/>
        <v>0</v>
      </c>
      <c r="AB39" s="28">
        <v>22</v>
      </c>
      <c r="AC39" s="13"/>
      <c r="AD39" s="14"/>
      <c r="AE39" s="14"/>
      <c r="AF39" s="14">
        <f t="shared" si="4"/>
        <v>0</v>
      </c>
      <c r="AG39" s="28">
        <v>22</v>
      </c>
      <c r="AH39" s="13"/>
      <c r="AI39" s="14"/>
      <c r="AJ39" s="14"/>
      <c r="AK39" s="14">
        <f t="shared" si="5"/>
        <v>0</v>
      </c>
      <c r="AL39" s="28">
        <v>22</v>
      </c>
      <c r="AM39" s="13"/>
      <c r="AN39" s="14"/>
      <c r="AO39" s="14"/>
      <c r="AP39" s="14">
        <f t="shared" si="6"/>
        <v>0</v>
      </c>
      <c r="AQ39" s="28">
        <v>22</v>
      </c>
      <c r="AR39" s="13"/>
      <c r="AS39" s="14"/>
      <c r="AT39" s="14"/>
      <c r="AU39" s="14">
        <f t="shared" si="7"/>
        <v>0</v>
      </c>
      <c r="AV39" s="28">
        <v>22</v>
      </c>
      <c r="AW39" s="13"/>
      <c r="AX39" s="14"/>
      <c r="AY39" s="14"/>
      <c r="AZ39" s="14">
        <f t="shared" si="8"/>
        <v>0</v>
      </c>
      <c r="BA39" s="28">
        <v>22</v>
      </c>
      <c r="BB39" s="13"/>
      <c r="BC39" s="14"/>
      <c r="BD39" s="14"/>
      <c r="BE39" s="14">
        <f t="shared" si="9"/>
        <v>0</v>
      </c>
    </row>
    <row r="40" spans="8:57" s="2" customFormat="1" ht="85.15" customHeight="1">
      <c r="H40" s="28">
        <v>23</v>
      </c>
      <c r="I40" s="13"/>
      <c r="J40" s="14"/>
      <c r="K40" s="14"/>
      <c r="L40" s="14">
        <f t="shared" si="0"/>
        <v>0</v>
      </c>
      <c r="M40" s="28">
        <v>23</v>
      </c>
      <c r="N40" s="13"/>
      <c r="O40" s="14"/>
      <c r="P40" s="14"/>
      <c r="Q40" s="14">
        <f t="shared" si="1"/>
        <v>0</v>
      </c>
      <c r="R40" s="28">
        <v>23</v>
      </c>
      <c r="S40" s="13"/>
      <c r="T40" s="14"/>
      <c r="U40" s="14"/>
      <c r="V40" s="14">
        <f t="shared" si="2"/>
        <v>0</v>
      </c>
      <c r="W40" s="28">
        <v>23</v>
      </c>
      <c r="X40" s="13"/>
      <c r="Y40" s="14"/>
      <c r="Z40" s="14"/>
      <c r="AA40" s="14">
        <f t="shared" si="3"/>
        <v>0</v>
      </c>
      <c r="AB40" s="28">
        <v>23</v>
      </c>
      <c r="AC40" s="13"/>
      <c r="AD40" s="14"/>
      <c r="AE40" s="14"/>
      <c r="AF40" s="14">
        <f t="shared" si="4"/>
        <v>0</v>
      </c>
      <c r="AG40" s="28">
        <v>23</v>
      </c>
      <c r="AH40" s="13"/>
      <c r="AI40" s="14"/>
      <c r="AJ40" s="14"/>
      <c r="AK40" s="14">
        <f t="shared" si="5"/>
        <v>0</v>
      </c>
      <c r="AL40" s="28">
        <v>23</v>
      </c>
      <c r="AM40" s="13"/>
      <c r="AN40" s="14"/>
      <c r="AO40" s="14"/>
      <c r="AP40" s="14">
        <f t="shared" si="6"/>
        <v>0</v>
      </c>
      <c r="AQ40" s="28">
        <v>23</v>
      </c>
      <c r="AR40" s="13"/>
      <c r="AS40" s="14"/>
      <c r="AT40" s="14"/>
      <c r="AU40" s="14">
        <f t="shared" si="7"/>
        <v>0</v>
      </c>
      <c r="AV40" s="28">
        <v>23</v>
      </c>
      <c r="AW40" s="13"/>
      <c r="AX40" s="14"/>
      <c r="AY40" s="14"/>
      <c r="AZ40" s="14">
        <f t="shared" si="8"/>
        <v>0</v>
      </c>
      <c r="BA40" s="28">
        <v>23</v>
      </c>
      <c r="BB40" s="13"/>
      <c r="BC40" s="14"/>
      <c r="BD40" s="14"/>
      <c r="BE40" s="14">
        <f t="shared" si="9"/>
        <v>0</v>
      </c>
    </row>
    <row r="41" spans="8:57" s="2" customFormat="1" ht="85.15" customHeight="1">
      <c r="H41" s="28">
        <v>24</v>
      </c>
      <c r="I41" s="13"/>
      <c r="J41" s="14"/>
      <c r="K41" s="14"/>
      <c r="L41" s="14">
        <f t="shared" si="0"/>
        <v>0</v>
      </c>
      <c r="M41" s="28">
        <v>24</v>
      </c>
      <c r="N41" s="13"/>
      <c r="O41" s="14"/>
      <c r="P41" s="14"/>
      <c r="Q41" s="14">
        <f t="shared" si="1"/>
        <v>0</v>
      </c>
      <c r="R41" s="28">
        <v>24</v>
      </c>
      <c r="S41" s="13"/>
      <c r="T41" s="14"/>
      <c r="U41" s="14"/>
      <c r="V41" s="14">
        <f t="shared" si="2"/>
        <v>0</v>
      </c>
      <c r="W41" s="28">
        <v>24</v>
      </c>
      <c r="X41" s="13"/>
      <c r="Y41" s="14"/>
      <c r="Z41" s="14"/>
      <c r="AA41" s="14">
        <f t="shared" si="3"/>
        <v>0</v>
      </c>
      <c r="AB41" s="28">
        <v>24</v>
      </c>
      <c r="AC41" s="13"/>
      <c r="AD41" s="14"/>
      <c r="AE41" s="14"/>
      <c r="AF41" s="14">
        <f t="shared" si="4"/>
        <v>0</v>
      </c>
      <c r="AG41" s="28">
        <v>24</v>
      </c>
      <c r="AH41" s="13"/>
      <c r="AI41" s="14"/>
      <c r="AJ41" s="14"/>
      <c r="AK41" s="14">
        <f t="shared" si="5"/>
        <v>0</v>
      </c>
      <c r="AL41" s="28">
        <v>24</v>
      </c>
      <c r="AM41" s="13"/>
      <c r="AN41" s="14"/>
      <c r="AO41" s="14"/>
      <c r="AP41" s="14">
        <f t="shared" si="6"/>
        <v>0</v>
      </c>
      <c r="AQ41" s="28">
        <v>24</v>
      </c>
      <c r="AR41" s="13"/>
      <c r="AS41" s="14"/>
      <c r="AT41" s="14"/>
      <c r="AU41" s="14">
        <f t="shared" si="7"/>
        <v>0</v>
      </c>
      <c r="AV41" s="28">
        <v>24</v>
      </c>
      <c r="AW41" s="13"/>
      <c r="AX41" s="14"/>
      <c r="AY41" s="14"/>
      <c r="AZ41" s="14">
        <f t="shared" si="8"/>
        <v>0</v>
      </c>
      <c r="BA41" s="28">
        <v>24</v>
      </c>
      <c r="BB41" s="13"/>
      <c r="BC41" s="14"/>
      <c r="BD41" s="14"/>
      <c r="BE41" s="14">
        <f t="shared" si="9"/>
        <v>0</v>
      </c>
    </row>
    <row r="42" spans="8:57" s="2" customFormat="1" ht="85.15" customHeight="1">
      <c r="H42" s="28">
        <v>25</v>
      </c>
      <c r="I42" s="13"/>
      <c r="J42" s="14"/>
      <c r="K42" s="14"/>
      <c r="L42" s="14">
        <f t="shared" si="0"/>
        <v>0</v>
      </c>
      <c r="M42" s="28">
        <v>25</v>
      </c>
      <c r="N42" s="13"/>
      <c r="O42" s="14"/>
      <c r="P42" s="14"/>
      <c r="Q42" s="14">
        <f t="shared" si="1"/>
        <v>0</v>
      </c>
      <c r="R42" s="28">
        <v>25</v>
      </c>
      <c r="S42" s="13"/>
      <c r="T42" s="14"/>
      <c r="U42" s="14"/>
      <c r="V42" s="14">
        <f t="shared" si="2"/>
        <v>0</v>
      </c>
      <c r="W42" s="28">
        <v>25</v>
      </c>
      <c r="X42" s="13"/>
      <c r="Y42" s="14"/>
      <c r="Z42" s="14"/>
      <c r="AA42" s="14">
        <f t="shared" si="3"/>
        <v>0</v>
      </c>
      <c r="AB42" s="28">
        <v>25</v>
      </c>
      <c r="AC42" s="13"/>
      <c r="AD42" s="14"/>
      <c r="AE42" s="14"/>
      <c r="AF42" s="14">
        <f t="shared" si="4"/>
        <v>0</v>
      </c>
      <c r="AG42" s="28">
        <v>25</v>
      </c>
      <c r="AH42" s="13"/>
      <c r="AI42" s="14"/>
      <c r="AJ42" s="14"/>
      <c r="AK42" s="14">
        <f t="shared" si="5"/>
        <v>0</v>
      </c>
      <c r="AL42" s="28">
        <v>25</v>
      </c>
      <c r="AM42" s="13"/>
      <c r="AN42" s="14"/>
      <c r="AO42" s="14"/>
      <c r="AP42" s="14">
        <f t="shared" si="6"/>
        <v>0</v>
      </c>
      <c r="AQ42" s="28">
        <v>25</v>
      </c>
      <c r="AR42" s="13"/>
      <c r="AS42" s="14"/>
      <c r="AT42" s="14"/>
      <c r="AU42" s="14">
        <f t="shared" si="7"/>
        <v>0</v>
      </c>
      <c r="AV42" s="28">
        <v>25</v>
      </c>
      <c r="AW42" s="13"/>
      <c r="AX42" s="14"/>
      <c r="AY42" s="14"/>
      <c r="AZ42" s="14">
        <f t="shared" si="8"/>
        <v>0</v>
      </c>
      <c r="BA42" s="28">
        <v>25</v>
      </c>
      <c r="BB42" s="13"/>
      <c r="BC42" s="14"/>
      <c r="BD42" s="14"/>
      <c r="BE42" s="14">
        <f t="shared" si="9"/>
        <v>0</v>
      </c>
    </row>
    <row r="43" spans="8:57" s="2" customFormat="1" ht="85.15" customHeight="1">
      <c r="H43" s="28">
        <v>26</v>
      </c>
      <c r="I43" s="13"/>
      <c r="J43" s="14"/>
      <c r="K43" s="14"/>
      <c r="L43" s="14">
        <f t="shared" si="0"/>
        <v>0</v>
      </c>
      <c r="M43" s="28">
        <v>26</v>
      </c>
      <c r="N43" s="13"/>
      <c r="O43" s="14"/>
      <c r="P43" s="14"/>
      <c r="Q43" s="14">
        <f t="shared" si="1"/>
        <v>0</v>
      </c>
      <c r="R43" s="28">
        <v>26</v>
      </c>
      <c r="S43" s="13"/>
      <c r="T43" s="14"/>
      <c r="U43" s="14"/>
      <c r="V43" s="14">
        <f t="shared" si="2"/>
        <v>0</v>
      </c>
      <c r="W43" s="28">
        <v>26</v>
      </c>
      <c r="X43" s="13"/>
      <c r="Y43" s="14"/>
      <c r="Z43" s="14"/>
      <c r="AA43" s="14">
        <f t="shared" si="3"/>
        <v>0</v>
      </c>
      <c r="AB43" s="28">
        <v>26</v>
      </c>
      <c r="AC43" s="13"/>
      <c r="AD43" s="14"/>
      <c r="AE43" s="14"/>
      <c r="AF43" s="14">
        <f t="shared" si="4"/>
        <v>0</v>
      </c>
      <c r="AG43" s="28">
        <v>26</v>
      </c>
      <c r="AH43" s="13"/>
      <c r="AI43" s="14"/>
      <c r="AJ43" s="14"/>
      <c r="AK43" s="14">
        <f t="shared" si="5"/>
        <v>0</v>
      </c>
      <c r="AL43" s="28">
        <v>26</v>
      </c>
      <c r="AM43" s="13"/>
      <c r="AN43" s="14"/>
      <c r="AO43" s="14"/>
      <c r="AP43" s="14">
        <f t="shared" si="6"/>
        <v>0</v>
      </c>
      <c r="AQ43" s="28">
        <v>26</v>
      </c>
      <c r="AR43" s="13"/>
      <c r="AS43" s="14"/>
      <c r="AT43" s="14"/>
      <c r="AU43" s="14">
        <f t="shared" si="7"/>
        <v>0</v>
      </c>
      <c r="AV43" s="28">
        <v>26</v>
      </c>
      <c r="AW43" s="13"/>
      <c r="AX43" s="14"/>
      <c r="AY43" s="14"/>
      <c r="AZ43" s="14">
        <f t="shared" si="8"/>
        <v>0</v>
      </c>
      <c r="BA43" s="28">
        <v>26</v>
      </c>
      <c r="BB43" s="13"/>
      <c r="BC43" s="14"/>
      <c r="BD43" s="14"/>
      <c r="BE43" s="14">
        <f t="shared" si="9"/>
        <v>0</v>
      </c>
    </row>
    <row r="44" spans="8:57" s="2" customFormat="1" ht="85.15" customHeight="1">
      <c r="H44" s="28">
        <v>27</v>
      </c>
      <c r="I44" s="13"/>
      <c r="J44" s="14"/>
      <c r="K44" s="14"/>
      <c r="L44" s="14">
        <f t="shared" si="0"/>
        <v>0</v>
      </c>
      <c r="M44" s="28">
        <v>27</v>
      </c>
      <c r="N44" s="13"/>
      <c r="O44" s="14"/>
      <c r="P44" s="14"/>
      <c r="Q44" s="14">
        <f t="shared" si="1"/>
        <v>0</v>
      </c>
      <c r="R44" s="28">
        <v>27</v>
      </c>
      <c r="S44" s="13"/>
      <c r="T44" s="14"/>
      <c r="U44" s="14"/>
      <c r="V44" s="14">
        <f t="shared" si="2"/>
        <v>0</v>
      </c>
      <c r="W44" s="28">
        <v>27</v>
      </c>
      <c r="X44" s="13"/>
      <c r="Y44" s="14"/>
      <c r="Z44" s="14"/>
      <c r="AA44" s="14">
        <f t="shared" si="3"/>
        <v>0</v>
      </c>
      <c r="AB44" s="28">
        <v>27</v>
      </c>
      <c r="AC44" s="13"/>
      <c r="AD44" s="14"/>
      <c r="AE44" s="14"/>
      <c r="AF44" s="14">
        <f t="shared" si="4"/>
        <v>0</v>
      </c>
      <c r="AG44" s="28">
        <v>27</v>
      </c>
      <c r="AH44" s="13"/>
      <c r="AI44" s="14"/>
      <c r="AJ44" s="14"/>
      <c r="AK44" s="14">
        <f t="shared" si="5"/>
        <v>0</v>
      </c>
      <c r="AL44" s="28">
        <v>27</v>
      </c>
      <c r="AM44" s="13"/>
      <c r="AN44" s="14"/>
      <c r="AO44" s="14"/>
      <c r="AP44" s="14">
        <f t="shared" si="6"/>
        <v>0</v>
      </c>
      <c r="AQ44" s="28">
        <v>27</v>
      </c>
      <c r="AR44" s="13"/>
      <c r="AS44" s="14"/>
      <c r="AT44" s="14"/>
      <c r="AU44" s="14">
        <f t="shared" si="7"/>
        <v>0</v>
      </c>
      <c r="AV44" s="28">
        <v>27</v>
      </c>
      <c r="AW44" s="13"/>
      <c r="AX44" s="14"/>
      <c r="AY44" s="14"/>
      <c r="AZ44" s="14">
        <f t="shared" si="8"/>
        <v>0</v>
      </c>
      <c r="BA44" s="28">
        <v>27</v>
      </c>
      <c r="BB44" s="13"/>
      <c r="BC44" s="14"/>
      <c r="BD44" s="14"/>
      <c r="BE44" s="14">
        <f t="shared" si="9"/>
        <v>0</v>
      </c>
    </row>
    <row r="45" spans="8:57" s="2" customFormat="1" ht="85.15" customHeight="1">
      <c r="H45" s="28">
        <v>28</v>
      </c>
      <c r="I45" s="13"/>
      <c r="J45" s="14"/>
      <c r="K45" s="14"/>
      <c r="L45" s="14">
        <f t="shared" si="0"/>
        <v>0</v>
      </c>
      <c r="M45" s="28">
        <v>28</v>
      </c>
      <c r="N45" s="13"/>
      <c r="O45" s="14"/>
      <c r="P45" s="14"/>
      <c r="Q45" s="14">
        <f t="shared" si="1"/>
        <v>0</v>
      </c>
      <c r="R45" s="28">
        <v>28</v>
      </c>
      <c r="S45" s="13"/>
      <c r="T45" s="14"/>
      <c r="U45" s="14"/>
      <c r="V45" s="14">
        <f t="shared" si="2"/>
        <v>0</v>
      </c>
      <c r="W45" s="28">
        <v>28</v>
      </c>
      <c r="X45" s="13"/>
      <c r="Y45" s="14"/>
      <c r="Z45" s="14"/>
      <c r="AA45" s="14">
        <f t="shared" si="3"/>
        <v>0</v>
      </c>
      <c r="AB45" s="28">
        <v>28</v>
      </c>
      <c r="AC45" s="13"/>
      <c r="AD45" s="14"/>
      <c r="AE45" s="14"/>
      <c r="AF45" s="14">
        <f t="shared" si="4"/>
        <v>0</v>
      </c>
      <c r="AG45" s="28">
        <v>28</v>
      </c>
      <c r="AH45" s="13"/>
      <c r="AI45" s="14"/>
      <c r="AJ45" s="14"/>
      <c r="AK45" s="14">
        <f t="shared" si="5"/>
        <v>0</v>
      </c>
      <c r="AL45" s="28">
        <v>28</v>
      </c>
      <c r="AM45" s="13"/>
      <c r="AN45" s="14"/>
      <c r="AO45" s="14"/>
      <c r="AP45" s="14">
        <f t="shared" si="6"/>
        <v>0</v>
      </c>
      <c r="AQ45" s="28">
        <v>28</v>
      </c>
      <c r="AR45" s="13"/>
      <c r="AS45" s="14"/>
      <c r="AT45" s="14"/>
      <c r="AU45" s="14">
        <f t="shared" si="7"/>
        <v>0</v>
      </c>
      <c r="AV45" s="28">
        <v>28</v>
      </c>
      <c r="AW45" s="13"/>
      <c r="AX45" s="14"/>
      <c r="AY45" s="14"/>
      <c r="AZ45" s="14">
        <f t="shared" si="8"/>
        <v>0</v>
      </c>
      <c r="BA45" s="28">
        <v>28</v>
      </c>
      <c r="BB45" s="13"/>
      <c r="BC45" s="14"/>
      <c r="BD45" s="14"/>
      <c r="BE45" s="14">
        <f t="shared" si="9"/>
        <v>0</v>
      </c>
    </row>
    <row r="46" spans="8:57" s="2" customFormat="1" ht="85.15" customHeight="1">
      <c r="H46" s="28">
        <v>29</v>
      </c>
      <c r="I46" s="13"/>
      <c r="J46" s="14"/>
      <c r="K46" s="14"/>
      <c r="L46" s="14">
        <f t="shared" si="0"/>
        <v>0</v>
      </c>
      <c r="M46" s="28">
        <v>29</v>
      </c>
      <c r="N46" s="13"/>
      <c r="O46" s="14"/>
      <c r="P46" s="14"/>
      <c r="Q46" s="14">
        <f t="shared" si="1"/>
        <v>0</v>
      </c>
      <c r="R46" s="28">
        <v>29</v>
      </c>
      <c r="S46" s="13"/>
      <c r="T46" s="14"/>
      <c r="U46" s="14"/>
      <c r="V46" s="14">
        <f t="shared" si="2"/>
        <v>0</v>
      </c>
      <c r="W46" s="28">
        <v>29</v>
      </c>
      <c r="X46" s="13"/>
      <c r="Y46" s="14"/>
      <c r="Z46" s="14"/>
      <c r="AA46" s="14">
        <f t="shared" si="3"/>
        <v>0</v>
      </c>
      <c r="AB46" s="28">
        <v>29</v>
      </c>
      <c r="AC46" s="13"/>
      <c r="AD46" s="14"/>
      <c r="AE46" s="14"/>
      <c r="AF46" s="14">
        <f t="shared" si="4"/>
        <v>0</v>
      </c>
      <c r="AG46" s="28">
        <v>29</v>
      </c>
      <c r="AH46" s="13"/>
      <c r="AI46" s="14"/>
      <c r="AJ46" s="14"/>
      <c r="AK46" s="14">
        <f t="shared" si="5"/>
        <v>0</v>
      </c>
      <c r="AL46" s="28">
        <v>29</v>
      </c>
      <c r="AM46" s="13"/>
      <c r="AN46" s="14"/>
      <c r="AO46" s="14"/>
      <c r="AP46" s="14">
        <f t="shared" si="6"/>
        <v>0</v>
      </c>
      <c r="AQ46" s="28">
        <v>29</v>
      </c>
      <c r="AR46" s="13"/>
      <c r="AS46" s="14"/>
      <c r="AT46" s="14"/>
      <c r="AU46" s="14">
        <f t="shared" si="7"/>
        <v>0</v>
      </c>
      <c r="AV46" s="28">
        <v>29</v>
      </c>
      <c r="AW46" s="13"/>
      <c r="AX46" s="14"/>
      <c r="AY46" s="14"/>
      <c r="AZ46" s="14">
        <f t="shared" si="8"/>
        <v>0</v>
      </c>
      <c r="BA46" s="28">
        <v>29</v>
      </c>
      <c r="BB46" s="13"/>
      <c r="BC46" s="14"/>
      <c r="BD46" s="14"/>
      <c r="BE46" s="14">
        <f t="shared" si="9"/>
        <v>0</v>
      </c>
    </row>
    <row r="47" spans="8:57" s="2" customFormat="1" ht="85.15" customHeight="1">
      <c r="H47" s="28">
        <v>30</v>
      </c>
      <c r="I47" s="13"/>
      <c r="J47" s="14"/>
      <c r="K47" s="14"/>
      <c r="L47" s="14">
        <f t="shared" si="0"/>
        <v>0</v>
      </c>
      <c r="M47" s="28">
        <v>30</v>
      </c>
      <c r="N47" s="13"/>
      <c r="O47" s="14"/>
      <c r="P47" s="14"/>
      <c r="Q47" s="14">
        <f t="shared" si="1"/>
        <v>0</v>
      </c>
      <c r="R47" s="28">
        <v>30</v>
      </c>
      <c r="S47" s="13"/>
      <c r="T47" s="14"/>
      <c r="U47" s="14"/>
      <c r="V47" s="14">
        <f t="shared" si="2"/>
        <v>0</v>
      </c>
      <c r="W47" s="28">
        <v>30</v>
      </c>
      <c r="X47" s="13"/>
      <c r="Y47" s="14"/>
      <c r="Z47" s="14"/>
      <c r="AA47" s="14">
        <f t="shared" si="3"/>
        <v>0</v>
      </c>
      <c r="AB47" s="28">
        <v>30</v>
      </c>
      <c r="AC47" s="13"/>
      <c r="AD47" s="14"/>
      <c r="AE47" s="14"/>
      <c r="AF47" s="14">
        <f t="shared" si="4"/>
        <v>0</v>
      </c>
      <c r="AG47" s="28">
        <v>30</v>
      </c>
      <c r="AH47" s="13"/>
      <c r="AI47" s="14"/>
      <c r="AJ47" s="14"/>
      <c r="AK47" s="14">
        <f t="shared" si="5"/>
        <v>0</v>
      </c>
      <c r="AL47" s="28">
        <v>30</v>
      </c>
      <c r="AM47" s="13"/>
      <c r="AN47" s="14"/>
      <c r="AO47" s="14"/>
      <c r="AP47" s="14">
        <f t="shared" si="6"/>
        <v>0</v>
      </c>
      <c r="AQ47" s="28">
        <v>30</v>
      </c>
      <c r="AR47" s="13"/>
      <c r="AS47" s="14"/>
      <c r="AT47" s="14"/>
      <c r="AU47" s="14">
        <f t="shared" si="7"/>
        <v>0</v>
      </c>
      <c r="AV47" s="28">
        <v>30</v>
      </c>
      <c r="AW47" s="13"/>
      <c r="AX47" s="14"/>
      <c r="AY47" s="14"/>
      <c r="AZ47" s="14">
        <f t="shared" si="8"/>
        <v>0</v>
      </c>
      <c r="BA47" s="28">
        <v>30</v>
      </c>
      <c r="BB47" s="13"/>
      <c r="BC47" s="14"/>
      <c r="BD47" s="14"/>
      <c r="BE47" s="14">
        <f t="shared" si="9"/>
        <v>0</v>
      </c>
    </row>
    <row r="48" spans="8:57" s="2" customFormat="1" ht="85.15" customHeight="1">
      <c r="H48" s="28">
        <v>31</v>
      </c>
      <c r="I48" s="13"/>
      <c r="J48" s="14"/>
      <c r="K48" s="14"/>
      <c r="L48" s="14">
        <f t="shared" si="0"/>
        <v>0</v>
      </c>
      <c r="M48" s="28">
        <v>31</v>
      </c>
      <c r="N48" s="13"/>
      <c r="O48" s="14"/>
      <c r="P48" s="14"/>
      <c r="Q48" s="14">
        <f t="shared" si="1"/>
        <v>0</v>
      </c>
      <c r="R48" s="28">
        <v>31</v>
      </c>
      <c r="S48" s="13"/>
      <c r="T48" s="14"/>
      <c r="U48" s="14"/>
      <c r="V48" s="14">
        <f t="shared" si="2"/>
        <v>0</v>
      </c>
      <c r="W48" s="28">
        <v>31</v>
      </c>
      <c r="X48" s="13"/>
      <c r="Y48" s="14"/>
      <c r="Z48" s="14"/>
      <c r="AA48" s="14">
        <f t="shared" si="3"/>
        <v>0</v>
      </c>
      <c r="AB48" s="28">
        <v>31</v>
      </c>
      <c r="AC48" s="13"/>
      <c r="AD48" s="14"/>
      <c r="AE48" s="14"/>
      <c r="AF48" s="14">
        <f t="shared" si="4"/>
        <v>0</v>
      </c>
      <c r="AG48" s="28">
        <v>31</v>
      </c>
      <c r="AH48" s="13"/>
      <c r="AI48" s="14"/>
      <c r="AJ48" s="14"/>
      <c r="AK48" s="14">
        <f t="shared" si="5"/>
        <v>0</v>
      </c>
      <c r="AL48" s="28">
        <v>31</v>
      </c>
      <c r="AM48" s="13"/>
      <c r="AN48" s="14"/>
      <c r="AO48" s="14"/>
      <c r="AP48" s="14">
        <f t="shared" si="6"/>
        <v>0</v>
      </c>
      <c r="AQ48" s="28">
        <v>31</v>
      </c>
      <c r="AR48" s="13"/>
      <c r="AS48" s="14"/>
      <c r="AT48" s="14"/>
      <c r="AU48" s="14">
        <f t="shared" si="7"/>
        <v>0</v>
      </c>
      <c r="AV48" s="28">
        <v>31</v>
      </c>
      <c r="AW48" s="13"/>
      <c r="AX48" s="14"/>
      <c r="AY48" s="14"/>
      <c r="AZ48" s="14">
        <f t="shared" si="8"/>
        <v>0</v>
      </c>
      <c r="BA48" s="28">
        <v>31</v>
      </c>
      <c r="BB48" s="13"/>
      <c r="BC48" s="14"/>
      <c r="BD48" s="14"/>
      <c r="BE48" s="14">
        <f t="shared" si="9"/>
        <v>0</v>
      </c>
    </row>
    <row r="49" spans="8:57" s="2" customFormat="1" ht="85.15" customHeight="1">
      <c r="H49" s="28">
        <v>32</v>
      </c>
      <c r="I49" s="13"/>
      <c r="J49" s="14"/>
      <c r="K49" s="14"/>
      <c r="L49" s="14">
        <f t="shared" si="0"/>
        <v>0</v>
      </c>
      <c r="M49" s="28">
        <v>32</v>
      </c>
      <c r="N49" s="13"/>
      <c r="O49" s="14"/>
      <c r="P49" s="14"/>
      <c r="Q49" s="14">
        <f t="shared" si="1"/>
        <v>0</v>
      </c>
      <c r="R49" s="28">
        <v>32</v>
      </c>
      <c r="S49" s="13"/>
      <c r="T49" s="14"/>
      <c r="U49" s="14"/>
      <c r="V49" s="14">
        <f t="shared" si="2"/>
        <v>0</v>
      </c>
      <c r="W49" s="28">
        <v>32</v>
      </c>
      <c r="X49" s="13"/>
      <c r="Y49" s="14"/>
      <c r="Z49" s="14"/>
      <c r="AA49" s="14">
        <f t="shared" si="3"/>
        <v>0</v>
      </c>
      <c r="AB49" s="28">
        <v>32</v>
      </c>
      <c r="AC49" s="13"/>
      <c r="AD49" s="14"/>
      <c r="AE49" s="14"/>
      <c r="AF49" s="14">
        <f t="shared" si="4"/>
        <v>0</v>
      </c>
      <c r="AG49" s="28">
        <v>32</v>
      </c>
      <c r="AH49" s="13"/>
      <c r="AI49" s="14"/>
      <c r="AJ49" s="14"/>
      <c r="AK49" s="14">
        <f t="shared" si="5"/>
        <v>0</v>
      </c>
      <c r="AL49" s="28">
        <v>32</v>
      </c>
      <c r="AM49" s="13"/>
      <c r="AN49" s="14"/>
      <c r="AO49" s="14"/>
      <c r="AP49" s="14">
        <f t="shared" si="6"/>
        <v>0</v>
      </c>
      <c r="AQ49" s="28">
        <v>32</v>
      </c>
      <c r="AR49" s="13"/>
      <c r="AS49" s="14"/>
      <c r="AT49" s="14"/>
      <c r="AU49" s="14">
        <f t="shared" si="7"/>
        <v>0</v>
      </c>
      <c r="AV49" s="28">
        <v>32</v>
      </c>
      <c r="AW49" s="13"/>
      <c r="AX49" s="14"/>
      <c r="AY49" s="14"/>
      <c r="AZ49" s="14">
        <f t="shared" si="8"/>
        <v>0</v>
      </c>
      <c r="BA49" s="28">
        <v>32</v>
      </c>
      <c r="BB49" s="13"/>
      <c r="BC49" s="14"/>
      <c r="BD49" s="14"/>
      <c r="BE49" s="14">
        <f t="shared" si="9"/>
        <v>0</v>
      </c>
    </row>
    <row r="50" spans="8:57" s="2" customFormat="1" ht="85.15" customHeight="1">
      <c r="H50" s="28">
        <v>33</v>
      </c>
      <c r="I50" s="13"/>
      <c r="J50" s="14"/>
      <c r="K50" s="14"/>
      <c r="L50" s="14">
        <f t="shared" si="0"/>
        <v>0</v>
      </c>
      <c r="M50" s="28">
        <v>33</v>
      </c>
      <c r="N50" s="13"/>
      <c r="O50" s="14"/>
      <c r="P50" s="14"/>
      <c r="Q50" s="14">
        <f t="shared" si="1"/>
        <v>0</v>
      </c>
      <c r="R50" s="28">
        <v>33</v>
      </c>
      <c r="S50" s="13"/>
      <c r="T50" s="14"/>
      <c r="U50" s="14"/>
      <c r="V50" s="14">
        <f t="shared" si="2"/>
        <v>0</v>
      </c>
      <c r="W50" s="28">
        <v>33</v>
      </c>
      <c r="X50" s="13"/>
      <c r="Y50" s="14"/>
      <c r="Z50" s="14"/>
      <c r="AA50" s="14">
        <f t="shared" si="3"/>
        <v>0</v>
      </c>
      <c r="AB50" s="28">
        <v>33</v>
      </c>
      <c r="AC50" s="13"/>
      <c r="AD50" s="14"/>
      <c r="AE50" s="14"/>
      <c r="AF50" s="14">
        <f t="shared" si="4"/>
        <v>0</v>
      </c>
      <c r="AG50" s="28">
        <v>33</v>
      </c>
      <c r="AH50" s="13"/>
      <c r="AI50" s="14"/>
      <c r="AJ50" s="14"/>
      <c r="AK50" s="14">
        <f t="shared" si="5"/>
        <v>0</v>
      </c>
      <c r="AL50" s="28">
        <v>33</v>
      </c>
      <c r="AM50" s="13"/>
      <c r="AN50" s="14"/>
      <c r="AO50" s="14"/>
      <c r="AP50" s="14">
        <f t="shared" si="6"/>
        <v>0</v>
      </c>
      <c r="AQ50" s="28">
        <v>33</v>
      </c>
      <c r="AR50" s="13"/>
      <c r="AS50" s="14"/>
      <c r="AT50" s="14"/>
      <c r="AU50" s="14">
        <f t="shared" si="7"/>
        <v>0</v>
      </c>
      <c r="AV50" s="28">
        <v>33</v>
      </c>
      <c r="AW50" s="13"/>
      <c r="AX50" s="14"/>
      <c r="AY50" s="14"/>
      <c r="AZ50" s="14">
        <f t="shared" si="8"/>
        <v>0</v>
      </c>
      <c r="BA50" s="28">
        <v>33</v>
      </c>
      <c r="BB50" s="13"/>
      <c r="BC50" s="14"/>
      <c r="BD50" s="14"/>
      <c r="BE50" s="14">
        <f t="shared" si="9"/>
        <v>0</v>
      </c>
    </row>
    <row r="51" spans="8:57" s="2" customFormat="1" ht="85.15" customHeight="1">
      <c r="H51" s="28">
        <v>34</v>
      </c>
      <c r="I51" s="13"/>
      <c r="J51" s="14"/>
      <c r="K51" s="14"/>
      <c r="L51" s="14">
        <f t="shared" si="0"/>
        <v>0</v>
      </c>
      <c r="M51" s="28">
        <v>34</v>
      </c>
      <c r="N51" s="13"/>
      <c r="O51" s="14"/>
      <c r="P51" s="14"/>
      <c r="Q51" s="14">
        <f t="shared" si="1"/>
        <v>0</v>
      </c>
      <c r="R51" s="28">
        <v>34</v>
      </c>
      <c r="S51" s="13"/>
      <c r="T51" s="14"/>
      <c r="U51" s="14"/>
      <c r="V51" s="14">
        <f t="shared" si="2"/>
        <v>0</v>
      </c>
      <c r="W51" s="28">
        <v>34</v>
      </c>
      <c r="X51" s="13"/>
      <c r="Y51" s="14"/>
      <c r="Z51" s="14"/>
      <c r="AA51" s="14">
        <f t="shared" si="3"/>
        <v>0</v>
      </c>
      <c r="AB51" s="28">
        <v>34</v>
      </c>
      <c r="AC51" s="13"/>
      <c r="AD51" s="14"/>
      <c r="AE51" s="14"/>
      <c r="AF51" s="14">
        <f t="shared" si="4"/>
        <v>0</v>
      </c>
      <c r="AG51" s="28">
        <v>34</v>
      </c>
      <c r="AH51" s="13"/>
      <c r="AI51" s="14"/>
      <c r="AJ51" s="14"/>
      <c r="AK51" s="14">
        <f t="shared" si="5"/>
        <v>0</v>
      </c>
      <c r="AL51" s="28">
        <v>34</v>
      </c>
      <c r="AM51" s="13"/>
      <c r="AN51" s="14"/>
      <c r="AO51" s="14"/>
      <c r="AP51" s="14">
        <f t="shared" si="6"/>
        <v>0</v>
      </c>
      <c r="AQ51" s="28">
        <v>34</v>
      </c>
      <c r="AR51" s="13"/>
      <c r="AS51" s="14"/>
      <c r="AT51" s="14"/>
      <c r="AU51" s="14">
        <f t="shared" si="7"/>
        <v>0</v>
      </c>
      <c r="AV51" s="28">
        <v>34</v>
      </c>
      <c r="AW51" s="13"/>
      <c r="AX51" s="14"/>
      <c r="AY51" s="14"/>
      <c r="AZ51" s="14">
        <f t="shared" si="8"/>
        <v>0</v>
      </c>
      <c r="BA51" s="28">
        <v>34</v>
      </c>
      <c r="BB51" s="13"/>
      <c r="BC51" s="14"/>
      <c r="BD51" s="14"/>
      <c r="BE51" s="14">
        <f t="shared" si="9"/>
        <v>0</v>
      </c>
    </row>
    <row r="52" spans="8:57" s="2" customFormat="1" ht="85.15" customHeight="1">
      <c r="H52" s="28">
        <v>35</v>
      </c>
      <c r="I52" s="13"/>
      <c r="J52" s="14"/>
      <c r="K52" s="14"/>
      <c r="L52" s="14">
        <f t="shared" si="0"/>
        <v>0</v>
      </c>
      <c r="M52" s="28">
        <v>35</v>
      </c>
      <c r="N52" s="13"/>
      <c r="O52" s="14"/>
      <c r="P52" s="14"/>
      <c r="Q52" s="14">
        <f t="shared" si="1"/>
        <v>0</v>
      </c>
      <c r="R52" s="28">
        <v>35</v>
      </c>
      <c r="S52" s="13"/>
      <c r="T52" s="14"/>
      <c r="U52" s="14"/>
      <c r="V52" s="14">
        <f t="shared" si="2"/>
        <v>0</v>
      </c>
      <c r="W52" s="28">
        <v>35</v>
      </c>
      <c r="X52" s="13"/>
      <c r="Y52" s="14"/>
      <c r="Z52" s="14"/>
      <c r="AA52" s="14">
        <f t="shared" si="3"/>
        <v>0</v>
      </c>
      <c r="AB52" s="28">
        <v>35</v>
      </c>
      <c r="AC52" s="13"/>
      <c r="AD52" s="14"/>
      <c r="AE52" s="14"/>
      <c r="AF52" s="14">
        <f t="shared" si="4"/>
        <v>0</v>
      </c>
      <c r="AG52" s="28">
        <v>35</v>
      </c>
      <c r="AH52" s="13"/>
      <c r="AI52" s="14"/>
      <c r="AJ52" s="14"/>
      <c r="AK52" s="14">
        <f t="shared" si="5"/>
        <v>0</v>
      </c>
      <c r="AL52" s="28">
        <v>35</v>
      </c>
      <c r="AM52" s="13"/>
      <c r="AN52" s="14"/>
      <c r="AO52" s="14"/>
      <c r="AP52" s="14">
        <f t="shared" si="6"/>
        <v>0</v>
      </c>
      <c r="AQ52" s="28">
        <v>35</v>
      </c>
      <c r="AR52" s="13"/>
      <c r="AS52" s="14"/>
      <c r="AT52" s="14"/>
      <c r="AU52" s="14">
        <f t="shared" si="7"/>
        <v>0</v>
      </c>
      <c r="AV52" s="28">
        <v>35</v>
      </c>
      <c r="AW52" s="13"/>
      <c r="AX52" s="14"/>
      <c r="AY52" s="14"/>
      <c r="AZ52" s="14">
        <f t="shared" si="8"/>
        <v>0</v>
      </c>
      <c r="BA52" s="28">
        <v>35</v>
      </c>
      <c r="BB52" s="13"/>
      <c r="BC52" s="14"/>
      <c r="BD52" s="14"/>
      <c r="BE52" s="14">
        <f t="shared" si="9"/>
        <v>0</v>
      </c>
    </row>
    <row r="53" spans="8:57" s="2" customFormat="1" ht="85.15" customHeight="1">
      <c r="H53" s="28">
        <v>36</v>
      </c>
      <c r="I53" s="13"/>
      <c r="J53" s="14"/>
      <c r="K53" s="14"/>
      <c r="L53" s="14">
        <f t="shared" si="0"/>
        <v>0</v>
      </c>
      <c r="M53" s="28">
        <v>36</v>
      </c>
      <c r="N53" s="13"/>
      <c r="O53" s="14"/>
      <c r="P53" s="14"/>
      <c r="Q53" s="14">
        <f t="shared" si="1"/>
        <v>0</v>
      </c>
      <c r="R53" s="28">
        <v>36</v>
      </c>
      <c r="S53" s="13"/>
      <c r="T53" s="14"/>
      <c r="U53" s="14"/>
      <c r="V53" s="14">
        <f t="shared" si="2"/>
        <v>0</v>
      </c>
      <c r="W53" s="28">
        <v>36</v>
      </c>
      <c r="X53" s="13"/>
      <c r="Y53" s="14"/>
      <c r="Z53" s="14"/>
      <c r="AA53" s="14">
        <f t="shared" si="3"/>
        <v>0</v>
      </c>
      <c r="AB53" s="28">
        <v>36</v>
      </c>
      <c r="AC53" s="13"/>
      <c r="AD53" s="14"/>
      <c r="AE53" s="14"/>
      <c r="AF53" s="14">
        <f t="shared" si="4"/>
        <v>0</v>
      </c>
      <c r="AG53" s="28">
        <v>36</v>
      </c>
      <c r="AH53" s="13"/>
      <c r="AI53" s="14"/>
      <c r="AJ53" s="14"/>
      <c r="AK53" s="14">
        <f t="shared" si="5"/>
        <v>0</v>
      </c>
      <c r="AL53" s="28">
        <v>36</v>
      </c>
      <c r="AM53" s="13"/>
      <c r="AN53" s="14"/>
      <c r="AO53" s="14"/>
      <c r="AP53" s="14">
        <f t="shared" si="6"/>
        <v>0</v>
      </c>
      <c r="AQ53" s="28">
        <v>36</v>
      </c>
      <c r="AR53" s="13"/>
      <c r="AS53" s="14"/>
      <c r="AT53" s="14"/>
      <c r="AU53" s="14">
        <f t="shared" si="7"/>
        <v>0</v>
      </c>
      <c r="AV53" s="28">
        <v>36</v>
      </c>
      <c r="AW53" s="13"/>
      <c r="AX53" s="14"/>
      <c r="AY53" s="14"/>
      <c r="AZ53" s="14">
        <f t="shared" si="8"/>
        <v>0</v>
      </c>
      <c r="BA53" s="28">
        <v>36</v>
      </c>
      <c r="BB53" s="13"/>
      <c r="BC53" s="14"/>
      <c r="BD53" s="14"/>
      <c r="BE53" s="14">
        <f t="shared" si="9"/>
        <v>0</v>
      </c>
    </row>
    <row r="54" spans="8:57" s="2" customFormat="1" ht="85.15" customHeight="1">
      <c r="H54" s="28">
        <v>37</v>
      </c>
      <c r="I54" s="13"/>
      <c r="J54" s="14"/>
      <c r="K54" s="14"/>
      <c r="L54" s="14">
        <f t="shared" si="0"/>
        <v>0</v>
      </c>
      <c r="M54" s="28">
        <v>37</v>
      </c>
      <c r="N54" s="13"/>
      <c r="O54" s="14"/>
      <c r="P54" s="14"/>
      <c r="Q54" s="14">
        <f t="shared" si="1"/>
        <v>0</v>
      </c>
      <c r="R54" s="28">
        <v>37</v>
      </c>
      <c r="S54" s="13"/>
      <c r="T54" s="14"/>
      <c r="U54" s="14"/>
      <c r="V54" s="14">
        <f t="shared" si="2"/>
        <v>0</v>
      </c>
      <c r="W54" s="28">
        <v>37</v>
      </c>
      <c r="X54" s="13"/>
      <c r="Y54" s="14"/>
      <c r="Z54" s="14"/>
      <c r="AA54" s="14">
        <f t="shared" si="3"/>
        <v>0</v>
      </c>
      <c r="AB54" s="28">
        <v>37</v>
      </c>
      <c r="AC54" s="13"/>
      <c r="AD54" s="14"/>
      <c r="AE54" s="14"/>
      <c r="AF54" s="14">
        <f t="shared" si="4"/>
        <v>0</v>
      </c>
      <c r="AG54" s="28">
        <v>37</v>
      </c>
      <c r="AH54" s="13"/>
      <c r="AI54" s="14"/>
      <c r="AJ54" s="14"/>
      <c r="AK54" s="14">
        <f t="shared" si="5"/>
        <v>0</v>
      </c>
      <c r="AL54" s="28">
        <v>37</v>
      </c>
      <c r="AM54" s="13"/>
      <c r="AN54" s="14"/>
      <c r="AO54" s="14"/>
      <c r="AP54" s="14">
        <f t="shared" si="6"/>
        <v>0</v>
      </c>
      <c r="AQ54" s="28">
        <v>37</v>
      </c>
      <c r="AR54" s="13"/>
      <c r="AS54" s="14"/>
      <c r="AT54" s="14"/>
      <c r="AU54" s="14">
        <f t="shared" si="7"/>
        <v>0</v>
      </c>
      <c r="AV54" s="28">
        <v>37</v>
      </c>
      <c r="AW54" s="13"/>
      <c r="AX54" s="14"/>
      <c r="AY54" s="14"/>
      <c r="AZ54" s="14">
        <f t="shared" si="8"/>
        <v>0</v>
      </c>
      <c r="BA54" s="28">
        <v>37</v>
      </c>
      <c r="BB54" s="13"/>
      <c r="BC54" s="14"/>
      <c r="BD54" s="14"/>
      <c r="BE54" s="14">
        <f t="shared" si="9"/>
        <v>0</v>
      </c>
    </row>
    <row r="55" spans="8:57" s="2" customFormat="1" ht="85.15" customHeight="1">
      <c r="H55" s="28">
        <v>38</v>
      </c>
      <c r="I55" s="13"/>
      <c r="J55" s="14"/>
      <c r="K55" s="14"/>
      <c r="L55" s="14">
        <f t="shared" si="0"/>
        <v>0</v>
      </c>
      <c r="M55" s="28">
        <v>38</v>
      </c>
      <c r="N55" s="13"/>
      <c r="O55" s="14"/>
      <c r="P55" s="14"/>
      <c r="Q55" s="14">
        <f t="shared" si="1"/>
        <v>0</v>
      </c>
      <c r="R55" s="28">
        <v>38</v>
      </c>
      <c r="S55" s="13"/>
      <c r="T55" s="14"/>
      <c r="U55" s="14"/>
      <c r="V55" s="14">
        <f t="shared" si="2"/>
        <v>0</v>
      </c>
      <c r="W55" s="28">
        <v>38</v>
      </c>
      <c r="X55" s="13"/>
      <c r="Y55" s="14"/>
      <c r="Z55" s="14"/>
      <c r="AA55" s="14">
        <f t="shared" si="3"/>
        <v>0</v>
      </c>
      <c r="AB55" s="28">
        <v>38</v>
      </c>
      <c r="AC55" s="13"/>
      <c r="AD55" s="14"/>
      <c r="AE55" s="14"/>
      <c r="AF55" s="14">
        <f t="shared" si="4"/>
        <v>0</v>
      </c>
      <c r="AG55" s="28">
        <v>38</v>
      </c>
      <c r="AH55" s="13"/>
      <c r="AI55" s="14"/>
      <c r="AJ55" s="14"/>
      <c r="AK55" s="14">
        <f t="shared" si="5"/>
        <v>0</v>
      </c>
      <c r="AL55" s="28">
        <v>38</v>
      </c>
      <c r="AM55" s="13"/>
      <c r="AN55" s="14"/>
      <c r="AO55" s="14"/>
      <c r="AP55" s="14">
        <f t="shared" si="6"/>
        <v>0</v>
      </c>
      <c r="AQ55" s="28">
        <v>38</v>
      </c>
      <c r="AR55" s="13"/>
      <c r="AS55" s="14"/>
      <c r="AT55" s="14"/>
      <c r="AU55" s="14">
        <f t="shared" si="7"/>
        <v>0</v>
      </c>
      <c r="AV55" s="28">
        <v>38</v>
      </c>
      <c r="AW55" s="13"/>
      <c r="AX55" s="14"/>
      <c r="AY55" s="14"/>
      <c r="AZ55" s="14">
        <f t="shared" si="8"/>
        <v>0</v>
      </c>
      <c r="BA55" s="28">
        <v>38</v>
      </c>
      <c r="BB55" s="13"/>
      <c r="BC55" s="14"/>
      <c r="BD55" s="14"/>
      <c r="BE55" s="14">
        <f t="shared" si="9"/>
        <v>0</v>
      </c>
    </row>
    <row r="56" spans="8:57" s="2" customFormat="1" ht="85.15" customHeight="1">
      <c r="H56" s="28">
        <v>39</v>
      </c>
      <c r="I56" s="13"/>
      <c r="J56" s="14"/>
      <c r="K56" s="14"/>
      <c r="L56" s="14">
        <f t="shared" si="0"/>
        <v>0</v>
      </c>
      <c r="M56" s="28">
        <v>39</v>
      </c>
      <c r="N56" s="13"/>
      <c r="O56" s="14"/>
      <c r="P56" s="14"/>
      <c r="Q56" s="14">
        <f t="shared" si="1"/>
        <v>0</v>
      </c>
      <c r="R56" s="28">
        <v>39</v>
      </c>
      <c r="S56" s="13"/>
      <c r="T56" s="14"/>
      <c r="U56" s="14"/>
      <c r="V56" s="14">
        <f t="shared" si="2"/>
        <v>0</v>
      </c>
      <c r="W56" s="28">
        <v>39</v>
      </c>
      <c r="X56" s="13"/>
      <c r="Y56" s="14"/>
      <c r="Z56" s="14"/>
      <c r="AA56" s="14">
        <f t="shared" si="3"/>
        <v>0</v>
      </c>
      <c r="AB56" s="28">
        <v>39</v>
      </c>
      <c r="AC56" s="13"/>
      <c r="AD56" s="14"/>
      <c r="AE56" s="14"/>
      <c r="AF56" s="14">
        <f t="shared" si="4"/>
        <v>0</v>
      </c>
      <c r="AG56" s="28">
        <v>39</v>
      </c>
      <c r="AH56" s="13"/>
      <c r="AI56" s="14"/>
      <c r="AJ56" s="14"/>
      <c r="AK56" s="14">
        <f t="shared" si="5"/>
        <v>0</v>
      </c>
      <c r="AL56" s="28">
        <v>39</v>
      </c>
      <c r="AM56" s="13"/>
      <c r="AN56" s="14"/>
      <c r="AO56" s="14"/>
      <c r="AP56" s="14">
        <f t="shared" si="6"/>
        <v>0</v>
      </c>
      <c r="AQ56" s="28">
        <v>39</v>
      </c>
      <c r="AR56" s="13"/>
      <c r="AS56" s="14"/>
      <c r="AT56" s="14"/>
      <c r="AU56" s="14">
        <f t="shared" si="7"/>
        <v>0</v>
      </c>
      <c r="AV56" s="28">
        <v>39</v>
      </c>
      <c r="AW56" s="13"/>
      <c r="AX56" s="14"/>
      <c r="AY56" s="14"/>
      <c r="AZ56" s="14">
        <f t="shared" si="8"/>
        <v>0</v>
      </c>
      <c r="BA56" s="28">
        <v>39</v>
      </c>
      <c r="BB56" s="13"/>
      <c r="BC56" s="14"/>
      <c r="BD56" s="14"/>
      <c r="BE56" s="14">
        <f t="shared" si="9"/>
        <v>0</v>
      </c>
    </row>
    <row r="57" spans="8:57" s="2" customFormat="1" ht="85.15" customHeight="1">
      <c r="H57" s="28">
        <v>40</v>
      </c>
      <c r="I57" s="13"/>
      <c r="J57" s="14"/>
      <c r="K57" s="14"/>
      <c r="L57" s="14">
        <f t="shared" si="0"/>
        <v>0</v>
      </c>
      <c r="M57" s="28">
        <v>40</v>
      </c>
      <c r="N57" s="13"/>
      <c r="O57" s="14"/>
      <c r="P57" s="14"/>
      <c r="Q57" s="14">
        <f t="shared" si="1"/>
        <v>0</v>
      </c>
      <c r="R57" s="28">
        <v>40</v>
      </c>
      <c r="S57" s="13"/>
      <c r="T57" s="14"/>
      <c r="U57" s="14"/>
      <c r="V57" s="14">
        <f t="shared" si="2"/>
        <v>0</v>
      </c>
      <c r="W57" s="28">
        <v>40</v>
      </c>
      <c r="X57" s="13"/>
      <c r="Y57" s="14"/>
      <c r="Z57" s="14"/>
      <c r="AA57" s="14">
        <f t="shared" si="3"/>
        <v>0</v>
      </c>
      <c r="AB57" s="28">
        <v>40</v>
      </c>
      <c r="AC57" s="13"/>
      <c r="AD57" s="14"/>
      <c r="AE57" s="14"/>
      <c r="AF57" s="14">
        <f t="shared" si="4"/>
        <v>0</v>
      </c>
      <c r="AG57" s="28">
        <v>40</v>
      </c>
      <c r="AH57" s="13"/>
      <c r="AI57" s="14"/>
      <c r="AJ57" s="14"/>
      <c r="AK57" s="14">
        <f t="shared" si="5"/>
        <v>0</v>
      </c>
      <c r="AL57" s="28">
        <v>40</v>
      </c>
      <c r="AM57" s="13"/>
      <c r="AN57" s="14"/>
      <c r="AO57" s="14"/>
      <c r="AP57" s="14">
        <f t="shared" si="6"/>
        <v>0</v>
      </c>
      <c r="AQ57" s="28">
        <v>40</v>
      </c>
      <c r="AR57" s="13"/>
      <c r="AS57" s="14"/>
      <c r="AT57" s="14"/>
      <c r="AU57" s="14">
        <f t="shared" si="7"/>
        <v>0</v>
      </c>
      <c r="AV57" s="28">
        <v>40</v>
      </c>
      <c r="AW57" s="13"/>
      <c r="AX57" s="14"/>
      <c r="AY57" s="14"/>
      <c r="AZ57" s="14">
        <f t="shared" si="8"/>
        <v>0</v>
      </c>
      <c r="BA57" s="28">
        <v>40</v>
      </c>
      <c r="BB57" s="13"/>
      <c r="BC57" s="14"/>
      <c r="BD57" s="14"/>
      <c r="BE57" s="14">
        <f t="shared" si="9"/>
        <v>0</v>
      </c>
    </row>
    <row r="58" spans="8:57" s="2" customFormat="1" ht="85.15" customHeight="1">
      <c r="H58" s="28">
        <v>41</v>
      </c>
      <c r="I58" s="13"/>
      <c r="J58" s="14"/>
      <c r="K58" s="14"/>
      <c r="L58" s="14">
        <f t="shared" si="0"/>
        <v>0</v>
      </c>
      <c r="M58" s="28">
        <v>41</v>
      </c>
      <c r="N58" s="13"/>
      <c r="O58" s="14"/>
      <c r="P58" s="14"/>
      <c r="Q58" s="14">
        <f t="shared" si="1"/>
        <v>0</v>
      </c>
      <c r="R58" s="28">
        <v>41</v>
      </c>
      <c r="S58" s="13"/>
      <c r="T58" s="14"/>
      <c r="U58" s="14"/>
      <c r="V58" s="14">
        <f t="shared" si="2"/>
        <v>0</v>
      </c>
      <c r="W58" s="28">
        <v>41</v>
      </c>
      <c r="X58" s="13"/>
      <c r="Y58" s="14"/>
      <c r="Z58" s="14"/>
      <c r="AA58" s="14">
        <f t="shared" si="3"/>
        <v>0</v>
      </c>
      <c r="AB58" s="28">
        <v>41</v>
      </c>
      <c r="AC58" s="13"/>
      <c r="AD58" s="14"/>
      <c r="AE58" s="14"/>
      <c r="AF58" s="14">
        <f t="shared" si="4"/>
        <v>0</v>
      </c>
      <c r="AG58" s="28">
        <v>41</v>
      </c>
      <c r="AH58" s="13"/>
      <c r="AI58" s="14"/>
      <c r="AJ58" s="14"/>
      <c r="AK58" s="14">
        <f t="shared" si="5"/>
        <v>0</v>
      </c>
      <c r="AL58" s="28">
        <v>41</v>
      </c>
      <c r="AM58" s="13"/>
      <c r="AN58" s="14"/>
      <c r="AO58" s="14"/>
      <c r="AP58" s="14">
        <f t="shared" si="6"/>
        <v>0</v>
      </c>
      <c r="AQ58" s="28">
        <v>41</v>
      </c>
      <c r="AR58" s="13"/>
      <c r="AS58" s="14"/>
      <c r="AT58" s="14"/>
      <c r="AU58" s="14">
        <f t="shared" si="7"/>
        <v>0</v>
      </c>
      <c r="AV58" s="28">
        <v>41</v>
      </c>
      <c r="AW58" s="13"/>
      <c r="AX58" s="14"/>
      <c r="AY58" s="14"/>
      <c r="AZ58" s="14">
        <f t="shared" si="8"/>
        <v>0</v>
      </c>
      <c r="BA58" s="28">
        <v>41</v>
      </c>
      <c r="BB58" s="13"/>
      <c r="BC58" s="14"/>
      <c r="BD58" s="14"/>
      <c r="BE58" s="14">
        <f t="shared" si="9"/>
        <v>0</v>
      </c>
    </row>
    <row r="59" spans="8:57" s="2" customFormat="1" ht="85.15" customHeight="1">
      <c r="H59" s="28">
        <v>42</v>
      </c>
      <c r="I59" s="13"/>
      <c r="J59" s="14"/>
      <c r="K59" s="14"/>
      <c r="L59" s="14">
        <f t="shared" si="0"/>
        <v>0</v>
      </c>
      <c r="M59" s="28">
        <v>42</v>
      </c>
      <c r="N59" s="13"/>
      <c r="O59" s="14"/>
      <c r="P59" s="14"/>
      <c r="Q59" s="14">
        <f t="shared" si="1"/>
        <v>0</v>
      </c>
      <c r="R59" s="28">
        <v>42</v>
      </c>
      <c r="S59" s="13"/>
      <c r="T59" s="14"/>
      <c r="U59" s="14"/>
      <c r="V59" s="14">
        <f t="shared" si="2"/>
        <v>0</v>
      </c>
      <c r="W59" s="28">
        <v>42</v>
      </c>
      <c r="X59" s="13"/>
      <c r="Y59" s="14"/>
      <c r="Z59" s="14"/>
      <c r="AA59" s="14">
        <f t="shared" si="3"/>
        <v>0</v>
      </c>
      <c r="AB59" s="28">
        <v>42</v>
      </c>
      <c r="AC59" s="13"/>
      <c r="AD59" s="14"/>
      <c r="AE59" s="14"/>
      <c r="AF59" s="14">
        <f t="shared" si="4"/>
        <v>0</v>
      </c>
      <c r="AG59" s="28">
        <v>42</v>
      </c>
      <c r="AH59" s="13"/>
      <c r="AI59" s="14"/>
      <c r="AJ59" s="14"/>
      <c r="AK59" s="14">
        <f t="shared" si="5"/>
        <v>0</v>
      </c>
      <c r="AL59" s="28">
        <v>42</v>
      </c>
      <c r="AM59" s="13"/>
      <c r="AN59" s="14"/>
      <c r="AO59" s="14"/>
      <c r="AP59" s="14">
        <f t="shared" si="6"/>
        <v>0</v>
      </c>
      <c r="AQ59" s="28">
        <v>42</v>
      </c>
      <c r="AR59" s="13"/>
      <c r="AS59" s="14"/>
      <c r="AT59" s="14"/>
      <c r="AU59" s="14">
        <f t="shared" si="7"/>
        <v>0</v>
      </c>
      <c r="AV59" s="28">
        <v>42</v>
      </c>
      <c r="AW59" s="13"/>
      <c r="AX59" s="14"/>
      <c r="AY59" s="14"/>
      <c r="AZ59" s="14">
        <f t="shared" si="8"/>
        <v>0</v>
      </c>
      <c r="BA59" s="28">
        <v>42</v>
      </c>
      <c r="BB59" s="13"/>
      <c r="BC59" s="14"/>
      <c r="BD59" s="14"/>
      <c r="BE59" s="14">
        <f t="shared" si="9"/>
        <v>0</v>
      </c>
    </row>
    <row r="60" spans="8:57" s="2" customFormat="1" ht="85.15" customHeight="1">
      <c r="H60" s="28">
        <v>43</v>
      </c>
      <c r="I60" s="13"/>
      <c r="J60" s="14"/>
      <c r="K60" s="14"/>
      <c r="L60" s="14">
        <f t="shared" si="0"/>
        <v>0</v>
      </c>
      <c r="M60" s="28">
        <v>43</v>
      </c>
      <c r="N60" s="13"/>
      <c r="O60" s="14"/>
      <c r="P60" s="14"/>
      <c r="Q60" s="14">
        <f t="shared" si="1"/>
        <v>0</v>
      </c>
      <c r="R60" s="28">
        <v>43</v>
      </c>
      <c r="S60" s="13"/>
      <c r="T60" s="14"/>
      <c r="U60" s="14"/>
      <c r="V60" s="14">
        <f t="shared" si="2"/>
        <v>0</v>
      </c>
      <c r="W60" s="28">
        <v>43</v>
      </c>
      <c r="X60" s="13"/>
      <c r="Y60" s="14"/>
      <c r="Z60" s="14"/>
      <c r="AA60" s="14">
        <f t="shared" si="3"/>
        <v>0</v>
      </c>
      <c r="AB60" s="28">
        <v>43</v>
      </c>
      <c r="AC60" s="13"/>
      <c r="AD60" s="14"/>
      <c r="AE60" s="14"/>
      <c r="AF60" s="14">
        <f t="shared" si="4"/>
        <v>0</v>
      </c>
      <c r="AG60" s="28">
        <v>43</v>
      </c>
      <c r="AH60" s="13"/>
      <c r="AI60" s="14"/>
      <c r="AJ60" s="14"/>
      <c r="AK60" s="14">
        <f t="shared" si="5"/>
        <v>0</v>
      </c>
      <c r="AL60" s="28">
        <v>43</v>
      </c>
      <c r="AM60" s="13"/>
      <c r="AN60" s="14"/>
      <c r="AO60" s="14"/>
      <c r="AP60" s="14">
        <f t="shared" si="6"/>
        <v>0</v>
      </c>
      <c r="AQ60" s="28">
        <v>43</v>
      </c>
      <c r="AR60" s="13"/>
      <c r="AS60" s="14"/>
      <c r="AT60" s="14"/>
      <c r="AU60" s="14">
        <f t="shared" si="7"/>
        <v>0</v>
      </c>
      <c r="AV60" s="28">
        <v>43</v>
      </c>
      <c r="AW60" s="13"/>
      <c r="AX60" s="14"/>
      <c r="AY60" s="14"/>
      <c r="AZ60" s="14">
        <f t="shared" si="8"/>
        <v>0</v>
      </c>
      <c r="BA60" s="28">
        <v>43</v>
      </c>
      <c r="BB60" s="13"/>
      <c r="BC60" s="14"/>
      <c r="BD60" s="14"/>
      <c r="BE60" s="14">
        <f t="shared" si="9"/>
        <v>0</v>
      </c>
    </row>
    <row r="61" spans="8:57" s="2" customFormat="1" ht="85.15" customHeight="1">
      <c r="H61" s="28">
        <v>44</v>
      </c>
      <c r="I61" s="13"/>
      <c r="J61" s="14"/>
      <c r="K61" s="14"/>
      <c r="L61" s="14">
        <f t="shared" si="0"/>
        <v>0</v>
      </c>
      <c r="M61" s="28">
        <v>44</v>
      </c>
      <c r="N61" s="13"/>
      <c r="O61" s="14"/>
      <c r="P61" s="14"/>
      <c r="Q61" s="14">
        <f t="shared" si="1"/>
        <v>0</v>
      </c>
      <c r="R61" s="28">
        <v>44</v>
      </c>
      <c r="S61" s="13"/>
      <c r="T61" s="14"/>
      <c r="U61" s="14"/>
      <c r="V61" s="14">
        <f t="shared" si="2"/>
        <v>0</v>
      </c>
      <c r="W61" s="28">
        <v>44</v>
      </c>
      <c r="X61" s="13"/>
      <c r="Y61" s="14"/>
      <c r="Z61" s="14"/>
      <c r="AA61" s="14">
        <f t="shared" si="3"/>
        <v>0</v>
      </c>
      <c r="AB61" s="28">
        <v>44</v>
      </c>
      <c r="AC61" s="13"/>
      <c r="AD61" s="14"/>
      <c r="AE61" s="14"/>
      <c r="AF61" s="14">
        <f t="shared" si="4"/>
        <v>0</v>
      </c>
      <c r="AG61" s="28">
        <v>44</v>
      </c>
      <c r="AH61" s="13"/>
      <c r="AI61" s="14"/>
      <c r="AJ61" s="14"/>
      <c r="AK61" s="14">
        <f t="shared" si="5"/>
        <v>0</v>
      </c>
      <c r="AL61" s="28">
        <v>44</v>
      </c>
      <c r="AM61" s="13"/>
      <c r="AN61" s="14"/>
      <c r="AO61" s="14"/>
      <c r="AP61" s="14">
        <f t="shared" si="6"/>
        <v>0</v>
      </c>
      <c r="AQ61" s="28">
        <v>44</v>
      </c>
      <c r="AR61" s="13"/>
      <c r="AS61" s="14"/>
      <c r="AT61" s="14"/>
      <c r="AU61" s="14">
        <f t="shared" si="7"/>
        <v>0</v>
      </c>
      <c r="AV61" s="28">
        <v>44</v>
      </c>
      <c r="AW61" s="13"/>
      <c r="AX61" s="14"/>
      <c r="AY61" s="14"/>
      <c r="AZ61" s="14">
        <f t="shared" si="8"/>
        <v>0</v>
      </c>
      <c r="BA61" s="28">
        <v>44</v>
      </c>
      <c r="BB61" s="13"/>
      <c r="BC61" s="14"/>
      <c r="BD61" s="14"/>
      <c r="BE61" s="14">
        <f t="shared" si="9"/>
        <v>0</v>
      </c>
    </row>
    <row r="62" spans="8:57" s="2" customFormat="1" ht="85.15" customHeight="1">
      <c r="H62" s="28">
        <v>45</v>
      </c>
      <c r="I62" s="13"/>
      <c r="J62" s="14"/>
      <c r="K62" s="14"/>
      <c r="L62" s="14">
        <f t="shared" si="0"/>
        <v>0</v>
      </c>
      <c r="M62" s="28">
        <v>45</v>
      </c>
      <c r="N62" s="13"/>
      <c r="O62" s="14"/>
      <c r="P62" s="14"/>
      <c r="Q62" s="14">
        <f t="shared" si="1"/>
        <v>0</v>
      </c>
      <c r="R62" s="28">
        <v>45</v>
      </c>
      <c r="S62" s="13"/>
      <c r="T62" s="14"/>
      <c r="U62" s="14"/>
      <c r="V62" s="14">
        <f t="shared" si="2"/>
        <v>0</v>
      </c>
      <c r="W62" s="28">
        <v>45</v>
      </c>
      <c r="X62" s="13"/>
      <c r="Y62" s="14"/>
      <c r="Z62" s="14"/>
      <c r="AA62" s="14">
        <f t="shared" si="3"/>
        <v>0</v>
      </c>
      <c r="AB62" s="28">
        <v>45</v>
      </c>
      <c r="AC62" s="13"/>
      <c r="AD62" s="14"/>
      <c r="AE62" s="14"/>
      <c r="AF62" s="14">
        <f t="shared" si="4"/>
        <v>0</v>
      </c>
      <c r="AG62" s="28">
        <v>45</v>
      </c>
      <c r="AH62" s="13"/>
      <c r="AI62" s="14"/>
      <c r="AJ62" s="14"/>
      <c r="AK62" s="14">
        <f t="shared" si="5"/>
        <v>0</v>
      </c>
      <c r="AL62" s="28">
        <v>45</v>
      </c>
      <c r="AM62" s="13"/>
      <c r="AN62" s="14"/>
      <c r="AO62" s="14"/>
      <c r="AP62" s="14">
        <f t="shared" si="6"/>
        <v>0</v>
      </c>
      <c r="AQ62" s="28">
        <v>45</v>
      </c>
      <c r="AR62" s="13"/>
      <c r="AS62" s="14"/>
      <c r="AT62" s="14"/>
      <c r="AU62" s="14">
        <f t="shared" si="7"/>
        <v>0</v>
      </c>
      <c r="AV62" s="28">
        <v>45</v>
      </c>
      <c r="AW62" s="13"/>
      <c r="AX62" s="14"/>
      <c r="AY62" s="14"/>
      <c r="AZ62" s="14">
        <f t="shared" si="8"/>
        <v>0</v>
      </c>
      <c r="BA62" s="28">
        <v>45</v>
      </c>
      <c r="BB62" s="13"/>
      <c r="BC62" s="14"/>
      <c r="BD62" s="14"/>
      <c r="BE62" s="14">
        <f t="shared" si="9"/>
        <v>0</v>
      </c>
    </row>
    <row r="63" spans="8:57" s="2" customFormat="1" ht="85.15" customHeight="1">
      <c r="H63" s="28">
        <v>46</v>
      </c>
      <c r="I63" s="13"/>
      <c r="J63" s="14"/>
      <c r="K63" s="14"/>
      <c r="L63" s="14">
        <f t="shared" si="0"/>
        <v>0</v>
      </c>
      <c r="M63" s="28">
        <v>46</v>
      </c>
      <c r="N63" s="13"/>
      <c r="O63" s="14"/>
      <c r="P63" s="14"/>
      <c r="Q63" s="14">
        <f t="shared" si="1"/>
        <v>0</v>
      </c>
      <c r="R63" s="28">
        <v>46</v>
      </c>
      <c r="S63" s="13"/>
      <c r="T63" s="14"/>
      <c r="U63" s="14"/>
      <c r="V63" s="14">
        <f t="shared" si="2"/>
        <v>0</v>
      </c>
      <c r="W63" s="28">
        <v>46</v>
      </c>
      <c r="X63" s="13"/>
      <c r="Y63" s="14"/>
      <c r="Z63" s="14"/>
      <c r="AA63" s="14">
        <f t="shared" si="3"/>
        <v>0</v>
      </c>
      <c r="AB63" s="28">
        <v>46</v>
      </c>
      <c r="AC63" s="13"/>
      <c r="AD63" s="14"/>
      <c r="AE63" s="14"/>
      <c r="AF63" s="14">
        <f t="shared" si="4"/>
        <v>0</v>
      </c>
      <c r="AG63" s="28">
        <v>46</v>
      </c>
      <c r="AH63" s="13"/>
      <c r="AI63" s="14"/>
      <c r="AJ63" s="14"/>
      <c r="AK63" s="14">
        <f t="shared" si="5"/>
        <v>0</v>
      </c>
      <c r="AL63" s="28">
        <v>46</v>
      </c>
      <c r="AM63" s="13"/>
      <c r="AN63" s="14"/>
      <c r="AO63" s="14"/>
      <c r="AP63" s="14">
        <f t="shared" si="6"/>
        <v>0</v>
      </c>
      <c r="AQ63" s="28">
        <v>46</v>
      </c>
      <c r="AR63" s="13"/>
      <c r="AS63" s="14"/>
      <c r="AT63" s="14"/>
      <c r="AU63" s="14">
        <f t="shared" si="7"/>
        <v>0</v>
      </c>
      <c r="AV63" s="28">
        <v>46</v>
      </c>
      <c r="AW63" s="13"/>
      <c r="AX63" s="14"/>
      <c r="AY63" s="14"/>
      <c r="AZ63" s="14">
        <f t="shared" si="8"/>
        <v>0</v>
      </c>
      <c r="BA63" s="28">
        <v>46</v>
      </c>
      <c r="BB63" s="13"/>
      <c r="BC63" s="14"/>
      <c r="BD63" s="14"/>
      <c r="BE63" s="14">
        <f t="shared" si="9"/>
        <v>0</v>
      </c>
    </row>
    <row r="64" spans="8:57" s="2" customFormat="1" ht="85.15" customHeight="1">
      <c r="H64" s="28">
        <v>47</v>
      </c>
      <c r="I64" s="13"/>
      <c r="J64" s="14"/>
      <c r="K64" s="14"/>
      <c r="L64" s="14">
        <f t="shared" si="0"/>
        <v>0</v>
      </c>
      <c r="M64" s="28">
        <v>47</v>
      </c>
      <c r="N64" s="13"/>
      <c r="O64" s="14"/>
      <c r="P64" s="14"/>
      <c r="Q64" s="14">
        <f t="shared" si="1"/>
        <v>0</v>
      </c>
      <c r="R64" s="28">
        <v>47</v>
      </c>
      <c r="S64" s="13"/>
      <c r="T64" s="14"/>
      <c r="U64" s="14"/>
      <c r="V64" s="14">
        <f t="shared" si="2"/>
        <v>0</v>
      </c>
      <c r="W64" s="28">
        <v>47</v>
      </c>
      <c r="X64" s="13"/>
      <c r="Y64" s="14"/>
      <c r="Z64" s="14"/>
      <c r="AA64" s="14">
        <f t="shared" si="3"/>
        <v>0</v>
      </c>
      <c r="AB64" s="28">
        <v>47</v>
      </c>
      <c r="AC64" s="13"/>
      <c r="AD64" s="14"/>
      <c r="AE64" s="14"/>
      <c r="AF64" s="14">
        <f t="shared" si="4"/>
        <v>0</v>
      </c>
      <c r="AG64" s="28">
        <v>47</v>
      </c>
      <c r="AH64" s="13"/>
      <c r="AI64" s="14"/>
      <c r="AJ64" s="14"/>
      <c r="AK64" s="14">
        <f t="shared" si="5"/>
        <v>0</v>
      </c>
      <c r="AL64" s="28">
        <v>47</v>
      </c>
      <c r="AM64" s="13"/>
      <c r="AN64" s="14"/>
      <c r="AO64" s="14"/>
      <c r="AP64" s="14">
        <f t="shared" si="6"/>
        <v>0</v>
      </c>
      <c r="AQ64" s="28">
        <v>47</v>
      </c>
      <c r="AR64" s="13"/>
      <c r="AS64" s="14"/>
      <c r="AT64" s="14"/>
      <c r="AU64" s="14">
        <f t="shared" si="7"/>
        <v>0</v>
      </c>
      <c r="AV64" s="28">
        <v>47</v>
      </c>
      <c r="AW64" s="13"/>
      <c r="AX64" s="14"/>
      <c r="AY64" s="14"/>
      <c r="AZ64" s="14">
        <f t="shared" si="8"/>
        <v>0</v>
      </c>
      <c r="BA64" s="28">
        <v>47</v>
      </c>
      <c r="BB64" s="13"/>
      <c r="BC64" s="14"/>
      <c r="BD64" s="14"/>
      <c r="BE64" s="14">
        <f t="shared" si="9"/>
        <v>0</v>
      </c>
    </row>
    <row r="65" spans="8:57" s="2" customFormat="1" ht="85.15" customHeight="1">
      <c r="H65" s="28">
        <v>48</v>
      </c>
      <c r="I65" s="13"/>
      <c r="J65" s="14"/>
      <c r="K65" s="14"/>
      <c r="L65" s="14">
        <f t="shared" si="0"/>
        <v>0</v>
      </c>
      <c r="M65" s="28">
        <v>48</v>
      </c>
      <c r="N65" s="13"/>
      <c r="O65" s="14"/>
      <c r="P65" s="14"/>
      <c r="Q65" s="14">
        <f t="shared" si="1"/>
        <v>0</v>
      </c>
      <c r="R65" s="28">
        <v>48</v>
      </c>
      <c r="S65" s="13"/>
      <c r="T65" s="14"/>
      <c r="U65" s="14"/>
      <c r="V65" s="14">
        <f t="shared" si="2"/>
        <v>0</v>
      </c>
      <c r="W65" s="28">
        <v>48</v>
      </c>
      <c r="X65" s="13"/>
      <c r="Y65" s="14"/>
      <c r="Z65" s="14"/>
      <c r="AA65" s="14">
        <f t="shared" si="3"/>
        <v>0</v>
      </c>
      <c r="AB65" s="28">
        <v>48</v>
      </c>
      <c r="AC65" s="13"/>
      <c r="AD65" s="14"/>
      <c r="AE65" s="14"/>
      <c r="AF65" s="14">
        <f t="shared" si="4"/>
        <v>0</v>
      </c>
      <c r="AG65" s="28">
        <v>48</v>
      </c>
      <c r="AH65" s="13"/>
      <c r="AI65" s="14"/>
      <c r="AJ65" s="14"/>
      <c r="AK65" s="14">
        <f t="shared" si="5"/>
        <v>0</v>
      </c>
      <c r="AL65" s="28">
        <v>48</v>
      </c>
      <c r="AM65" s="13"/>
      <c r="AN65" s="14"/>
      <c r="AO65" s="14"/>
      <c r="AP65" s="14">
        <f t="shared" si="6"/>
        <v>0</v>
      </c>
      <c r="AQ65" s="28">
        <v>48</v>
      </c>
      <c r="AR65" s="13"/>
      <c r="AS65" s="14"/>
      <c r="AT65" s="14"/>
      <c r="AU65" s="14">
        <f t="shared" si="7"/>
        <v>0</v>
      </c>
      <c r="AV65" s="28">
        <v>48</v>
      </c>
      <c r="AW65" s="13"/>
      <c r="AX65" s="14"/>
      <c r="AY65" s="14"/>
      <c r="AZ65" s="14">
        <f t="shared" si="8"/>
        <v>0</v>
      </c>
      <c r="BA65" s="28">
        <v>48</v>
      </c>
      <c r="BB65" s="13"/>
      <c r="BC65" s="14"/>
      <c r="BD65" s="14"/>
      <c r="BE65" s="14">
        <f t="shared" si="9"/>
        <v>0</v>
      </c>
    </row>
    <row r="66" spans="8:57" s="2" customFormat="1" ht="85.15" customHeight="1">
      <c r="H66" s="28">
        <v>49</v>
      </c>
      <c r="I66" s="13"/>
      <c r="J66" s="14"/>
      <c r="K66" s="14"/>
      <c r="L66" s="14">
        <f t="shared" si="0"/>
        <v>0</v>
      </c>
      <c r="M66" s="28">
        <v>49</v>
      </c>
      <c r="N66" s="13"/>
      <c r="O66" s="14"/>
      <c r="P66" s="14"/>
      <c r="Q66" s="14">
        <f t="shared" si="1"/>
        <v>0</v>
      </c>
      <c r="R66" s="28">
        <v>49</v>
      </c>
      <c r="S66" s="13"/>
      <c r="T66" s="14"/>
      <c r="U66" s="14"/>
      <c r="V66" s="14">
        <f t="shared" si="2"/>
        <v>0</v>
      </c>
      <c r="W66" s="28">
        <v>49</v>
      </c>
      <c r="X66" s="13"/>
      <c r="Y66" s="14"/>
      <c r="Z66" s="14"/>
      <c r="AA66" s="14">
        <f t="shared" si="3"/>
        <v>0</v>
      </c>
      <c r="AB66" s="28">
        <v>49</v>
      </c>
      <c r="AC66" s="13"/>
      <c r="AD66" s="14"/>
      <c r="AE66" s="14"/>
      <c r="AF66" s="14">
        <f t="shared" si="4"/>
        <v>0</v>
      </c>
      <c r="AG66" s="28">
        <v>49</v>
      </c>
      <c r="AH66" s="13"/>
      <c r="AI66" s="14"/>
      <c r="AJ66" s="14"/>
      <c r="AK66" s="14">
        <f t="shared" si="5"/>
        <v>0</v>
      </c>
      <c r="AL66" s="28">
        <v>49</v>
      </c>
      <c r="AM66" s="13"/>
      <c r="AN66" s="14"/>
      <c r="AO66" s="14"/>
      <c r="AP66" s="14">
        <f t="shared" si="6"/>
        <v>0</v>
      </c>
      <c r="AQ66" s="28">
        <v>49</v>
      </c>
      <c r="AR66" s="13"/>
      <c r="AS66" s="14"/>
      <c r="AT66" s="14"/>
      <c r="AU66" s="14">
        <f t="shared" si="7"/>
        <v>0</v>
      </c>
      <c r="AV66" s="28">
        <v>49</v>
      </c>
      <c r="AW66" s="13"/>
      <c r="AX66" s="14"/>
      <c r="AY66" s="14"/>
      <c r="AZ66" s="14">
        <f t="shared" si="8"/>
        <v>0</v>
      </c>
      <c r="BA66" s="28">
        <v>49</v>
      </c>
      <c r="BB66" s="13"/>
      <c r="BC66" s="14"/>
      <c r="BD66" s="14"/>
      <c r="BE66" s="14">
        <f t="shared" si="9"/>
        <v>0</v>
      </c>
    </row>
    <row r="67" spans="8:57" s="2" customFormat="1" ht="85.15" customHeight="1">
      <c r="H67" s="28">
        <v>50</v>
      </c>
      <c r="I67" s="13"/>
      <c r="J67" s="14"/>
      <c r="K67" s="14"/>
      <c r="L67" s="14">
        <f t="shared" si="0"/>
        <v>0</v>
      </c>
      <c r="M67" s="28">
        <v>50</v>
      </c>
      <c r="N67" s="13"/>
      <c r="O67" s="14"/>
      <c r="P67" s="14"/>
      <c r="Q67" s="14">
        <f t="shared" si="1"/>
        <v>0</v>
      </c>
      <c r="R67" s="28">
        <v>50</v>
      </c>
      <c r="S67" s="13"/>
      <c r="T67" s="14"/>
      <c r="U67" s="14"/>
      <c r="V67" s="14">
        <f t="shared" si="2"/>
        <v>0</v>
      </c>
      <c r="W67" s="28">
        <v>50</v>
      </c>
      <c r="X67" s="13"/>
      <c r="Y67" s="14"/>
      <c r="Z67" s="14"/>
      <c r="AA67" s="14">
        <f t="shared" si="3"/>
        <v>0</v>
      </c>
      <c r="AB67" s="28">
        <v>50</v>
      </c>
      <c r="AC67" s="13"/>
      <c r="AD67" s="14"/>
      <c r="AE67" s="14"/>
      <c r="AF67" s="14">
        <f t="shared" si="4"/>
        <v>0</v>
      </c>
      <c r="AG67" s="28">
        <v>50</v>
      </c>
      <c r="AH67" s="13"/>
      <c r="AI67" s="14"/>
      <c r="AJ67" s="14"/>
      <c r="AK67" s="14">
        <f t="shared" si="5"/>
        <v>0</v>
      </c>
      <c r="AL67" s="28">
        <v>50</v>
      </c>
      <c r="AM67" s="13"/>
      <c r="AN67" s="14"/>
      <c r="AO67" s="14"/>
      <c r="AP67" s="14">
        <f t="shared" si="6"/>
        <v>0</v>
      </c>
      <c r="AQ67" s="28">
        <v>50</v>
      </c>
      <c r="AR67" s="13"/>
      <c r="AS67" s="14"/>
      <c r="AT67" s="14"/>
      <c r="AU67" s="14">
        <f t="shared" si="7"/>
        <v>0</v>
      </c>
      <c r="AV67" s="28">
        <v>50</v>
      </c>
      <c r="AW67" s="13"/>
      <c r="AX67" s="14"/>
      <c r="AY67" s="14"/>
      <c r="AZ67" s="14">
        <f t="shared" si="8"/>
        <v>0</v>
      </c>
      <c r="BA67" s="28">
        <v>50</v>
      </c>
      <c r="BB67" s="13"/>
      <c r="BC67" s="14"/>
      <c r="BD67" s="14"/>
      <c r="BE67" s="14">
        <f t="shared" si="9"/>
        <v>0</v>
      </c>
    </row>
    <row r="68" spans="8:57" s="2" customFormat="1" ht="85.15" customHeight="1">
      <c r="H68" s="28">
        <v>51</v>
      </c>
      <c r="I68" s="13"/>
      <c r="J68" s="14"/>
      <c r="K68" s="14"/>
      <c r="L68" s="14">
        <f t="shared" si="0"/>
        <v>0</v>
      </c>
      <c r="M68" s="28">
        <v>51</v>
      </c>
      <c r="N68" s="13"/>
      <c r="O68" s="14"/>
      <c r="P68" s="14"/>
      <c r="Q68" s="14">
        <f t="shared" si="1"/>
        <v>0</v>
      </c>
      <c r="R68" s="28">
        <v>51</v>
      </c>
      <c r="S68" s="13"/>
      <c r="T68" s="14"/>
      <c r="U68" s="14"/>
      <c r="V68" s="14">
        <f t="shared" si="2"/>
        <v>0</v>
      </c>
      <c r="W68" s="28">
        <v>51</v>
      </c>
      <c r="X68" s="13"/>
      <c r="Y68" s="14"/>
      <c r="Z68" s="14"/>
      <c r="AA68" s="14">
        <f t="shared" si="3"/>
        <v>0</v>
      </c>
      <c r="AB68" s="28">
        <v>51</v>
      </c>
      <c r="AC68" s="13"/>
      <c r="AD68" s="14"/>
      <c r="AE68" s="14"/>
      <c r="AF68" s="14">
        <f t="shared" si="4"/>
        <v>0</v>
      </c>
      <c r="AG68" s="28">
        <v>51</v>
      </c>
      <c r="AH68" s="13"/>
      <c r="AI68" s="14"/>
      <c r="AJ68" s="14"/>
      <c r="AK68" s="14">
        <f t="shared" si="5"/>
        <v>0</v>
      </c>
      <c r="AL68" s="28">
        <v>51</v>
      </c>
      <c r="AM68" s="13"/>
      <c r="AN68" s="14"/>
      <c r="AO68" s="14"/>
      <c r="AP68" s="14">
        <f t="shared" si="6"/>
        <v>0</v>
      </c>
      <c r="AQ68" s="28">
        <v>51</v>
      </c>
      <c r="AR68" s="13"/>
      <c r="AS68" s="14"/>
      <c r="AT68" s="14"/>
      <c r="AU68" s="14">
        <f t="shared" si="7"/>
        <v>0</v>
      </c>
      <c r="AV68" s="28">
        <v>51</v>
      </c>
      <c r="AW68" s="13"/>
      <c r="AX68" s="14"/>
      <c r="AY68" s="14"/>
      <c r="AZ68" s="14">
        <f t="shared" si="8"/>
        <v>0</v>
      </c>
      <c r="BA68" s="28">
        <v>51</v>
      </c>
      <c r="BB68" s="13"/>
      <c r="BC68" s="14"/>
      <c r="BD68" s="14"/>
      <c r="BE68" s="14">
        <f t="shared" si="9"/>
        <v>0</v>
      </c>
    </row>
    <row r="69" spans="8:57" s="2" customFormat="1" ht="85.15" customHeight="1">
      <c r="H69" s="28">
        <v>52</v>
      </c>
      <c r="I69" s="13"/>
      <c r="J69" s="14"/>
      <c r="K69" s="14"/>
      <c r="L69" s="14">
        <f t="shared" si="0"/>
        <v>0</v>
      </c>
      <c r="M69" s="28">
        <v>52</v>
      </c>
      <c r="N69" s="13"/>
      <c r="O69" s="14"/>
      <c r="P69" s="14"/>
      <c r="Q69" s="14">
        <f t="shared" si="1"/>
        <v>0</v>
      </c>
      <c r="R69" s="28">
        <v>52</v>
      </c>
      <c r="S69" s="13"/>
      <c r="T69" s="14"/>
      <c r="U69" s="14"/>
      <c r="V69" s="14">
        <f t="shared" si="2"/>
        <v>0</v>
      </c>
      <c r="W69" s="28">
        <v>52</v>
      </c>
      <c r="X69" s="13"/>
      <c r="Y69" s="14"/>
      <c r="Z69" s="14"/>
      <c r="AA69" s="14">
        <f t="shared" si="3"/>
        <v>0</v>
      </c>
      <c r="AB69" s="28">
        <v>52</v>
      </c>
      <c r="AC69" s="13"/>
      <c r="AD69" s="14"/>
      <c r="AE69" s="14"/>
      <c r="AF69" s="14">
        <f t="shared" si="4"/>
        <v>0</v>
      </c>
      <c r="AG69" s="28">
        <v>52</v>
      </c>
      <c r="AH69" s="13"/>
      <c r="AI69" s="14"/>
      <c r="AJ69" s="14"/>
      <c r="AK69" s="14">
        <f t="shared" si="5"/>
        <v>0</v>
      </c>
      <c r="AL69" s="28">
        <v>52</v>
      </c>
      <c r="AM69" s="13"/>
      <c r="AN69" s="14"/>
      <c r="AO69" s="14"/>
      <c r="AP69" s="14">
        <f t="shared" si="6"/>
        <v>0</v>
      </c>
      <c r="AQ69" s="28">
        <v>52</v>
      </c>
      <c r="AR69" s="13"/>
      <c r="AS69" s="14"/>
      <c r="AT69" s="14"/>
      <c r="AU69" s="14">
        <f t="shared" si="7"/>
        <v>0</v>
      </c>
      <c r="AV69" s="28">
        <v>52</v>
      </c>
      <c r="AW69" s="13"/>
      <c r="AX69" s="14"/>
      <c r="AY69" s="14"/>
      <c r="AZ69" s="14">
        <f t="shared" si="8"/>
        <v>0</v>
      </c>
      <c r="BA69" s="28">
        <v>52</v>
      </c>
      <c r="BB69" s="13"/>
      <c r="BC69" s="14"/>
      <c r="BD69" s="14"/>
      <c r="BE69" s="14">
        <f t="shared" si="9"/>
        <v>0</v>
      </c>
    </row>
    <row r="70" spans="8:57" s="2" customFormat="1" ht="85.15" customHeight="1">
      <c r="H70" s="28">
        <v>53</v>
      </c>
      <c r="I70" s="13"/>
      <c r="J70" s="14"/>
      <c r="K70" s="14"/>
      <c r="L70" s="14">
        <f t="shared" si="0"/>
        <v>0</v>
      </c>
      <c r="M70" s="28">
        <v>53</v>
      </c>
      <c r="N70" s="13"/>
      <c r="O70" s="14"/>
      <c r="P70" s="14"/>
      <c r="Q70" s="14">
        <f t="shared" si="1"/>
        <v>0</v>
      </c>
      <c r="R70" s="28">
        <v>53</v>
      </c>
      <c r="S70" s="13"/>
      <c r="T70" s="14"/>
      <c r="U70" s="14"/>
      <c r="V70" s="14">
        <f t="shared" si="2"/>
        <v>0</v>
      </c>
      <c r="W70" s="28">
        <v>53</v>
      </c>
      <c r="X70" s="13"/>
      <c r="Y70" s="14"/>
      <c r="Z70" s="14"/>
      <c r="AA70" s="14">
        <f t="shared" si="3"/>
        <v>0</v>
      </c>
      <c r="AB70" s="28">
        <v>53</v>
      </c>
      <c r="AC70" s="13"/>
      <c r="AD70" s="14"/>
      <c r="AE70" s="14"/>
      <c r="AF70" s="14">
        <f t="shared" si="4"/>
        <v>0</v>
      </c>
      <c r="AG70" s="28">
        <v>53</v>
      </c>
      <c r="AH70" s="13"/>
      <c r="AI70" s="14"/>
      <c r="AJ70" s="14"/>
      <c r="AK70" s="14">
        <f t="shared" si="5"/>
        <v>0</v>
      </c>
      <c r="AL70" s="28">
        <v>53</v>
      </c>
      <c r="AM70" s="13"/>
      <c r="AN70" s="14"/>
      <c r="AO70" s="14"/>
      <c r="AP70" s="14">
        <f t="shared" si="6"/>
        <v>0</v>
      </c>
      <c r="AQ70" s="28">
        <v>53</v>
      </c>
      <c r="AR70" s="13"/>
      <c r="AS70" s="14"/>
      <c r="AT70" s="14"/>
      <c r="AU70" s="14">
        <f t="shared" si="7"/>
        <v>0</v>
      </c>
      <c r="AV70" s="28">
        <v>53</v>
      </c>
      <c r="AW70" s="13"/>
      <c r="AX70" s="14"/>
      <c r="AY70" s="14"/>
      <c r="AZ70" s="14">
        <f t="shared" si="8"/>
        <v>0</v>
      </c>
      <c r="BA70" s="28">
        <v>53</v>
      </c>
      <c r="BB70" s="13"/>
      <c r="BC70" s="14"/>
      <c r="BD70" s="14"/>
      <c r="BE70" s="14">
        <f t="shared" si="9"/>
        <v>0</v>
      </c>
    </row>
    <row r="71" spans="8:57" s="2" customFormat="1" ht="85.15" customHeight="1">
      <c r="H71" s="28">
        <v>54</v>
      </c>
      <c r="I71" s="13"/>
      <c r="J71" s="14"/>
      <c r="K71" s="14"/>
      <c r="L71" s="14">
        <f t="shared" si="0"/>
        <v>0</v>
      </c>
      <c r="M71" s="28">
        <v>54</v>
      </c>
      <c r="N71" s="13"/>
      <c r="O71" s="14"/>
      <c r="P71" s="14"/>
      <c r="Q71" s="14">
        <f t="shared" si="1"/>
        <v>0</v>
      </c>
      <c r="R71" s="28">
        <v>54</v>
      </c>
      <c r="S71" s="13"/>
      <c r="T71" s="14"/>
      <c r="U71" s="14"/>
      <c r="V71" s="14">
        <f t="shared" si="2"/>
        <v>0</v>
      </c>
      <c r="W71" s="28">
        <v>54</v>
      </c>
      <c r="X71" s="13"/>
      <c r="Y71" s="14"/>
      <c r="Z71" s="14"/>
      <c r="AA71" s="14">
        <f t="shared" si="3"/>
        <v>0</v>
      </c>
      <c r="AB71" s="28">
        <v>54</v>
      </c>
      <c r="AC71" s="13"/>
      <c r="AD71" s="14"/>
      <c r="AE71" s="14"/>
      <c r="AF71" s="14">
        <f t="shared" si="4"/>
        <v>0</v>
      </c>
      <c r="AG71" s="28">
        <v>54</v>
      </c>
      <c r="AH71" s="13"/>
      <c r="AI71" s="14"/>
      <c r="AJ71" s="14"/>
      <c r="AK71" s="14">
        <f t="shared" si="5"/>
        <v>0</v>
      </c>
      <c r="AL71" s="28">
        <v>54</v>
      </c>
      <c r="AM71" s="13"/>
      <c r="AN71" s="14"/>
      <c r="AO71" s="14"/>
      <c r="AP71" s="14">
        <f t="shared" si="6"/>
        <v>0</v>
      </c>
      <c r="AQ71" s="28">
        <v>54</v>
      </c>
      <c r="AR71" s="13"/>
      <c r="AS71" s="14"/>
      <c r="AT71" s="14"/>
      <c r="AU71" s="14">
        <f t="shared" si="7"/>
        <v>0</v>
      </c>
      <c r="AV71" s="28">
        <v>54</v>
      </c>
      <c r="AW71" s="13"/>
      <c r="AX71" s="14"/>
      <c r="AY71" s="14"/>
      <c r="AZ71" s="14">
        <f t="shared" si="8"/>
        <v>0</v>
      </c>
      <c r="BA71" s="28">
        <v>54</v>
      </c>
      <c r="BB71" s="13"/>
      <c r="BC71" s="14"/>
      <c r="BD71" s="14"/>
      <c r="BE71" s="14">
        <f t="shared" si="9"/>
        <v>0</v>
      </c>
    </row>
    <row r="72" spans="8:57" s="2" customFormat="1" ht="85.15" customHeight="1">
      <c r="H72" s="28">
        <v>55</v>
      </c>
      <c r="I72" s="13"/>
      <c r="J72" s="14"/>
      <c r="K72" s="14"/>
      <c r="L72" s="14">
        <f t="shared" si="0"/>
        <v>0</v>
      </c>
      <c r="M72" s="28">
        <v>55</v>
      </c>
      <c r="N72" s="13"/>
      <c r="O72" s="14"/>
      <c r="P72" s="14"/>
      <c r="Q72" s="14">
        <f t="shared" si="1"/>
        <v>0</v>
      </c>
      <c r="R72" s="28">
        <v>55</v>
      </c>
      <c r="S72" s="13"/>
      <c r="T72" s="14"/>
      <c r="U72" s="14"/>
      <c r="V72" s="14">
        <f t="shared" si="2"/>
        <v>0</v>
      </c>
      <c r="W72" s="28">
        <v>55</v>
      </c>
      <c r="X72" s="13"/>
      <c r="Y72" s="14"/>
      <c r="Z72" s="14"/>
      <c r="AA72" s="14">
        <f t="shared" si="3"/>
        <v>0</v>
      </c>
      <c r="AB72" s="28">
        <v>55</v>
      </c>
      <c r="AC72" s="13"/>
      <c r="AD72" s="14"/>
      <c r="AE72" s="14"/>
      <c r="AF72" s="14">
        <f t="shared" si="4"/>
        <v>0</v>
      </c>
      <c r="AG72" s="28">
        <v>55</v>
      </c>
      <c r="AH72" s="13"/>
      <c r="AI72" s="14"/>
      <c r="AJ72" s="14"/>
      <c r="AK72" s="14">
        <f t="shared" si="5"/>
        <v>0</v>
      </c>
      <c r="AL72" s="28">
        <v>55</v>
      </c>
      <c r="AM72" s="13"/>
      <c r="AN72" s="14"/>
      <c r="AO72" s="14"/>
      <c r="AP72" s="14">
        <f t="shared" si="6"/>
        <v>0</v>
      </c>
      <c r="AQ72" s="28">
        <v>55</v>
      </c>
      <c r="AR72" s="13"/>
      <c r="AS72" s="14"/>
      <c r="AT72" s="14"/>
      <c r="AU72" s="14">
        <f t="shared" si="7"/>
        <v>0</v>
      </c>
      <c r="AV72" s="28">
        <v>55</v>
      </c>
      <c r="AW72" s="13"/>
      <c r="AX72" s="14"/>
      <c r="AY72" s="14"/>
      <c r="AZ72" s="14">
        <f t="shared" si="8"/>
        <v>0</v>
      </c>
      <c r="BA72" s="28">
        <v>55</v>
      </c>
      <c r="BB72" s="13"/>
      <c r="BC72" s="14"/>
      <c r="BD72" s="14"/>
      <c r="BE72" s="14">
        <f t="shared" si="9"/>
        <v>0</v>
      </c>
    </row>
    <row r="73" spans="8:57" s="2" customFormat="1" ht="85.15" customHeight="1">
      <c r="H73" s="28">
        <v>56</v>
      </c>
      <c r="I73" s="13"/>
      <c r="J73" s="14"/>
      <c r="K73" s="14"/>
      <c r="L73" s="14">
        <f t="shared" si="0"/>
        <v>0</v>
      </c>
      <c r="M73" s="28">
        <v>56</v>
      </c>
      <c r="N73" s="13"/>
      <c r="O73" s="14"/>
      <c r="P73" s="14"/>
      <c r="Q73" s="14">
        <f t="shared" si="1"/>
        <v>0</v>
      </c>
      <c r="R73" s="28">
        <v>56</v>
      </c>
      <c r="S73" s="13"/>
      <c r="T73" s="14"/>
      <c r="U73" s="14"/>
      <c r="V73" s="14">
        <f t="shared" si="2"/>
        <v>0</v>
      </c>
      <c r="W73" s="28">
        <v>56</v>
      </c>
      <c r="X73" s="13"/>
      <c r="Y73" s="14"/>
      <c r="Z73" s="14"/>
      <c r="AA73" s="14">
        <f t="shared" si="3"/>
        <v>0</v>
      </c>
      <c r="AB73" s="28">
        <v>56</v>
      </c>
      <c r="AC73" s="13"/>
      <c r="AD73" s="14"/>
      <c r="AE73" s="14"/>
      <c r="AF73" s="14">
        <f t="shared" si="4"/>
        <v>0</v>
      </c>
      <c r="AG73" s="28">
        <v>56</v>
      </c>
      <c r="AH73" s="13"/>
      <c r="AI73" s="14"/>
      <c r="AJ73" s="14"/>
      <c r="AK73" s="14">
        <f t="shared" si="5"/>
        <v>0</v>
      </c>
      <c r="AL73" s="28">
        <v>56</v>
      </c>
      <c r="AM73" s="13"/>
      <c r="AN73" s="14"/>
      <c r="AO73" s="14"/>
      <c r="AP73" s="14">
        <f t="shared" si="6"/>
        <v>0</v>
      </c>
      <c r="AQ73" s="28">
        <v>56</v>
      </c>
      <c r="AR73" s="13"/>
      <c r="AS73" s="14"/>
      <c r="AT73" s="14"/>
      <c r="AU73" s="14">
        <f t="shared" si="7"/>
        <v>0</v>
      </c>
      <c r="AV73" s="28">
        <v>56</v>
      </c>
      <c r="AW73" s="13"/>
      <c r="AX73" s="14"/>
      <c r="AY73" s="14"/>
      <c r="AZ73" s="14">
        <f t="shared" si="8"/>
        <v>0</v>
      </c>
      <c r="BA73" s="28">
        <v>56</v>
      </c>
      <c r="BB73" s="13"/>
      <c r="BC73" s="14"/>
      <c r="BD73" s="14"/>
      <c r="BE73" s="14">
        <f t="shared" si="9"/>
        <v>0</v>
      </c>
    </row>
    <row r="74" spans="8:57" s="1" customFormat="1" ht="85.15" customHeight="1">
      <c r="H74" s="4"/>
      <c r="M74" s="4"/>
      <c r="R74" s="4"/>
      <c r="W74" s="4"/>
      <c r="AB74" s="4"/>
      <c r="AG74" s="4"/>
      <c r="AL74" s="4"/>
      <c r="AQ74" s="4"/>
      <c r="AV74" s="4"/>
      <c r="BA74" s="4"/>
    </row>
    <row r="75" spans="8:57" s="1" customFormat="1" ht="85.15" customHeight="1">
      <c r="H75" s="4"/>
      <c r="M75" s="4"/>
      <c r="R75" s="4"/>
      <c r="W75" s="4"/>
      <c r="AB75" s="4"/>
      <c r="AG75" s="4"/>
      <c r="AL75" s="4"/>
      <c r="AQ75" s="4"/>
      <c r="AV75" s="4"/>
      <c r="BA75" s="4"/>
    </row>
    <row r="76" spans="8:57" s="1" customFormat="1" ht="85.15" customHeight="1">
      <c r="H76" s="4"/>
      <c r="M76" s="4"/>
      <c r="R76" s="4"/>
      <c r="W76" s="4"/>
      <c r="AB76" s="4"/>
      <c r="AG76" s="4"/>
      <c r="AL76" s="4"/>
      <c r="AQ76" s="4"/>
      <c r="AV76" s="4"/>
      <c r="BA76" s="4"/>
    </row>
    <row r="77" spans="8:57" s="1" customFormat="1" ht="85.15" customHeight="1">
      <c r="H77" s="4"/>
      <c r="M77" s="4"/>
      <c r="R77" s="4"/>
      <c r="W77" s="4"/>
      <c r="AB77" s="4"/>
      <c r="AG77" s="4"/>
      <c r="AL77" s="4"/>
      <c r="AQ77" s="4"/>
      <c r="AV77" s="4"/>
      <c r="BA77" s="4"/>
    </row>
    <row r="78" spans="8:57" s="1" customFormat="1" ht="85.15" customHeight="1">
      <c r="H78" s="4"/>
      <c r="M78" s="4"/>
      <c r="R78" s="4"/>
      <c r="W78" s="4"/>
      <c r="AB78" s="4"/>
      <c r="AG78" s="4"/>
      <c r="AL78" s="4"/>
      <c r="AQ78" s="4"/>
      <c r="AV78" s="4"/>
      <c r="BA78" s="4"/>
    </row>
    <row r="79" spans="8:57" s="1" customFormat="1" ht="85.15" customHeight="1">
      <c r="H79" s="4"/>
      <c r="M79" s="4"/>
      <c r="R79" s="4"/>
      <c r="W79" s="4"/>
      <c r="AB79" s="4"/>
      <c r="AG79" s="4"/>
      <c r="AL79" s="4"/>
      <c r="AQ79" s="4"/>
      <c r="AV79" s="4"/>
      <c r="BA79" s="4"/>
    </row>
    <row r="80" spans="8:57" s="1" customFormat="1" ht="85.15" customHeight="1">
      <c r="H80" s="4"/>
      <c r="M80" s="4"/>
      <c r="R80" s="4"/>
      <c r="W80" s="4"/>
      <c r="AB80" s="4"/>
      <c r="AG80" s="4"/>
      <c r="AL80" s="4"/>
      <c r="AQ80" s="4"/>
      <c r="AV80" s="4"/>
      <c r="BA80" s="4"/>
    </row>
    <row r="81" spans="8:53" s="1" customFormat="1" ht="85.15" customHeight="1">
      <c r="H81" s="4"/>
      <c r="M81" s="4"/>
      <c r="R81" s="4"/>
      <c r="W81" s="4"/>
      <c r="AB81" s="4"/>
      <c r="AG81" s="4"/>
      <c r="AL81" s="4"/>
      <c r="AQ81" s="4"/>
      <c r="AV81" s="4"/>
      <c r="BA81" s="4"/>
    </row>
    <row r="82" spans="8:53" s="1" customFormat="1" ht="85.15" customHeight="1">
      <c r="H82" s="4"/>
      <c r="M82" s="4"/>
      <c r="R82" s="4"/>
      <c r="W82" s="4"/>
      <c r="AB82" s="4"/>
      <c r="AG82" s="4"/>
      <c r="AL82" s="4"/>
      <c r="AQ82" s="4"/>
      <c r="AV82" s="4"/>
      <c r="BA82" s="4"/>
    </row>
    <row r="83" spans="8:53" s="1" customFormat="1" ht="85.15" customHeight="1">
      <c r="H83" s="4"/>
      <c r="M83" s="4"/>
      <c r="R83" s="4"/>
      <c r="W83" s="4"/>
      <c r="AB83" s="4"/>
      <c r="AG83" s="4"/>
      <c r="AL83" s="4"/>
      <c r="AQ83" s="4"/>
      <c r="AV83" s="4"/>
      <c r="BA83" s="4"/>
    </row>
    <row r="84" spans="8:53" s="1" customFormat="1" ht="85.15" customHeight="1">
      <c r="H84" s="4"/>
      <c r="M84" s="4"/>
      <c r="R84" s="4"/>
      <c r="W84" s="4"/>
      <c r="AB84" s="4"/>
      <c r="AG84" s="4"/>
      <c r="AL84" s="4"/>
      <c r="AQ84" s="4"/>
      <c r="AV84" s="4"/>
      <c r="BA84" s="4"/>
    </row>
    <row r="85" spans="8:53" s="1" customFormat="1" ht="85.15" customHeight="1">
      <c r="H85" s="4"/>
      <c r="M85" s="4"/>
      <c r="R85" s="4"/>
      <c r="W85" s="4"/>
      <c r="AB85" s="4"/>
      <c r="AG85" s="4"/>
      <c r="AL85" s="4"/>
      <c r="AQ85" s="4"/>
      <c r="AV85" s="4"/>
      <c r="BA85" s="4"/>
    </row>
    <row r="86" spans="8:53" s="1" customFormat="1" ht="85.15" customHeight="1">
      <c r="H86" s="4"/>
      <c r="M86" s="4"/>
      <c r="R86" s="4"/>
      <c r="W86" s="4"/>
      <c r="AB86" s="4"/>
      <c r="AG86" s="4"/>
      <c r="AL86" s="4"/>
      <c r="AQ86" s="4"/>
      <c r="AV86" s="4"/>
      <c r="BA86" s="4"/>
    </row>
    <row r="87" spans="8:53" s="1" customFormat="1" ht="85.15" customHeight="1">
      <c r="H87" s="4"/>
      <c r="M87" s="4"/>
      <c r="R87" s="4"/>
      <c r="W87" s="4"/>
      <c r="AB87" s="4"/>
      <c r="AG87" s="4"/>
      <c r="AL87" s="4"/>
      <c r="AQ87" s="4"/>
      <c r="AV87" s="4"/>
      <c r="BA87" s="4"/>
    </row>
    <row r="88" spans="8:53" s="1" customFormat="1" ht="85.15" customHeight="1">
      <c r="H88" s="4"/>
      <c r="M88" s="4"/>
      <c r="R88" s="4"/>
      <c r="W88" s="4"/>
      <c r="AB88" s="4"/>
      <c r="AG88" s="4"/>
      <c r="AL88" s="4"/>
      <c r="AQ88" s="4"/>
      <c r="AV88" s="4"/>
      <c r="BA88" s="4"/>
    </row>
    <row r="89" spans="8:53" s="1" customFormat="1" ht="85.15" customHeight="1">
      <c r="H89" s="4"/>
      <c r="M89" s="4"/>
      <c r="R89" s="4"/>
      <c r="W89" s="4"/>
      <c r="AB89" s="4"/>
      <c r="AG89" s="4"/>
      <c r="AL89" s="4"/>
      <c r="AQ89" s="4"/>
      <c r="AV89" s="4"/>
      <c r="BA89" s="4"/>
    </row>
    <row r="90" spans="8:53" s="1" customFormat="1" ht="85.15" customHeight="1">
      <c r="H90" s="4"/>
      <c r="M90" s="4"/>
      <c r="R90" s="4"/>
      <c r="W90" s="4"/>
      <c r="AB90" s="4"/>
      <c r="AG90" s="4"/>
      <c r="AL90" s="4"/>
      <c r="AQ90" s="4"/>
      <c r="AV90" s="4"/>
      <c r="BA90" s="4"/>
    </row>
    <row r="91" spans="8:53" s="1" customFormat="1" ht="85.15" customHeight="1">
      <c r="H91" s="4"/>
      <c r="M91" s="4"/>
      <c r="R91" s="4"/>
      <c r="W91" s="4"/>
      <c r="AB91" s="4"/>
      <c r="AG91" s="4"/>
      <c r="AL91" s="4"/>
      <c r="AQ91" s="4"/>
      <c r="AV91" s="4"/>
      <c r="BA91" s="4"/>
    </row>
    <row r="92" spans="8:53" s="1" customFormat="1" ht="85.15" customHeight="1">
      <c r="H92" s="4"/>
      <c r="M92" s="4"/>
      <c r="R92" s="4"/>
      <c r="W92" s="4"/>
      <c r="AB92" s="4"/>
      <c r="AG92" s="4"/>
      <c r="AL92" s="4"/>
      <c r="AQ92" s="4"/>
      <c r="AV92" s="4"/>
      <c r="BA92" s="4"/>
    </row>
    <row r="93" spans="8:53" s="1" customFormat="1" ht="85.15" customHeight="1">
      <c r="H93" s="4"/>
      <c r="M93" s="4"/>
      <c r="R93" s="4"/>
      <c r="W93" s="4"/>
      <c r="AB93" s="4"/>
      <c r="AG93" s="4"/>
      <c r="AL93" s="4"/>
      <c r="AQ93" s="4"/>
      <c r="AV93" s="4"/>
      <c r="BA93" s="4"/>
    </row>
    <row r="94" spans="8:53" s="1" customFormat="1" ht="85.15" customHeight="1">
      <c r="H94" s="4"/>
      <c r="M94" s="4"/>
      <c r="R94" s="4"/>
      <c r="W94" s="4"/>
      <c r="AB94" s="4"/>
      <c r="AG94" s="4"/>
      <c r="AL94" s="4"/>
      <c r="AQ94" s="4"/>
      <c r="AV94" s="4"/>
      <c r="BA94" s="4"/>
    </row>
    <row r="95" spans="8:53" s="1" customFormat="1" ht="85.15" customHeight="1">
      <c r="H95" s="4"/>
      <c r="M95" s="4"/>
      <c r="R95" s="4"/>
      <c r="W95" s="4"/>
      <c r="AB95" s="4"/>
      <c r="AG95" s="4"/>
      <c r="AL95" s="4"/>
      <c r="AQ95" s="4"/>
      <c r="AV95" s="4"/>
      <c r="BA95" s="4"/>
    </row>
    <row r="96" spans="8:53" s="1" customFormat="1" ht="85.15" customHeight="1">
      <c r="H96" s="4"/>
      <c r="M96" s="4"/>
      <c r="R96" s="4"/>
      <c r="W96" s="4"/>
      <c r="AB96" s="4"/>
      <c r="AG96" s="4"/>
      <c r="AL96" s="4"/>
      <c r="AQ96" s="4"/>
      <c r="AV96" s="4"/>
      <c r="BA96" s="4"/>
    </row>
    <row r="97" spans="8:53" s="1" customFormat="1" ht="85.15" customHeight="1">
      <c r="H97" s="4"/>
      <c r="M97" s="4"/>
      <c r="R97" s="4"/>
      <c r="W97" s="4"/>
      <c r="AB97" s="4"/>
      <c r="AG97" s="4"/>
      <c r="AL97" s="4"/>
      <c r="AQ97" s="4"/>
      <c r="AV97" s="4"/>
      <c r="BA97" s="4"/>
    </row>
    <row r="98" spans="8:53" s="1" customFormat="1" ht="85.15" customHeight="1">
      <c r="H98" s="4"/>
      <c r="M98" s="4"/>
      <c r="R98" s="4"/>
      <c r="W98" s="4"/>
      <c r="AB98" s="4"/>
      <c r="AG98" s="4"/>
      <c r="AL98" s="4"/>
      <c r="AQ98" s="4"/>
      <c r="AV98" s="4"/>
      <c r="BA98" s="4"/>
    </row>
    <row r="99" spans="8:53" s="1" customFormat="1" ht="85.15" customHeight="1">
      <c r="H99" s="4"/>
      <c r="M99" s="4"/>
      <c r="R99" s="4"/>
      <c r="W99" s="4"/>
      <c r="AB99" s="4"/>
      <c r="AG99" s="4"/>
      <c r="AL99" s="4"/>
      <c r="AQ99" s="4"/>
      <c r="AV99" s="4"/>
      <c r="BA99" s="4"/>
    </row>
    <row r="100" spans="8:53" s="1" customFormat="1" ht="85.15" customHeight="1">
      <c r="H100" s="4"/>
      <c r="M100" s="4"/>
      <c r="R100" s="4"/>
      <c r="W100" s="4"/>
      <c r="AB100" s="4"/>
      <c r="AG100" s="4"/>
      <c r="AL100" s="4"/>
      <c r="AQ100" s="4"/>
      <c r="AV100" s="4"/>
      <c r="BA100" s="4"/>
    </row>
    <row r="101" spans="8:53" s="1" customFormat="1" ht="85.15" customHeight="1">
      <c r="H101" s="4"/>
      <c r="M101" s="4"/>
      <c r="R101" s="4"/>
      <c r="W101" s="4"/>
      <c r="AB101" s="4"/>
      <c r="AG101" s="4"/>
      <c r="AL101" s="4"/>
      <c r="AQ101" s="4"/>
      <c r="AV101" s="4"/>
      <c r="BA101" s="4"/>
    </row>
    <row r="102" spans="8:53" s="1" customFormat="1" ht="85.15" customHeight="1">
      <c r="H102" s="4"/>
      <c r="M102" s="4"/>
      <c r="R102" s="4"/>
      <c r="W102" s="4"/>
      <c r="AB102" s="4"/>
      <c r="AG102" s="4"/>
      <c r="AL102" s="4"/>
      <c r="AQ102" s="4"/>
      <c r="AV102" s="4"/>
      <c r="BA102" s="4"/>
    </row>
    <row r="103" spans="8:53" s="1" customFormat="1" ht="85.15" customHeight="1">
      <c r="H103" s="4"/>
      <c r="M103" s="4"/>
      <c r="R103" s="4"/>
      <c r="W103" s="4"/>
      <c r="AB103" s="4"/>
      <c r="AG103" s="4"/>
      <c r="AL103" s="4"/>
      <c r="AQ103" s="4"/>
      <c r="AV103" s="4"/>
      <c r="BA103" s="4"/>
    </row>
    <row r="104" spans="8:53" s="1" customFormat="1" ht="85.15" customHeight="1">
      <c r="H104" s="4"/>
      <c r="M104" s="4"/>
      <c r="R104" s="4"/>
      <c r="W104" s="4"/>
      <c r="AB104" s="4"/>
      <c r="AG104" s="4"/>
      <c r="AL104" s="4"/>
      <c r="AQ104" s="4"/>
      <c r="AV104" s="4"/>
      <c r="BA104" s="4"/>
    </row>
    <row r="105" spans="8:53" s="1" customFormat="1" ht="85.15" customHeight="1">
      <c r="H105" s="4"/>
      <c r="M105" s="4"/>
      <c r="R105" s="4"/>
      <c r="W105" s="4"/>
      <c r="AB105" s="4"/>
      <c r="AG105" s="4"/>
      <c r="AL105" s="4"/>
      <c r="AQ105" s="4"/>
      <c r="AV105" s="4"/>
      <c r="BA105" s="4"/>
    </row>
    <row r="106" spans="8:53" s="1" customFormat="1" ht="85.15" customHeight="1">
      <c r="H106" s="4"/>
      <c r="M106" s="4"/>
      <c r="R106" s="4"/>
      <c r="W106" s="4"/>
      <c r="AB106" s="4"/>
      <c r="AG106" s="4"/>
      <c r="AL106" s="4"/>
      <c r="AQ106" s="4"/>
      <c r="AV106" s="4"/>
      <c r="BA106" s="4"/>
    </row>
    <row r="107" spans="8:53" s="1" customFormat="1" ht="85.15" customHeight="1">
      <c r="H107" s="4"/>
      <c r="M107" s="4"/>
      <c r="R107" s="4"/>
      <c r="W107" s="4"/>
      <c r="AB107" s="4"/>
      <c r="AG107" s="4"/>
      <c r="AL107" s="4"/>
      <c r="AQ107" s="4"/>
      <c r="AV107" s="4"/>
      <c r="BA107" s="4"/>
    </row>
    <row r="108" spans="8:53" s="1" customFormat="1" ht="85.15" customHeight="1">
      <c r="H108" s="4"/>
      <c r="M108" s="4"/>
      <c r="R108" s="4"/>
      <c r="W108" s="4"/>
      <c r="AB108" s="4"/>
      <c r="AG108" s="4"/>
      <c r="AL108" s="4"/>
      <c r="AQ108" s="4"/>
      <c r="AV108" s="4"/>
      <c r="BA108" s="4"/>
    </row>
    <row r="109" spans="8:53" s="1" customFormat="1" ht="85.15" customHeight="1">
      <c r="H109" s="4"/>
      <c r="M109" s="4"/>
      <c r="R109" s="4"/>
      <c r="W109" s="4"/>
      <c r="AB109" s="4"/>
      <c r="AG109" s="4"/>
      <c r="AL109" s="4"/>
      <c r="AQ109" s="4"/>
      <c r="AV109" s="4"/>
      <c r="BA109" s="4"/>
    </row>
    <row r="110" spans="8:53" s="1" customFormat="1" ht="85.15" customHeight="1">
      <c r="H110" s="4"/>
      <c r="M110" s="4"/>
      <c r="R110" s="4"/>
      <c r="W110" s="4"/>
      <c r="AB110" s="4"/>
      <c r="AG110" s="4"/>
      <c r="AL110" s="4"/>
      <c r="AQ110" s="4"/>
      <c r="AV110" s="4"/>
      <c r="BA110" s="4"/>
    </row>
    <row r="111" spans="8:53" s="1" customFormat="1" ht="85.15" customHeight="1">
      <c r="H111" s="4"/>
      <c r="M111" s="4"/>
      <c r="R111" s="4"/>
      <c r="W111" s="4"/>
      <c r="AB111" s="4"/>
      <c r="AG111" s="4"/>
      <c r="AL111" s="4"/>
      <c r="AQ111" s="4"/>
      <c r="AV111" s="4"/>
      <c r="BA111" s="4"/>
    </row>
    <row r="112" spans="8:53" s="1" customFormat="1" ht="85.15" customHeight="1">
      <c r="H112" s="4"/>
      <c r="M112" s="4"/>
      <c r="R112" s="4"/>
      <c r="W112" s="4"/>
      <c r="AB112" s="4"/>
      <c r="AG112" s="4"/>
      <c r="AL112" s="4"/>
      <c r="AQ112" s="4"/>
      <c r="AV112" s="4"/>
      <c r="BA112" s="4"/>
    </row>
    <row r="113" spans="8:53" s="1" customFormat="1" ht="85.15" customHeight="1">
      <c r="H113" s="4"/>
      <c r="M113" s="4"/>
      <c r="R113" s="4"/>
      <c r="W113" s="4"/>
      <c r="AB113" s="4"/>
      <c r="AG113" s="4"/>
      <c r="AL113" s="4"/>
      <c r="AQ113" s="4"/>
      <c r="AV113" s="4"/>
      <c r="BA113" s="4"/>
    </row>
    <row r="114" spans="8:53" s="1" customFormat="1" ht="85.15" customHeight="1">
      <c r="H114" s="4"/>
      <c r="M114" s="4"/>
      <c r="R114" s="4"/>
      <c r="W114" s="4"/>
      <c r="AB114" s="4"/>
      <c r="AG114" s="4"/>
      <c r="AL114" s="4"/>
      <c r="AQ114" s="4"/>
      <c r="AV114" s="4"/>
      <c r="BA114" s="4"/>
    </row>
    <row r="115" spans="8:53" s="1" customFormat="1" ht="85.15" customHeight="1">
      <c r="H115" s="4"/>
      <c r="M115" s="4"/>
      <c r="R115" s="4"/>
      <c r="W115" s="4"/>
      <c r="AB115" s="4"/>
      <c r="AG115" s="4"/>
      <c r="AL115" s="4"/>
      <c r="AQ115" s="4"/>
      <c r="AV115" s="4"/>
      <c r="BA115" s="4"/>
    </row>
    <row r="116" spans="8:53" s="1" customFormat="1" ht="85.15" customHeight="1">
      <c r="H116" s="4"/>
      <c r="M116" s="4"/>
      <c r="R116" s="4"/>
      <c r="W116" s="4"/>
      <c r="AB116" s="4"/>
      <c r="AG116" s="4"/>
      <c r="AL116" s="4"/>
      <c r="AQ116" s="4"/>
      <c r="AV116" s="4"/>
      <c r="BA116" s="4"/>
    </row>
    <row r="117" spans="8:53" s="1" customFormat="1" ht="85.15" customHeight="1">
      <c r="H117" s="4"/>
      <c r="M117" s="4"/>
      <c r="R117" s="4"/>
      <c r="W117" s="4"/>
      <c r="AB117" s="4"/>
      <c r="AG117" s="4"/>
      <c r="AL117" s="4"/>
      <c r="AQ117" s="4"/>
      <c r="AV117" s="4"/>
      <c r="BA117" s="4"/>
    </row>
    <row r="118" spans="8:53" s="1" customFormat="1" ht="85.15" customHeight="1">
      <c r="H118" s="4"/>
      <c r="M118" s="4"/>
      <c r="R118" s="4"/>
      <c r="W118" s="4"/>
      <c r="AB118" s="4"/>
      <c r="AG118" s="4"/>
      <c r="AL118" s="4"/>
      <c r="AQ118" s="4"/>
      <c r="AV118" s="4"/>
      <c r="BA118" s="4"/>
    </row>
    <row r="119" spans="8:53" s="1" customFormat="1" ht="85.15" customHeight="1">
      <c r="H119" s="4"/>
      <c r="M119" s="4"/>
      <c r="R119" s="4"/>
      <c r="W119" s="4"/>
      <c r="AB119" s="4"/>
      <c r="AG119" s="4"/>
      <c r="AL119" s="4"/>
      <c r="AQ119" s="4"/>
      <c r="AV119" s="4"/>
      <c r="BA119" s="4"/>
    </row>
    <row r="120" spans="8:53" s="1" customFormat="1" ht="85.15" customHeight="1">
      <c r="H120" s="4"/>
      <c r="M120" s="4"/>
      <c r="R120" s="4"/>
      <c r="W120" s="4"/>
      <c r="AB120" s="4"/>
      <c r="AG120" s="4"/>
      <c r="AL120" s="4"/>
      <c r="AQ120" s="4"/>
      <c r="AV120" s="4"/>
      <c r="BA120" s="4"/>
    </row>
    <row r="121" spans="8:53" s="1" customFormat="1" ht="85.15" customHeight="1">
      <c r="H121" s="4"/>
      <c r="M121" s="4"/>
      <c r="R121" s="4"/>
      <c r="W121" s="4"/>
      <c r="AB121" s="4"/>
      <c r="AG121" s="4"/>
      <c r="AL121" s="4"/>
      <c r="AQ121" s="4"/>
      <c r="AV121" s="4"/>
      <c r="BA121" s="4"/>
    </row>
    <row r="122" spans="8:53" s="1" customFormat="1" ht="85.15" customHeight="1">
      <c r="H122" s="4"/>
      <c r="M122" s="4"/>
      <c r="R122" s="4"/>
      <c r="W122" s="4"/>
      <c r="AB122" s="4"/>
      <c r="AG122" s="4"/>
      <c r="AL122" s="4"/>
      <c r="AQ122" s="4"/>
      <c r="AV122" s="4"/>
      <c r="BA122" s="4"/>
    </row>
    <row r="123" spans="8:53" s="1" customFormat="1" ht="85.15" customHeight="1">
      <c r="H123" s="4"/>
      <c r="M123" s="4"/>
      <c r="R123" s="4"/>
      <c r="W123" s="4"/>
      <c r="AB123" s="4"/>
      <c r="AG123" s="4"/>
      <c r="AL123" s="4"/>
      <c r="AQ123" s="4"/>
      <c r="AV123" s="4"/>
      <c r="BA123" s="4"/>
    </row>
    <row r="124" spans="8:53" s="1" customFormat="1" ht="85.15" customHeight="1">
      <c r="H124" s="4"/>
      <c r="M124" s="4"/>
      <c r="R124" s="4"/>
      <c r="W124" s="4"/>
      <c r="AB124" s="4"/>
      <c r="AG124" s="4"/>
      <c r="AL124" s="4"/>
      <c r="AQ124" s="4"/>
      <c r="AV124" s="4"/>
      <c r="BA124" s="4"/>
    </row>
    <row r="125" spans="8:53" s="1" customFormat="1" ht="85.15" customHeight="1">
      <c r="H125" s="4"/>
      <c r="M125" s="4"/>
      <c r="R125" s="4"/>
      <c r="W125" s="4"/>
      <c r="AB125" s="4"/>
      <c r="AG125" s="4"/>
      <c r="AL125" s="4"/>
      <c r="AQ125" s="4"/>
      <c r="AV125" s="4"/>
      <c r="BA125" s="4"/>
    </row>
    <row r="126" spans="8:53" s="1" customFormat="1" ht="85.15" customHeight="1">
      <c r="H126" s="4"/>
      <c r="M126" s="4"/>
      <c r="R126" s="4"/>
      <c r="W126" s="4"/>
      <c r="AB126" s="4"/>
      <c r="AG126" s="4"/>
      <c r="AL126" s="4"/>
      <c r="AQ126" s="4"/>
      <c r="AV126" s="4"/>
      <c r="BA126" s="4"/>
    </row>
    <row r="127" spans="8:53" s="1" customFormat="1" ht="85.15" customHeight="1">
      <c r="H127" s="4"/>
      <c r="M127" s="4"/>
      <c r="R127" s="4"/>
      <c r="W127" s="4"/>
      <c r="AB127" s="4"/>
      <c r="AG127" s="4"/>
      <c r="AL127" s="4"/>
      <c r="AQ127" s="4"/>
      <c r="AV127" s="4"/>
      <c r="BA127" s="4"/>
    </row>
    <row r="128" spans="8:53" s="1" customFormat="1" ht="85.15" customHeight="1">
      <c r="H128" s="4"/>
      <c r="M128" s="4"/>
      <c r="R128" s="4"/>
      <c r="W128" s="4"/>
      <c r="AB128" s="4"/>
      <c r="AG128" s="4"/>
      <c r="AL128" s="4"/>
      <c r="AQ128" s="4"/>
      <c r="AV128" s="4"/>
      <c r="BA128" s="4"/>
    </row>
    <row r="129" spans="8:53" s="1" customFormat="1" ht="85.15" customHeight="1">
      <c r="H129" s="4"/>
      <c r="M129" s="4"/>
      <c r="R129" s="4"/>
      <c r="W129" s="4"/>
      <c r="AB129" s="4"/>
      <c r="AG129" s="4"/>
      <c r="AL129" s="4"/>
      <c r="AQ129" s="4"/>
      <c r="AV129" s="4"/>
      <c r="BA129" s="4"/>
    </row>
    <row r="130" spans="8:53" s="1" customFormat="1" ht="85.15" customHeight="1">
      <c r="H130" s="4"/>
      <c r="M130" s="4"/>
      <c r="R130" s="4"/>
      <c r="W130" s="4"/>
      <c r="AB130" s="4"/>
      <c r="AG130" s="4"/>
      <c r="AL130" s="4"/>
      <c r="AQ130" s="4"/>
      <c r="AV130" s="4"/>
      <c r="BA130" s="4"/>
    </row>
    <row r="131" spans="8:53" s="1" customFormat="1" ht="85.15" customHeight="1">
      <c r="H131" s="4"/>
      <c r="M131" s="4"/>
      <c r="R131" s="4"/>
      <c r="W131" s="4"/>
      <c r="AB131" s="4"/>
      <c r="AG131" s="4"/>
      <c r="AL131" s="4"/>
      <c r="AQ131" s="4"/>
      <c r="AV131" s="4"/>
      <c r="BA131" s="4"/>
    </row>
    <row r="132" spans="8:53" s="1" customFormat="1" ht="85.15" customHeight="1">
      <c r="H132" s="4"/>
      <c r="M132" s="4"/>
      <c r="R132" s="4"/>
      <c r="W132" s="4"/>
      <c r="AB132" s="4"/>
      <c r="AG132" s="4"/>
      <c r="AL132" s="4"/>
      <c r="AQ132" s="4"/>
      <c r="AV132" s="4"/>
      <c r="BA132" s="4"/>
    </row>
    <row r="133" spans="8:53" s="1" customFormat="1" ht="85.15" customHeight="1">
      <c r="H133" s="4"/>
      <c r="M133" s="4"/>
      <c r="R133" s="4"/>
      <c r="W133" s="4"/>
      <c r="AB133" s="4"/>
      <c r="AG133" s="4"/>
      <c r="AL133" s="4"/>
      <c r="AQ133" s="4"/>
      <c r="AV133" s="4"/>
      <c r="BA133" s="4"/>
    </row>
    <row r="134" spans="8:53" s="1" customFormat="1" ht="85.15" customHeight="1">
      <c r="H134" s="4"/>
      <c r="M134" s="4"/>
      <c r="R134" s="4"/>
      <c r="W134" s="4"/>
      <c r="AB134" s="4"/>
      <c r="AG134" s="4"/>
      <c r="AL134" s="4"/>
      <c r="AQ134" s="4"/>
      <c r="AV134" s="4"/>
      <c r="BA134" s="4"/>
    </row>
    <row r="135" spans="8:53" s="1" customFormat="1" ht="85.15" customHeight="1">
      <c r="H135" s="4"/>
      <c r="M135" s="4"/>
      <c r="R135" s="4"/>
      <c r="W135" s="4"/>
      <c r="AB135" s="4"/>
      <c r="AG135" s="4"/>
      <c r="AL135" s="4"/>
      <c r="AQ135" s="4"/>
      <c r="AV135" s="4"/>
      <c r="BA135" s="4"/>
    </row>
    <row r="136" spans="8:53" s="1" customFormat="1" ht="85.15" customHeight="1">
      <c r="H136" s="4"/>
      <c r="M136" s="4"/>
      <c r="R136" s="4"/>
      <c r="W136" s="4"/>
      <c r="AB136" s="4"/>
      <c r="AG136" s="4"/>
      <c r="AL136" s="4"/>
      <c r="AQ136" s="4"/>
      <c r="AV136" s="4"/>
      <c r="BA136" s="4"/>
    </row>
    <row r="137" spans="8:53" s="1" customFormat="1" ht="85.15" customHeight="1">
      <c r="H137" s="4"/>
      <c r="M137" s="4"/>
      <c r="R137" s="4"/>
      <c r="W137" s="4"/>
      <c r="AB137" s="4"/>
      <c r="AG137" s="4"/>
      <c r="AL137" s="4"/>
      <c r="AQ137" s="4"/>
      <c r="AV137" s="4"/>
      <c r="BA137" s="4"/>
    </row>
    <row r="138" spans="8:53" s="1" customFormat="1" ht="85.15" customHeight="1">
      <c r="H138" s="4"/>
      <c r="M138" s="4"/>
      <c r="R138" s="4"/>
      <c r="W138" s="4"/>
      <c r="AB138" s="4"/>
      <c r="AG138" s="4"/>
      <c r="AL138" s="4"/>
      <c r="AQ138" s="4"/>
      <c r="AV138" s="4"/>
      <c r="BA138" s="4"/>
    </row>
    <row r="139" spans="8:53" s="1" customFormat="1" ht="85.15" customHeight="1">
      <c r="H139" s="4"/>
      <c r="M139" s="4"/>
      <c r="R139" s="4"/>
      <c r="W139" s="4"/>
      <c r="AB139" s="4"/>
      <c r="AG139" s="4"/>
      <c r="AL139" s="4"/>
      <c r="AQ139" s="4"/>
      <c r="AV139" s="4"/>
      <c r="BA139" s="4"/>
    </row>
    <row r="140" spans="8:53" s="1" customFormat="1" ht="85.15" customHeight="1">
      <c r="H140" s="4"/>
      <c r="M140" s="4"/>
      <c r="R140" s="4"/>
      <c r="W140" s="4"/>
      <c r="AB140" s="4"/>
      <c r="AG140" s="4"/>
      <c r="AL140" s="4"/>
      <c r="AQ140" s="4"/>
      <c r="AV140" s="4"/>
      <c r="BA140" s="4"/>
    </row>
    <row r="141" spans="8:53" s="1" customFormat="1" ht="85.15" customHeight="1">
      <c r="H141" s="4"/>
      <c r="M141" s="4"/>
      <c r="R141" s="4"/>
      <c r="W141" s="4"/>
      <c r="AB141" s="4"/>
      <c r="AG141" s="4"/>
      <c r="AL141" s="4"/>
      <c r="AQ141" s="4"/>
      <c r="AV141" s="4"/>
      <c r="BA141" s="4"/>
    </row>
    <row r="142" spans="8:53" s="1" customFormat="1" ht="85.15" customHeight="1">
      <c r="H142" s="4"/>
      <c r="M142" s="4"/>
      <c r="R142" s="4"/>
      <c r="W142" s="4"/>
      <c r="AB142" s="4"/>
      <c r="AG142" s="4"/>
      <c r="AL142" s="4"/>
      <c r="AQ142" s="4"/>
      <c r="AV142" s="4"/>
      <c r="BA142" s="4"/>
    </row>
    <row r="143" spans="8:53" s="1" customFormat="1" ht="85.15" customHeight="1">
      <c r="H143" s="4"/>
      <c r="M143" s="4"/>
      <c r="R143" s="4"/>
      <c r="W143" s="4"/>
      <c r="AB143" s="4"/>
      <c r="AG143" s="4"/>
      <c r="AL143" s="4"/>
      <c r="AQ143" s="4"/>
      <c r="AV143" s="4"/>
      <c r="BA143" s="4"/>
    </row>
    <row r="144" spans="8:53" s="1" customFormat="1" ht="85.15" customHeight="1">
      <c r="H144" s="4"/>
      <c r="M144" s="4"/>
      <c r="R144" s="4"/>
      <c r="W144" s="4"/>
      <c r="AB144" s="4"/>
      <c r="AG144" s="4"/>
      <c r="AL144" s="4"/>
      <c r="AQ144" s="4"/>
      <c r="AV144" s="4"/>
      <c r="BA144" s="4"/>
    </row>
    <row r="145" spans="8:53" s="1" customFormat="1" ht="85.15" customHeight="1">
      <c r="H145" s="4"/>
      <c r="M145" s="4"/>
      <c r="R145" s="4"/>
      <c r="W145" s="4"/>
      <c r="AB145" s="4"/>
      <c r="AG145" s="4"/>
      <c r="AL145" s="4"/>
      <c r="AQ145" s="4"/>
      <c r="AV145" s="4"/>
      <c r="BA145" s="4"/>
    </row>
    <row r="146" spans="8:53" s="1" customFormat="1" ht="85.15" customHeight="1">
      <c r="H146" s="4"/>
      <c r="M146" s="4"/>
      <c r="R146" s="4"/>
      <c r="W146" s="4"/>
      <c r="AB146" s="4"/>
      <c r="AG146" s="4"/>
      <c r="AL146" s="4"/>
      <c r="AQ146" s="4"/>
      <c r="AV146" s="4"/>
      <c r="BA146" s="4"/>
    </row>
    <row r="147" spans="8:53" s="1" customFormat="1" ht="85.15" customHeight="1">
      <c r="H147" s="4"/>
      <c r="M147" s="4"/>
      <c r="R147" s="4"/>
      <c r="W147" s="4"/>
      <c r="AB147" s="4"/>
      <c r="AG147" s="4"/>
      <c r="AL147" s="4"/>
      <c r="AQ147" s="4"/>
      <c r="AV147" s="4"/>
      <c r="BA147" s="4"/>
    </row>
    <row r="148" spans="8:53" s="1" customFormat="1" ht="85.15" customHeight="1">
      <c r="H148" s="4"/>
      <c r="M148" s="4"/>
      <c r="R148" s="4"/>
      <c r="W148" s="4"/>
      <c r="AB148" s="4"/>
      <c r="AG148" s="4"/>
      <c r="AL148" s="4"/>
      <c r="AQ148" s="4"/>
      <c r="AV148" s="4"/>
      <c r="BA148" s="4"/>
    </row>
    <row r="149" spans="8:53" s="1" customFormat="1" ht="85.15" customHeight="1">
      <c r="H149" s="4"/>
      <c r="M149" s="4"/>
      <c r="R149" s="4"/>
      <c r="W149" s="4"/>
      <c r="AB149" s="4"/>
      <c r="AG149" s="4"/>
      <c r="AL149" s="4"/>
      <c r="AQ149" s="4"/>
      <c r="AV149" s="4"/>
      <c r="BA149" s="4"/>
    </row>
    <row r="150" spans="8:53" s="1" customFormat="1" ht="85.15" customHeight="1">
      <c r="H150" s="4"/>
      <c r="M150" s="4"/>
      <c r="R150" s="4"/>
      <c r="W150" s="4"/>
      <c r="AB150" s="4"/>
      <c r="AG150" s="4"/>
      <c r="AL150" s="4"/>
      <c r="AQ150" s="4"/>
      <c r="AV150" s="4"/>
      <c r="BA150" s="4"/>
    </row>
    <row r="151" spans="8:53" s="1" customFormat="1" ht="85.15" customHeight="1">
      <c r="H151" s="4"/>
      <c r="M151" s="4"/>
      <c r="R151" s="4"/>
      <c r="W151" s="4"/>
      <c r="AB151" s="4"/>
      <c r="AG151" s="4"/>
      <c r="AL151" s="4"/>
      <c r="AQ151" s="4"/>
      <c r="AV151" s="4"/>
      <c r="BA151" s="4"/>
    </row>
    <row r="152" spans="8:53" s="1" customFormat="1" ht="85.15" customHeight="1">
      <c r="H152" s="4"/>
      <c r="M152" s="4"/>
      <c r="R152" s="4"/>
      <c r="W152" s="4"/>
      <c r="AB152" s="4"/>
      <c r="AG152" s="4"/>
      <c r="AL152" s="4"/>
      <c r="AQ152" s="4"/>
      <c r="AV152" s="4"/>
      <c r="BA152" s="4"/>
    </row>
    <row r="153" spans="8:53" s="1" customFormat="1" ht="85.15" customHeight="1">
      <c r="H153" s="4"/>
      <c r="M153" s="4"/>
      <c r="R153" s="4"/>
      <c r="W153" s="4"/>
      <c r="AB153" s="4"/>
      <c r="AG153" s="4"/>
      <c r="AL153" s="4"/>
      <c r="AQ153" s="4"/>
      <c r="AV153" s="4"/>
      <c r="BA153" s="4"/>
    </row>
    <row r="154" spans="8:53" s="1" customFormat="1" ht="85.15" customHeight="1">
      <c r="H154" s="4"/>
      <c r="M154" s="4"/>
      <c r="R154" s="4"/>
      <c r="W154" s="4"/>
      <c r="AB154" s="4"/>
      <c r="AG154" s="4"/>
      <c r="AL154" s="4"/>
      <c r="AQ154" s="4"/>
      <c r="AV154" s="4"/>
      <c r="BA154" s="4"/>
    </row>
    <row r="155" spans="8:53" s="1" customFormat="1" ht="85.15" customHeight="1">
      <c r="H155" s="4"/>
      <c r="M155" s="4"/>
      <c r="R155" s="4"/>
      <c r="W155" s="4"/>
      <c r="AB155" s="4"/>
      <c r="AG155" s="4"/>
      <c r="AL155" s="4"/>
      <c r="AQ155" s="4"/>
      <c r="AV155" s="4"/>
      <c r="BA155" s="4"/>
    </row>
    <row r="156" spans="8:53" s="1" customFormat="1" ht="85.15" customHeight="1">
      <c r="H156" s="4"/>
      <c r="M156" s="4"/>
      <c r="R156" s="4"/>
      <c r="W156" s="4"/>
      <c r="AB156" s="4"/>
      <c r="AG156" s="4"/>
      <c r="AL156" s="4"/>
      <c r="AQ156" s="4"/>
      <c r="AV156" s="4"/>
      <c r="BA156" s="4"/>
    </row>
    <row r="157" spans="8:53" s="1" customFormat="1" ht="85.15" customHeight="1">
      <c r="H157" s="4"/>
      <c r="M157" s="4"/>
      <c r="R157" s="4"/>
      <c r="W157" s="4"/>
      <c r="AB157" s="4"/>
      <c r="AG157" s="4"/>
      <c r="AL157" s="4"/>
      <c r="AQ157" s="4"/>
      <c r="AV157" s="4"/>
      <c r="BA157" s="4"/>
    </row>
    <row r="158" spans="8:53" s="1" customFormat="1" ht="85.15" customHeight="1">
      <c r="H158" s="4"/>
      <c r="M158" s="4"/>
      <c r="R158" s="4"/>
      <c r="W158" s="4"/>
      <c r="AB158" s="4"/>
      <c r="AG158" s="4"/>
      <c r="AL158" s="4"/>
      <c r="AQ158" s="4"/>
      <c r="AV158" s="4"/>
      <c r="BA158" s="4"/>
    </row>
    <row r="159" spans="8:53" s="1" customFormat="1" ht="85.15" customHeight="1">
      <c r="H159" s="4"/>
      <c r="M159" s="4"/>
      <c r="R159" s="4"/>
      <c r="W159" s="4"/>
      <c r="AB159" s="4"/>
      <c r="AG159" s="4"/>
      <c r="AL159" s="4"/>
      <c r="AQ159" s="4"/>
      <c r="AV159" s="4"/>
      <c r="BA159" s="4"/>
    </row>
    <row r="160" spans="8:53" s="1" customFormat="1" ht="85.15" customHeight="1">
      <c r="H160" s="4"/>
      <c r="M160" s="4"/>
      <c r="R160" s="4"/>
      <c r="W160" s="4"/>
      <c r="AB160" s="4"/>
      <c r="AG160" s="4"/>
      <c r="AL160" s="4"/>
      <c r="AQ160" s="4"/>
      <c r="AV160" s="4"/>
      <c r="BA160" s="4"/>
    </row>
    <row r="161" spans="8:53" s="1" customFormat="1" ht="85.15" customHeight="1">
      <c r="H161" s="4"/>
      <c r="M161" s="4"/>
      <c r="R161" s="4"/>
      <c r="W161" s="4"/>
      <c r="AB161" s="4"/>
      <c r="AG161" s="4"/>
      <c r="AL161" s="4"/>
      <c r="AQ161" s="4"/>
      <c r="AV161" s="4"/>
      <c r="BA161" s="4"/>
    </row>
    <row r="162" spans="8:53" s="1" customFormat="1" ht="85.15" customHeight="1">
      <c r="H162" s="4"/>
      <c r="M162" s="4"/>
      <c r="R162" s="4"/>
      <c r="W162" s="4"/>
      <c r="AB162" s="4"/>
      <c r="AG162" s="4"/>
      <c r="AL162" s="4"/>
      <c r="AQ162" s="4"/>
      <c r="AV162" s="4"/>
      <c r="BA162" s="4"/>
    </row>
    <row r="163" spans="8:53" s="1" customFormat="1" ht="85.15" customHeight="1">
      <c r="H163" s="4"/>
      <c r="M163" s="4"/>
      <c r="R163" s="4"/>
      <c r="W163" s="4"/>
      <c r="AB163" s="4"/>
      <c r="AG163" s="4"/>
      <c r="AL163" s="4"/>
      <c r="AQ163" s="4"/>
      <c r="AV163" s="4"/>
      <c r="BA163" s="4"/>
    </row>
    <row r="164" spans="8:53" s="1" customFormat="1" ht="85.15" customHeight="1">
      <c r="H164" s="4"/>
      <c r="M164" s="4"/>
      <c r="R164" s="4"/>
      <c r="W164" s="4"/>
      <c r="AB164" s="4"/>
      <c r="AG164" s="4"/>
      <c r="AL164" s="4"/>
      <c r="AQ164" s="4"/>
      <c r="AV164" s="4"/>
      <c r="BA164" s="4"/>
    </row>
    <row r="165" spans="8:53" s="1" customFormat="1" ht="85.15" customHeight="1">
      <c r="H165" s="4"/>
      <c r="M165" s="4"/>
      <c r="R165" s="4"/>
      <c r="W165" s="4"/>
      <c r="AB165" s="4"/>
      <c r="AG165" s="4"/>
      <c r="AL165" s="4"/>
      <c r="AQ165" s="4"/>
      <c r="AV165" s="4"/>
      <c r="BA165" s="4"/>
    </row>
    <row r="166" spans="8:53" s="1" customFormat="1" ht="85.15" customHeight="1">
      <c r="H166" s="4"/>
      <c r="M166" s="4"/>
      <c r="R166" s="4"/>
      <c r="W166" s="4"/>
      <c r="AB166" s="4"/>
      <c r="AG166" s="4"/>
      <c r="AL166" s="4"/>
      <c r="AQ166" s="4"/>
      <c r="AV166" s="4"/>
      <c r="BA166" s="4"/>
    </row>
    <row r="167" spans="8:53" s="1" customFormat="1" ht="85.15" customHeight="1">
      <c r="H167" s="4"/>
      <c r="M167" s="4"/>
      <c r="R167" s="4"/>
      <c r="W167" s="4"/>
      <c r="AB167" s="4"/>
      <c r="AG167" s="4"/>
      <c r="AL167" s="4"/>
      <c r="AQ167" s="4"/>
      <c r="AV167" s="4"/>
      <c r="BA167" s="4"/>
    </row>
    <row r="168" spans="8:53" s="1" customFormat="1" ht="85.15" customHeight="1">
      <c r="H168" s="4"/>
      <c r="M168" s="4"/>
      <c r="R168" s="4"/>
      <c r="W168" s="4"/>
      <c r="AB168" s="4"/>
      <c r="AG168" s="4"/>
      <c r="AL168" s="4"/>
      <c r="AQ168" s="4"/>
      <c r="AV168" s="4"/>
      <c r="BA168" s="4"/>
    </row>
    <row r="169" spans="8:53" s="1" customFormat="1" ht="85.15" customHeight="1">
      <c r="H169" s="4"/>
      <c r="M169" s="4"/>
      <c r="R169" s="4"/>
      <c r="W169" s="4"/>
      <c r="AB169" s="4"/>
      <c r="AG169" s="4"/>
      <c r="AL169" s="4"/>
      <c r="AQ169" s="4"/>
      <c r="AV169" s="4"/>
      <c r="BA169" s="4"/>
    </row>
    <row r="170" spans="8:53" s="1" customFormat="1" ht="85.15" customHeight="1">
      <c r="H170" s="4"/>
      <c r="M170" s="4"/>
      <c r="R170" s="4"/>
      <c r="W170" s="4"/>
      <c r="AB170" s="4"/>
      <c r="AG170" s="4"/>
      <c r="AL170" s="4"/>
      <c r="AQ170" s="4"/>
      <c r="AV170" s="4"/>
      <c r="BA170" s="4"/>
    </row>
    <row r="171" spans="8:53" s="1" customFormat="1" ht="85.15" customHeight="1">
      <c r="H171" s="4"/>
      <c r="M171" s="4"/>
      <c r="R171" s="4"/>
      <c r="W171" s="4"/>
      <c r="AB171" s="4"/>
      <c r="AG171" s="4"/>
      <c r="AL171" s="4"/>
      <c r="AQ171" s="4"/>
      <c r="AV171" s="4"/>
      <c r="BA171" s="4"/>
    </row>
    <row r="172" spans="8:53" s="1" customFormat="1" ht="85.15" customHeight="1">
      <c r="H172" s="4"/>
      <c r="M172" s="4"/>
      <c r="R172" s="4"/>
      <c r="W172" s="4"/>
      <c r="AB172" s="4"/>
      <c r="AG172" s="4"/>
      <c r="AL172" s="4"/>
      <c r="AQ172" s="4"/>
      <c r="AV172" s="4"/>
      <c r="BA172" s="4"/>
    </row>
    <row r="173" spans="8:53" s="1" customFormat="1" ht="85.15" customHeight="1">
      <c r="H173" s="4"/>
      <c r="M173" s="4"/>
      <c r="R173" s="4"/>
      <c r="W173" s="4"/>
      <c r="AB173" s="4"/>
      <c r="AG173" s="4"/>
      <c r="AL173" s="4"/>
      <c r="AQ173" s="4"/>
      <c r="AV173" s="4"/>
      <c r="BA173" s="4"/>
    </row>
    <row r="174" spans="8:53" s="1" customFormat="1" ht="85.15" customHeight="1">
      <c r="H174" s="4"/>
      <c r="M174" s="4"/>
      <c r="R174" s="4"/>
      <c r="W174" s="4"/>
      <c r="AB174" s="4"/>
      <c r="AG174" s="4"/>
      <c r="AL174" s="4"/>
      <c r="AQ174" s="4"/>
      <c r="AV174" s="4"/>
      <c r="BA174" s="4"/>
    </row>
    <row r="175" spans="8:53" s="1" customFormat="1" ht="85.15" customHeight="1">
      <c r="H175" s="4"/>
      <c r="M175" s="4"/>
      <c r="R175" s="4"/>
      <c r="W175" s="4"/>
      <c r="AB175" s="4"/>
      <c r="AG175" s="4"/>
      <c r="AL175" s="4"/>
      <c r="AQ175" s="4"/>
      <c r="AV175" s="4"/>
      <c r="BA175" s="4"/>
    </row>
    <row r="176" spans="8:53" s="1" customFormat="1" ht="85.15" customHeight="1">
      <c r="H176" s="4"/>
      <c r="M176" s="4"/>
      <c r="R176" s="4"/>
      <c r="W176" s="4"/>
      <c r="AB176" s="4"/>
      <c r="AG176" s="4"/>
      <c r="AL176" s="4"/>
      <c r="AQ176" s="4"/>
      <c r="AV176" s="4"/>
      <c r="BA176" s="4"/>
    </row>
    <row r="177" spans="8:53" s="1" customFormat="1" ht="85.15" customHeight="1">
      <c r="H177" s="4"/>
      <c r="M177" s="4"/>
      <c r="R177" s="4"/>
      <c r="W177" s="4"/>
      <c r="AB177" s="4"/>
      <c r="AG177" s="4"/>
      <c r="AL177" s="4"/>
      <c r="AQ177" s="4"/>
      <c r="AV177" s="4"/>
      <c r="BA177" s="4"/>
    </row>
    <row r="178" spans="8:53" s="1" customFormat="1" ht="85.15" customHeight="1">
      <c r="H178" s="4"/>
      <c r="M178" s="4"/>
      <c r="R178" s="4"/>
      <c r="W178" s="4"/>
      <c r="AB178" s="4"/>
      <c r="AG178" s="4"/>
      <c r="AL178" s="4"/>
      <c r="AQ178" s="4"/>
      <c r="AV178" s="4"/>
      <c r="BA178" s="4"/>
    </row>
    <row r="179" spans="8:53" s="1" customFormat="1" ht="85.15" customHeight="1">
      <c r="H179" s="4"/>
      <c r="M179" s="4"/>
      <c r="R179" s="4"/>
      <c r="W179" s="4"/>
      <c r="AB179" s="4"/>
      <c r="AG179" s="4"/>
      <c r="AL179" s="4"/>
      <c r="AQ179" s="4"/>
      <c r="AV179" s="4"/>
      <c r="BA179" s="4"/>
    </row>
    <row r="180" spans="8:53" s="1" customFormat="1" ht="85.15" customHeight="1">
      <c r="H180" s="4"/>
      <c r="M180" s="4"/>
      <c r="R180" s="4"/>
      <c r="W180" s="4"/>
      <c r="AB180" s="4"/>
      <c r="AG180" s="4"/>
      <c r="AL180" s="4"/>
      <c r="AQ180" s="4"/>
      <c r="AV180" s="4"/>
      <c r="BA180" s="4"/>
    </row>
    <row r="181" spans="8:53" s="1" customFormat="1" ht="85.15" customHeight="1">
      <c r="H181" s="4"/>
      <c r="M181" s="4"/>
      <c r="R181" s="4"/>
      <c r="W181" s="4"/>
      <c r="AB181" s="4"/>
      <c r="AG181" s="4"/>
      <c r="AL181" s="4"/>
      <c r="AQ181" s="4"/>
      <c r="AV181" s="4"/>
      <c r="BA181" s="4"/>
    </row>
    <row r="182" spans="8:53" s="1" customFormat="1" ht="85.15" customHeight="1">
      <c r="H182" s="4"/>
      <c r="M182" s="4"/>
      <c r="R182" s="4"/>
      <c r="W182" s="4"/>
      <c r="AB182" s="4"/>
      <c r="AG182" s="4"/>
      <c r="AL182" s="4"/>
      <c r="AQ182" s="4"/>
      <c r="AV182" s="4"/>
      <c r="BA182" s="4"/>
    </row>
    <row r="183" spans="8:53" s="1" customFormat="1" ht="85.15" customHeight="1">
      <c r="H183" s="4"/>
      <c r="M183" s="4"/>
      <c r="R183" s="4"/>
      <c r="W183" s="4"/>
      <c r="AB183" s="4"/>
      <c r="AG183" s="4"/>
      <c r="AL183" s="4"/>
      <c r="AQ183" s="4"/>
      <c r="AV183" s="4"/>
      <c r="BA183" s="4"/>
    </row>
    <row r="184" spans="8:53" s="1" customFormat="1" ht="85.15" customHeight="1">
      <c r="H184" s="4"/>
      <c r="M184" s="4"/>
      <c r="R184" s="4"/>
      <c r="W184" s="4"/>
      <c r="AB184" s="4"/>
      <c r="AG184" s="4"/>
      <c r="AL184" s="4"/>
      <c r="AQ184" s="4"/>
      <c r="AV184" s="4"/>
      <c r="BA184" s="4"/>
    </row>
    <row r="185" spans="8:53" s="1" customFormat="1" ht="53.45" customHeight="1">
      <c r="H185" s="4"/>
      <c r="M185" s="4"/>
      <c r="R185" s="4"/>
      <c r="W185" s="4"/>
      <c r="AB185" s="4"/>
      <c r="AG185" s="4"/>
      <c r="AL185" s="4"/>
      <c r="AQ185" s="4"/>
      <c r="AV185" s="4"/>
      <c r="BA185" s="4"/>
    </row>
    <row r="186" spans="8:53" s="1" customFormat="1" ht="53.45" customHeight="1">
      <c r="H186" s="4"/>
      <c r="M186" s="4"/>
      <c r="R186" s="4"/>
      <c r="W186" s="4"/>
      <c r="AB186" s="4"/>
      <c r="AG186" s="4"/>
      <c r="AL186" s="4"/>
      <c r="AQ186" s="4"/>
      <c r="AV186" s="4"/>
      <c r="BA186" s="4"/>
    </row>
    <row r="187" spans="8:53" s="1" customFormat="1" ht="53.45" customHeight="1">
      <c r="H187" s="4"/>
      <c r="M187" s="4"/>
      <c r="R187" s="4"/>
      <c r="W187" s="4"/>
      <c r="AB187" s="4"/>
      <c r="AG187" s="4"/>
      <c r="AL187" s="4"/>
      <c r="AQ187" s="4"/>
      <c r="AV187" s="4"/>
      <c r="BA187" s="4"/>
    </row>
    <row r="188" spans="8:53" s="1" customFormat="1" ht="53.45" customHeight="1">
      <c r="H188" s="4"/>
      <c r="M188" s="4"/>
      <c r="R188" s="4"/>
      <c r="W188" s="4"/>
      <c r="AB188" s="4"/>
      <c r="AG188" s="4"/>
      <c r="AL188" s="4"/>
      <c r="AQ188" s="4"/>
      <c r="AV188" s="4"/>
      <c r="BA188" s="4"/>
    </row>
    <row r="189" spans="8:53" s="1" customFormat="1" ht="53.45" customHeight="1">
      <c r="H189" s="4"/>
      <c r="M189" s="4"/>
      <c r="R189" s="4"/>
      <c r="W189" s="4"/>
      <c r="AB189" s="4"/>
      <c r="AG189" s="4"/>
      <c r="AL189" s="4"/>
      <c r="AQ189" s="4"/>
      <c r="AV189" s="4"/>
      <c r="BA189" s="4"/>
    </row>
    <row r="190" spans="8:53" s="1" customFormat="1" ht="53.45" customHeight="1">
      <c r="H190" s="4"/>
      <c r="M190" s="4"/>
      <c r="R190" s="4"/>
      <c r="W190" s="4"/>
      <c r="AB190" s="4"/>
      <c r="AG190" s="4"/>
      <c r="AL190" s="4"/>
      <c r="AQ190" s="4"/>
      <c r="AV190" s="4"/>
      <c r="BA190" s="4"/>
    </row>
    <row r="191" spans="8:53" s="1" customFormat="1" ht="53.45" customHeight="1">
      <c r="H191" s="4"/>
      <c r="M191" s="4"/>
      <c r="R191" s="4"/>
      <c r="W191" s="4"/>
      <c r="AB191" s="4"/>
      <c r="AG191" s="4"/>
      <c r="AL191" s="4"/>
      <c r="AQ191" s="4"/>
      <c r="AV191" s="4"/>
      <c r="BA191" s="4"/>
    </row>
    <row r="192" spans="8:53" s="1" customFormat="1" ht="53.45" customHeight="1">
      <c r="H192" s="4"/>
      <c r="M192" s="4"/>
      <c r="R192" s="4"/>
      <c r="W192" s="4"/>
      <c r="AB192" s="4"/>
      <c r="AG192" s="4"/>
      <c r="AL192" s="4"/>
      <c r="AQ192" s="4"/>
      <c r="AV192" s="4"/>
      <c r="BA192" s="4"/>
    </row>
    <row r="193" spans="8:53" s="1" customFormat="1" ht="53.45" customHeight="1">
      <c r="H193" s="4"/>
      <c r="M193" s="4"/>
      <c r="R193" s="4"/>
      <c r="W193" s="4"/>
      <c r="AB193" s="4"/>
      <c r="AG193" s="4"/>
      <c r="AL193" s="4"/>
      <c r="AQ193" s="4"/>
      <c r="AV193" s="4"/>
      <c r="BA193" s="4"/>
    </row>
    <row r="194" spans="8:53" s="1" customFormat="1" ht="53.45" customHeight="1">
      <c r="H194" s="4"/>
      <c r="M194" s="4"/>
      <c r="R194" s="4"/>
      <c r="W194" s="4"/>
      <c r="AB194" s="4"/>
      <c r="AG194" s="4"/>
      <c r="AL194" s="4"/>
      <c r="AQ194" s="4"/>
      <c r="AV194" s="4"/>
      <c r="BA194" s="4"/>
    </row>
    <row r="195" spans="8:53" s="1" customFormat="1" ht="53.45" customHeight="1">
      <c r="H195" s="4"/>
      <c r="M195" s="4"/>
      <c r="R195" s="4"/>
      <c r="W195" s="4"/>
      <c r="AB195" s="4"/>
      <c r="AG195" s="4"/>
      <c r="AL195" s="4"/>
      <c r="AQ195" s="4"/>
      <c r="AV195" s="4"/>
      <c r="BA195" s="4"/>
    </row>
    <row r="196" spans="8:53" s="1" customFormat="1" ht="53.45" customHeight="1">
      <c r="H196" s="4"/>
      <c r="M196" s="4"/>
      <c r="R196" s="4"/>
      <c r="W196" s="4"/>
      <c r="AB196" s="4"/>
      <c r="AG196" s="4"/>
      <c r="AL196" s="4"/>
      <c r="AQ196" s="4"/>
      <c r="AV196" s="4"/>
      <c r="BA196" s="4"/>
    </row>
    <row r="197" spans="8:53" s="1" customFormat="1" ht="53.45" customHeight="1">
      <c r="H197" s="4"/>
      <c r="M197" s="4"/>
      <c r="R197" s="4"/>
      <c r="W197" s="4"/>
      <c r="AB197" s="4"/>
      <c r="AG197" s="4"/>
      <c r="AL197" s="4"/>
      <c r="AQ197" s="4"/>
      <c r="AV197" s="4"/>
      <c r="BA197" s="4"/>
    </row>
    <row r="198" spans="8:53" s="1" customFormat="1" ht="53.45" customHeight="1">
      <c r="H198" s="4"/>
      <c r="M198" s="4"/>
      <c r="R198" s="4"/>
      <c r="W198" s="4"/>
      <c r="AB198" s="4"/>
      <c r="AG198" s="4"/>
      <c r="AL198" s="4"/>
      <c r="AQ198" s="4"/>
      <c r="AV198" s="4"/>
      <c r="BA198" s="4"/>
    </row>
    <row r="199" spans="8:53" s="1" customFormat="1" ht="53.45" customHeight="1">
      <c r="H199" s="4"/>
      <c r="M199" s="4"/>
      <c r="R199" s="4"/>
      <c r="W199" s="4"/>
      <c r="AB199" s="4"/>
      <c r="AG199" s="4"/>
      <c r="AL199" s="4"/>
      <c r="AQ199" s="4"/>
      <c r="AV199" s="4"/>
      <c r="BA199" s="4"/>
    </row>
    <row r="200" spans="8:53" s="1" customFormat="1" ht="53.45" customHeight="1">
      <c r="H200" s="4"/>
      <c r="M200" s="4"/>
      <c r="R200" s="4"/>
      <c r="W200" s="4"/>
      <c r="AB200" s="4"/>
      <c r="AG200" s="4"/>
      <c r="AL200" s="4"/>
      <c r="AQ200" s="4"/>
      <c r="AV200" s="4"/>
      <c r="BA200" s="4"/>
    </row>
    <row r="201" spans="8:53" s="1" customFormat="1" ht="53.45" customHeight="1">
      <c r="H201" s="4"/>
      <c r="M201" s="4"/>
      <c r="R201" s="4"/>
      <c r="W201" s="4"/>
      <c r="AB201" s="4"/>
      <c r="AG201" s="4"/>
      <c r="AL201" s="4"/>
      <c r="AQ201" s="4"/>
      <c r="AV201" s="4"/>
      <c r="BA201" s="4"/>
    </row>
    <row r="202" spans="8:53" s="1" customFormat="1" ht="53.45" customHeight="1">
      <c r="H202" s="4"/>
      <c r="M202" s="4"/>
      <c r="R202" s="4"/>
      <c r="W202" s="4"/>
      <c r="AB202" s="4"/>
      <c r="AG202" s="4"/>
      <c r="AL202" s="4"/>
      <c r="AQ202" s="4"/>
      <c r="AV202" s="4"/>
      <c r="BA202" s="4"/>
    </row>
    <row r="203" spans="8:53" s="1" customFormat="1" ht="53.45" customHeight="1">
      <c r="H203" s="4"/>
      <c r="M203" s="4"/>
      <c r="R203" s="4"/>
      <c r="W203" s="4"/>
      <c r="AB203" s="4"/>
      <c r="AG203" s="4"/>
      <c r="AL203" s="4"/>
      <c r="AQ203" s="4"/>
      <c r="AV203" s="4"/>
      <c r="BA203" s="4"/>
    </row>
    <row r="204" spans="8:53" s="1" customFormat="1" ht="53.45" customHeight="1">
      <c r="H204" s="4"/>
      <c r="M204" s="4"/>
      <c r="R204" s="4"/>
      <c r="W204" s="4"/>
      <c r="AB204" s="4"/>
      <c r="AG204" s="4"/>
      <c r="AL204" s="4"/>
      <c r="AQ204" s="4"/>
      <c r="AV204" s="4"/>
      <c r="BA204" s="4"/>
    </row>
    <row r="205" spans="8:53" s="1" customFormat="1" ht="53.45" customHeight="1">
      <c r="H205" s="4"/>
      <c r="M205" s="4"/>
      <c r="R205" s="4"/>
      <c r="W205" s="4"/>
      <c r="AB205" s="4"/>
      <c r="AG205" s="4"/>
      <c r="AL205" s="4"/>
      <c r="AQ205" s="4"/>
      <c r="AV205" s="4"/>
      <c r="BA205" s="4"/>
    </row>
    <row r="206" spans="8:53" s="1" customFormat="1" ht="53.45" customHeight="1">
      <c r="H206" s="4"/>
      <c r="M206" s="4"/>
      <c r="R206" s="4"/>
      <c r="W206" s="4"/>
      <c r="AB206" s="4"/>
      <c r="AG206" s="4"/>
      <c r="AL206" s="4"/>
      <c r="AQ206" s="4"/>
      <c r="AV206" s="4"/>
      <c r="BA206" s="4"/>
    </row>
    <row r="207" spans="8:53" s="1" customFormat="1" ht="53.45" customHeight="1">
      <c r="H207" s="4"/>
      <c r="M207" s="4"/>
      <c r="R207" s="4"/>
      <c r="W207" s="4"/>
      <c r="AB207" s="4"/>
      <c r="AG207" s="4"/>
      <c r="AL207" s="4"/>
      <c r="AQ207" s="4"/>
      <c r="AV207" s="4"/>
      <c r="BA207" s="4"/>
    </row>
    <row r="208" spans="8:53" s="1" customFormat="1" ht="53.45" customHeight="1">
      <c r="H208" s="4"/>
      <c r="M208" s="4"/>
      <c r="R208" s="4"/>
      <c r="W208" s="4"/>
      <c r="AB208" s="4"/>
      <c r="AG208" s="4"/>
      <c r="AL208" s="4"/>
      <c r="AQ208" s="4"/>
      <c r="AV208" s="4"/>
      <c r="BA208" s="4"/>
    </row>
    <row r="209" spans="8:53" s="1" customFormat="1" ht="53.45" customHeight="1">
      <c r="H209" s="4"/>
      <c r="M209" s="4"/>
      <c r="R209" s="4"/>
      <c r="W209" s="4"/>
      <c r="AB209" s="4"/>
      <c r="AG209" s="4"/>
      <c r="AL209" s="4"/>
      <c r="AQ209" s="4"/>
      <c r="AV209" s="4"/>
      <c r="BA209" s="4"/>
    </row>
    <row r="210" spans="8:53" s="1" customFormat="1" ht="53.45" customHeight="1">
      <c r="H210" s="4"/>
      <c r="M210" s="4"/>
      <c r="R210" s="4"/>
      <c r="W210" s="4"/>
      <c r="AB210" s="4"/>
      <c r="AG210" s="4"/>
      <c r="AL210" s="4"/>
      <c r="AQ210" s="4"/>
      <c r="AV210" s="4"/>
      <c r="BA210" s="4"/>
    </row>
    <row r="211" spans="8:53" s="1" customFormat="1" ht="53.45" customHeight="1">
      <c r="H211" s="4"/>
      <c r="M211" s="4"/>
      <c r="R211" s="4"/>
      <c r="W211" s="4"/>
      <c r="AB211" s="4"/>
      <c r="AG211" s="4"/>
      <c r="AL211" s="4"/>
      <c r="AQ211" s="4"/>
      <c r="AV211" s="4"/>
      <c r="BA211" s="4"/>
    </row>
    <row r="212" spans="8:53" s="1" customFormat="1" ht="53.45" customHeight="1">
      <c r="H212" s="4"/>
      <c r="M212" s="4"/>
      <c r="R212" s="4"/>
      <c r="W212" s="4"/>
      <c r="AB212" s="4"/>
      <c r="AG212" s="4"/>
      <c r="AL212" s="4"/>
      <c r="AQ212" s="4"/>
      <c r="AV212" s="4"/>
      <c r="BA212" s="4"/>
    </row>
    <row r="213" spans="8:53" s="1" customFormat="1" ht="53.45" customHeight="1">
      <c r="H213" s="4"/>
      <c r="M213" s="4"/>
      <c r="R213" s="4"/>
      <c r="W213" s="4"/>
      <c r="AB213" s="4"/>
      <c r="AG213" s="4"/>
      <c r="AL213" s="4"/>
      <c r="AQ213" s="4"/>
      <c r="AV213" s="4"/>
      <c r="BA213" s="4"/>
    </row>
    <row r="214" spans="8:53" s="1" customFormat="1" ht="53.45" customHeight="1">
      <c r="H214" s="4"/>
      <c r="M214" s="4"/>
      <c r="R214" s="4"/>
      <c r="W214" s="4"/>
      <c r="AB214" s="4"/>
      <c r="AG214" s="4"/>
      <c r="AL214" s="4"/>
      <c r="AQ214" s="4"/>
      <c r="AV214" s="4"/>
      <c r="BA214" s="4"/>
    </row>
    <row r="215" spans="8:53" s="1" customFormat="1" ht="53.45" customHeight="1">
      <c r="H215" s="4"/>
      <c r="M215" s="4"/>
      <c r="R215" s="4"/>
      <c r="W215" s="4"/>
      <c r="AB215" s="4"/>
      <c r="AG215" s="4"/>
      <c r="AL215" s="4"/>
      <c r="AQ215" s="4"/>
      <c r="AV215" s="4"/>
      <c r="BA215" s="4"/>
    </row>
    <row r="216" spans="8:53" s="1" customFormat="1" ht="53.45" customHeight="1">
      <c r="H216" s="4"/>
      <c r="M216" s="4"/>
      <c r="R216" s="4"/>
      <c r="W216" s="4"/>
      <c r="AB216" s="4"/>
      <c r="AG216" s="4"/>
      <c r="AL216" s="4"/>
      <c r="AQ216" s="4"/>
      <c r="AV216" s="4"/>
      <c r="BA216" s="4"/>
    </row>
    <row r="217" spans="8:53" s="1" customFormat="1" ht="53.45" customHeight="1">
      <c r="H217" s="4"/>
      <c r="M217" s="4"/>
      <c r="R217" s="4"/>
      <c r="W217" s="4"/>
      <c r="AB217" s="4"/>
      <c r="AG217" s="4"/>
      <c r="AL217" s="4"/>
      <c r="AQ217" s="4"/>
      <c r="AV217" s="4"/>
      <c r="BA217" s="4"/>
    </row>
    <row r="218" spans="8:53" s="1" customFormat="1" ht="53.45" customHeight="1">
      <c r="H218" s="4"/>
      <c r="M218" s="4"/>
      <c r="R218" s="4"/>
      <c r="W218" s="4"/>
      <c r="AB218" s="4"/>
      <c r="AG218" s="4"/>
      <c r="AL218" s="4"/>
      <c r="AQ218" s="4"/>
      <c r="AV218" s="4"/>
      <c r="BA218" s="4"/>
    </row>
    <row r="219" spans="8:53" s="1" customFormat="1" ht="53.45" customHeight="1">
      <c r="H219" s="4"/>
      <c r="M219" s="4"/>
      <c r="R219" s="4"/>
      <c r="W219" s="4"/>
      <c r="AB219" s="4"/>
      <c r="AG219" s="4"/>
      <c r="AL219" s="4"/>
      <c r="AQ219" s="4"/>
      <c r="AV219" s="4"/>
      <c r="BA219" s="4"/>
    </row>
    <row r="220" spans="8:53" s="1" customFormat="1" ht="53.45" customHeight="1">
      <c r="H220" s="4"/>
      <c r="M220" s="4"/>
      <c r="R220" s="4"/>
      <c r="W220" s="4"/>
      <c r="AB220" s="4"/>
      <c r="AG220" s="4"/>
      <c r="AL220" s="4"/>
      <c r="AQ220" s="4"/>
      <c r="AV220" s="4"/>
      <c r="BA220" s="4"/>
    </row>
    <row r="221" spans="8:53" s="1" customFormat="1" ht="53.45" customHeight="1">
      <c r="H221" s="4"/>
      <c r="M221" s="4"/>
      <c r="R221" s="4"/>
      <c r="W221" s="4"/>
      <c r="AB221" s="4"/>
      <c r="AG221" s="4"/>
      <c r="AL221" s="4"/>
      <c r="AQ221" s="4"/>
      <c r="AV221" s="4"/>
      <c r="BA221" s="4"/>
    </row>
    <row r="222" spans="8:53" s="1" customFormat="1" ht="53.45" customHeight="1">
      <c r="H222" s="4"/>
      <c r="M222" s="4"/>
      <c r="R222" s="4"/>
      <c r="W222" s="4"/>
      <c r="AB222" s="4"/>
      <c r="AG222" s="4"/>
      <c r="AL222" s="4"/>
      <c r="AQ222" s="4"/>
      <c r="AV222" s="4"/>
      <c r="BA222" s="4"/>
    </row>
    <row r="223" spans="8:53" s="1" customFormat="1" ht="53.45" customHeight="1">
      <c r="H223" s="4"/>
      <c r="M223" s="4"/>
      <c r="R223" s="4"/>
      <c r="W223" s="4"/>
      <c r="AB223" s="4"/>
      <c r="AG223" s="4"/>
      <c r="AL223" s="4"/>
      <c r="AQ223" s="4"/>
      <c r="AV223" s="4"/>
      <c r="BA223" s="4"/>
    </row>
    <row r="224" spans="8:53" s="1" customFormat="1" ht="53.45" customHeight="1">
      <c r="H224" s="4"/>
      <c r="M224" s="4"/>
      <c r="R224" s="4"/>
      <c r="W224" s="4"/>
      <c r="AB224" s="4"/>
      <c r="AG224" s="4"/>
      <c r="AL224" s="4"/>
      <c r="AQ224" s="4"/>
      <c r="AV224" s="4"/>
      <c r="BA224" s="4"/>
    </row>
    <row r="225" spans="8:53" s="1" customFormat="1" ht="53.45" customHeight="1">
      <c r="H225" s="4"/>
      <c r="M225" s="4"/>
      <c r="R225" s="4"/>
      <c r="W225" s="4"/>
      <c r="AB225" s="4"/>
      <c r="AG225" s="4"/>
      <c r="AL225" s="4"/>
      <c r="AQ225" s="4"/>
      <c r="AV225" s="4"/>
      <c r="BA225" s="4"/>
    </row>
    <row r="226" spans="8:53" s="1" customFormat="1" ht="53.45" customHeight="1">
      <c r="H226" s="4"/>
      <c r="M226" s="4"/>
      <c r="R226" s="4"/>
      <c r="W226" s="4"/>
      <c r="AB226" s="4"/>
      <c r="AG226" s="4"/>
      <c r="AL226" s="4"/>
      <c r="AQ226" s="4"/>
      <c r="AV226" s="4"/>
      <c r="BA226" s="4"/>
    </row>
    <row r="227" spans="8:53" s="1" customFormat="1" ht="53.45" customHeight="1">
      <c r="H227" s="4"/>
      <c r="M227" s="4"/>
      <c r="R227" s="4"/>
      <c r="W227" s="4"/>
      <c r="AB227" s="4"/>
      <c r="AG227" s="4"/>
      <c r="AL227" s="4"/>
      <c r="AQ227" s="4"/>
      <c r="AV227" s="4"/>
      <c r="BA227" s="4"/>
    </row>
    <row r="228" spans="8:53" s="1" customFormat="1" ht="53.45" customHeight="1">
      <c r="H228" s="4"/>
      <c r="M228" s="4"/>
      <c r="R228" s="4"/>
      <c r="W228" s="4"/>
      <c r="AB228" s="4"/>
      <c r="AG228" s="4"/>
      <c r="AL228" s="4"/>
      <c r="AQ228" s="4"/>
      <c r="AV228" s="4"/>
      <c r="BA228" s="4"/>
    </row>
    <row r="229" spans="8:53" s="1" customFormat="1" ht="53.45" customHeight="1">
      <c r="H229" s="4"/>
      <c r="M229" s="4"/>
      <c r="R229" s="4"/>
      <c r="W229" s="4"/>
      <c r="AB229" s="4"/>
      <c r="AG229" s="4"/>
      <c r="AL229" s="4"/>
      <c r="AQ229" s="4"/>
      <c r="AV229" s="4"/>
      <c r="BA229" s="4"/>
    </row>
    <row r="230" spans="8:53" s="1" customFormat="1" ht="53.45" customHeight="1">
      <c r="H230" s="4"/>
      <c r="M230" s="4"/>
      <c r="R230" s="4"/>
      <c r="W230" s="4"/>
      <c r="AB230" s="4"/>
      <c r="AG230" s="4"/>
      <c r="AL230" s="4"/>
      <c r="AQ230" s="4"/>
      <c r="AV230" s="4"/>
      <c r="BA230" s="4"/>
    </row>
    <row r="231" spans="8:53" s="1" customFormat="1" ht="53.45" customHeight="1">
      <c r="H231" s="4"/>
      <c r="M231" s="4"/>
      <c r="R231" s="4"/>
      <c r="W231" s="4"/>
      <c r="AB231" s="4"/>
      <c r="AG231" s="4"/>
      <c r="AL231" s="4"/>
      <c r="AQ231" s="4"/>
      <c r="AV231" s="4"/>
      <c r="BA231" s="4"/>
    </row>
    <row r="232" spans="8:53" s="1" customFormat="1" ht="53.45" customHeight="1">
      <c r="H232" s="4"/>
      <c r="M232" s="4"/>
      <c r="R232" s="4"/>
      <c r="W232" s="4"/>
      <c r="AB232" s="4"/>
      <c r="AG232" s="4"/>
      <c r="AL232" s="4"/>
      <c r="AQ232" s="4"/>
      <c r="AV232" s="4"/>
      <c r="BA232" s="4"/>
    </row>
    <row r="233" spans="8:53" s="1" customFormat="1" ht="53.45" customHeight="1">
      <c r="H233" s="4"/>
      <c r="M233" s="4"/>
      <c r="R233" s="4"/>
      <c r="W233" s="4"/>
      <c r="AB233" s="4"/>
      <c r="AG233" s="4"/>
      <c r="AL233" s="4"/>
      <c r="AQ233" s="4"/>
      <c r="AV233" s="4"/>
      <c r="BA233" s="4"/>
    </row>
    <row r="234" spans="8:53" s="1" customFormat="1" ht="53.45" customHeight="1">
      <c r="H234" s="4"/>
      <c r="M234" s="4"/>
      <c r="R234" s="4"/>
      <c r="W234" s="4"/>
      <c r="AB234" s="4"/>
      <c r="AG234" s="4"/>
      <c r="AL234" s="4"/>
      <c r="AQ234" s="4"/>
      <c r="AV234" s="4"/>
      <c r="BA234" s="4"/>
    </row>
    <row r="235" spans="8:53" s="1" customFormat="1" ht="53.45" customHeight="1">
      <c r="H235" s="4"/>
      <c r="M235" s="4"/>
      <c r="R235" s="4"/>
      <c r="W235" s="4"/>
      <c r="AB235" s="4"/>
      <c r="AG235" s="4"/>
      <c r="AL235" s="4"/>
      <c r="AQ235" s="4"/>
      <c r="AV235" s="4"/>
      <c r="BA235" s="4"/>
    </row>
    <row r="236" spans="8:53" s="1" customFormat="1" ht="53.45" customHeight="1">
      <c r="H236" s="4"/>
      <c r="M236" s="4"/>
      <c r="R236" s="4"/>
      <c r="W236" s="4"/>
      <c r="AB236" s="4"/>
      <c r="AG236" s="4"/>
      <c r="AL236" s="4"/>
      <c r="AQ236" s="4"/>
      <c r="AV236" s="4"/>
      <c r="BA236" s="4"/>
    </row>
    <row r="237" spans="8:53" s="1" customFormat="1" ht="53.45" customHeight="1">
      <c r="H237" s="4"/>
      <c r="M237" s="4"/>
      <c r="R237" s="4"/>
      <c r="W237" s="4"/>
      <c r="AB237" s="4"/>
      <c r="AG237" s="4"/>
      <c r="AL237" s="4"/>
      <c r="AQ237" s="4"/>
      <c r="AV237" s="4"/>
      <c r="BA237" s="4"/>
    </row>
    <row r="238" spans="8:53" s="1" customFormat="1" ht="53.45" customHeight="1">
      <c r="H238" s="4"/>
      <c r="M238" s="4"/>
      <c r="R238" s="4"/>
      <c r="W238" s="4"/>
      <c r="AB238" s="4"/>
      <c r="AG238" s="4"/>
      <c r="AL238" s="4"/>
      <c r="AQ238" s="4"/>
      <c r="AV238" s="4"/>
      <c r="BA238" s="4"/>
    </row>
    <row r="239" spans="8:53" s="1" customFormat="1" ht="53.45" customHeight="1">
      <c r="H239" s="4"/>
      <c r="M239" s="4"/>
      <c r="R239" s="4"/>
      <c r="W239" s="4"/>
      <c r="AB239" s="4"/>
      <c r="AG239" s="4"/>
      <c r="AL239" s="4"/>
      <c r="AQ239" s="4"/>
      <c r="AV239" s="4"/>
      <c r="BA239" s="4"/>
    </row>
    <row r="240" spans="8:53" s="1" customFormat="1" ht="53.45" customHeight="1">
      <c r="H240" s="4"/>
      <c r="M240" s="4"/>
      <c r="R240" s="4"/>
      <c r="W240" s="4"/>
      <c r="AB240" s="4"/>
      <c r="AG240" s="4"/>
      <c r="AL240" s="4"/>
      <c r="AQ240" s="4"/>
      <c r="AV240" s="4"/>
      <c r="BA240" s="4"/>
    </row>
    <row r="241" spans="8:53" s="1" customFormat="1" ht="53.45" customHeight="1">
      <c r="H241" s="4"/>
      <c r="M241" s="4"/>
      <c r="R241" s="4"/>
      <c r="W241" s="4"/>
      <c r="AB241" s="4"/>
      <c r="AG241" s="4"/>
      <c r="AL241" s="4"/>
      <c r="AQ241" s="4"/>
      <c r="AV241" s="4"/>
      <c r="BA241" s="4"/>
    </row>
    <row r="242" spans="8:53" s="1" customFormat="1" ht="53.45" customHeight="1">
      <c r="H242" s="4"/>
      <c r="M242" s="4"/>
      <c r="R242" s="4"/>
      <c r="W242" s="4"/>
      <c r="AB242" s="4"/>
      <c r="AG242" s="4"/>
      <c r="AL242" s="4"/>
      <c r="AQ242" s="4"/>
      <c r="AV242" s="4"/>
      <c r="BA242" s="4"/>
    </row>
    <row r="243" spans="8:53" s="1" customFormat="1" ht="53.45" customHeight="1">
      <c r="H243" s="4"/>
      <c r="M243" s="4"/>
      <c r="R243" s="4"/>
      <c r="W243" s="4"/>
      <c r="AB243" s="4"/>
      <c r="AG243" s="4"/>
      <c r="AL243" s="4"/>
      <c r="AQ243" s="4"/>
      <c r="AV243" s="4"/>
      <c r="BA243" s="4"/>
    </row>
    <row r="244" spans="8:53" s="1" customFormat="1" ht="53.45" customHeight="1">
      <c r="H244" s="4"/>
      <c r="M244" s="4"/>
      <c r="R244" s="4"/>
      <c r="W244" s="4"/>
      <c r="AB244" s="4"/>
      <c r="AG244" s="4"/>
      <c r="AL244" s="4"/>
      <c r="AQ244" s="4"/>
      <c r="AV244" s="4"/>
      <c r="BA244" s="4"/>
    </row>
    <row r="245" spans="8:53" s="1" customFormat="1" ht="53.45" customHeight="1">
      <c r="H245" s="4"/>
      <c r="M245" s="4"/>
      <c r="R245" s="4"/>
      <c r="W245" s="4"/>
      <c r="AB245" s="4"/>
      <c r="AG245" s="4"/>
      <c r="AL245" s="4"/>
      <c r="AQ245" s="4"/>
      <c r="AV245" s="4"/>
      <c r="BA245" s="4"/>
    </row>
    <row r="246" spans="8:53" s="1" customFormat="1" ht="53.45" customHeight="1">
      <c r="H246" s="4"/>
      <c r="M246" s="4"/>
      <c r="R246" s="4"/>
      <c r="W246" s="4"/>
      <c r="AB246" s="4"/>
      <c r="AG246" s="4"/>
      <c r="AL246" s="4"/>
      <c r="AQ246" s="4"/>
      <c r="AV246" s="4"/>
      <c r="BA246" s="4"/>
    </row>
    <row r="247" spans="8:53" s="1" customFormat="1" ht="53.45" customHeight="1">
      <c r="H247" s="4"/>
      <c r="M247" s="4"/>
      <c r="R247" s="4"/>
      <c r="W247" s="4"/>
      <c r="AB247" s="4"/>
      <c r="AG247" s="4"/>
      <c r="AL247" s="4"/>
      <c r="AQ247" s="4"/>
      <c r="AV247" s="4"/>
      <c r="BA247" s="4"/>
    </row>
    <row r="248" spans="8:53" s="1" customFormat="1" ht="53.45" customHeight="1">
      <c r="H248" s="4"/>
      <c r="M248" s="4"/>
      <c r="R248" s="4"/>
      <c r="W248" s="4"/>
      <c r="AB248" s="4"/>
      <c r="AG248" s="4"/>
      <c r="AL248" s="4"/>
      <c r="AQ248" s="4"/>
      <c r="AV248" s="4"/>
      <c r="BA248" s="4"/>
    </row>
    <row r="249" spans="8:53" s="1" customFormat="1" ht="53.45" customHeight="1">
      <c r="H249" s="4"/>
      <c r="M249" s="4"/>
      <c r="R249" s="4"/>
      <c r="W249" s="4"/>
      <c r="AB249" s="4"/>
      <c r="AG249" s="4"/>
      <c r="AL249" s="4"/>
      <c r="AQ249" s="4"/>
      <c r="AV249" s="4"/>
      <c r="BA249" s="4"/>
    </row>
    <row r="250" spans="8:53" s="1" customFormat="1" ht="53.45" customHeight="1">
      <c r="H250" s="4"/>
      <c r="M250" s="4"/>
      <c r="R250" s="4"/>
      <c r="W250" s="4"/>
      <c r="AB250" s="4"/>
      <c r="AG250" s="4"/>
      <c r="AL250" s="4"/>
      <c r="AQ250" s="4"/>
      <c r="AV250" s="4"/>
      <c r="BA250" s="4"/>
    </row>
    <row r="251" spans="8:53" s="1" customFormat="1" ht="53.45" customHeight="1">
      <c r="H251" s="4"/>
      <c r="M251" s="4"/>
      <c r="R251" s="4"/>
      <c r="W251" s="4"/>
      <c r="AB251" s="4"/>
      <c r="AG251" s="4"/>
      <c r="AL251" s="4"/>
      <c r="AQ251" s="4"/>
      <c r="AV251" s="4"/>
      <c r="BA251" s="4"/>
    </row>
    <row r="252" spans="8:53" s="1" customFormat="1" ht="53.45" customHeight="1">
      <c r="H252" s="4"/>
      <c r="M252" s="4"/>
      <c r="R252" s="4"/>
      <c r="W252" s="4"/>
      <c r="AB252" s="4"/>
      <c r="AG252" s="4"/>
      <c r="AL252" s="4"/>
      <c r="AQ252" s="4"/>
      <c r="AV252" s="4"/>
      <c r="BA252" s="4"/>
    </row>
    <row r="253" spans="8:53" s="1" customFormat="1" ht="53.45" customHeight="1">
      <c r="H253" s="4"/>
      <c r="M253" s="4"/>
      <c r="R253" s="4"/>
      <c r="W253" s="4"/>
      <c r="AB253" s="4"/>
      <c r="AG253" s="4"/>
      <c r="AL253" s="4"/>
      <c r="AQ253" s="4"/>
      <c r="AV253" s="4"/>
      <c r="BA253" s="4"/>
    </row>
    <row r="254" spans="8:53" s="1" customFormat="1" ht="53.45" customHeight="1">
      <c r="H254" s="4"/>
      <c r="M254" s="4"/>
      <c r="R254" s="4"/>
      <c r="W254" s="4"/>
      <c r="AB254" s="4"/>
      <c r="AG254" s="4"/>
      <c r="AL254" s="4"/>
      <c r="AQ254" s="4"/>
      <c r="AV254" s="4"/>
      <c r="BA254" s="4"/>
    </row>
    <row r="255" spans="8:53" s="1" customFormat="1" ht="53.45" customHeight="1">
      <c r="H255" s="4"/>
      <c r="M255" s="4"/>
      <c r="R255" s="4"/>
      <c r="W255" s="4"/>
      <c r="AB255" s="4"/>
      <c r="AG255" s="4"/>
      <c r="AL255" s="4"/>
      <c r="AQ255" s="4"/>
      <c r="AV255" s="4"/>
      <c r="BA255" s="4"/>
    </row>
    <row r="256" spans="8:53" s="1" customFormat="1" ht="53.45" customHeight="1">
      <c r="H256" s="4"/>
      <c r="M256" s="4"/>
      <c r="R256" s="4"/>
      <c r="W256" s="4"/>
      <c r="AB256" s="4"/>
      <c r="AG256" s="4"/>
      <c r="AL256" s="4"/>
      <c r="AQ256" s="4"/>
      <c r="AV256" s="4"/>
      <c r="BA256" s="4"/>
    </row>
    <row r="257" spans="8:53" s="1" customFormat="1" ht="53.45" customHeight="1">
      <c r="H257" s="4"/>
      <c r="M257" s="4"/>
      <c r="R257" s="4"/>
      <c r="W257" s="4"/>
      <c r="AB257" s="4"/>
      <c r="AG257" s="4"/>
      <c r="AL257" s="4"/>
      <c r="AQ257" s="4"/>
      <c r="AV257" s="4"/>
      <c r="BA257" s="4"/>
    </row>
    <row r="258" spans="8:53" s="1" customFormat="1" ht="53.45" customHeight="1">
      <c r="H258" s="4"/>
      <c r="M258" s="4"/>
      <c r="R258" s="4"/>
      <c r="W258" s="4"/>
      <c r="AB258" s="4"/>
      <c r="AG258" s="4"/>
      <c r="AL258" s="4"/>
      <c r="AQ258" s="4"/>
      <c r="AV258" s="4"/>
      <c r="BA258" s="4"/>
    </row>
    <row r="259" spans="8:53" s="1" customFormat="1" ht="53.45" customHeight="1">
      <c r="H259" s="4"/>
      <c r="M259" s="4"/>
      <c r="R259" s="4"/>
      <c r="W259" s="4"/>
      <c r="AB259" s="4"/>
      <c r="AG259" s="4"/>
      <c r="AL259" s="4"/>
      <c r="AQ259" s="4"/>
      <c r="AV259" s="4"/>
      <c r="BA259" s="4"/>
    </row>
    <row r="260" spans="8:53" s="1" customFormat="1" ht="53.45" customHeight="1">
      <c r="H260" s="4"/>
      <c r="M260" s="4"/>
      <c r="R260" s="4"/>
      <c r="W260" s="4"/>
      <c r="AB260" s="4"/>
      <c r="AG260" s="4"/>
      <c r="AL260" s="4"/>
      <c r="AQ260" s="4"/>
      <c r="AV260" s="4"/>
      <c r="BA260" s="4"/>
    </row>
    <row r="261" spans="8:53" s="1" customFormat="1" ht="53.45" customHeight="1">
      <c r="H261" s="4"/>
      <c r="M261" s="4"/>
      <c r="R261" s="4"/>
      <c r="W261" s="4"/>
      <c r="AB261" s="4"/>
      <c r="AG261" s="4"/>
      <c r="AL261" s="4"/>
      <c r="AQ261" s="4"/>
      <c r="AV261" s="4"/>
      <c r="BA261" s="4"/>
    </row>
    <row r="262" spans="8:53" s="1" customFormat="1" ht="53.45" customHeight="1">
      <c r="H262" s="4"/>
      <c r="M262" s="4"/>
      <c r="R262" s="4"/>
      <c r="W262" s="4"/>
      <c r="AB262" s="4"/>
      <c r="AG262" s="4"/>
      <c r="AL262" s="4"/>
      <c r="AQ262" s="4"/>
      <c r="AV262" s="4"/>
      <c r="BA262" s="4"/>
    </row>
    <row r="263" spans="8:53" s="1" customFormat="1" ht="53.45" customHeight="1">
      <c r="H263" s="4"/>
      <c r="M263" s="4"/>
      <c r="R263" s="4"/>
      <c r="W263" s="4"/>
      <c r="AB263" s="4"/>
      <c r="AG263" s="4"/>
      <c r="AL263" s="4"/>
      <c r="AQ263" s="4"/>
      <c r="AV263" s="4"/>
      <c r="BA263" s="4"/>
    </row>
    <row r="264" spans="8:53" s="1" customFormat="1" ht="53.45" customHeight="1">
      <c r="H264" s="4"/>
      <c r="M264" s="4"/>
      <c r="R264" s="4"/>
      <c r="W264" s="4"/>
      <c r="AB264" s="4"/>
      <c r="AG264" s="4"/>
      <c r="AL264" s="4"/>
      <c r="AQ264" s="4"/>
      <c r="AV264" s="4"/>
      <c r="BA264" s="4"/>
    </row>
    <row r="265" spans="8:53" s="1" customFormat="1" ht="53.45" customHeight="1">
      <c r="H265" s="4"/>
      <c r="M265" s="4"/>
      <c r="R265" s="4"/>
      <c r="W265" s="4"/>
      <c r="AB265" s="4"/>
      <c r="AG265" s="4"/>
      <c r="AL265" s="4"/>
      <c r="AQ265" s="4"/>
      <c r="AV265" s="4"/>
      <c r="BA265" s="4"/>
    </row>
    <row r="266" spans="8:53" s="1" customFormat="1" ht="53.45" customHeight="1">
      <c r="H266" s="4"/>
      <c r="M266" s="4"/>
      <c r="R266" s="4"/>
      <c r="W266" s="4"/>
      <c r="AB266" s="4"/>
      <c r="AG266" s="4"/>
      <c r="AL266" s="4"/>
      <c r="AQ266" s="4"/>
      <c r="AV266" s="4"/>
      <c r="BA266" s="4"/>
    </row>
    <row r="267" spans="8:53" s="1" customFormat="1" ht="53.45" customHeight="1">
      <c r="H267" s="4"/>
      <c r="M267" s="4"/>
      <c r="R267" s="4"/>
      <c r="W267" s="4"/>
      <c r="AB267" s="4"/>
      <c r="AG267" s="4"/>
      <c r="AL267" s="4"/>
      <c r="AQ267" s="4"/>
      <c r="AV267" s="4"/>
      <c r="BA267" s="4"/>
    </row>
    <row r="268" spans="8:53" s="1" customFormat="1" ht="53.45" customHeight="1">
      <c r="H268" s="4"/>
      <c r="M268" s="4"/>
      <c r="R268" s="4"/>
      <c r="W268" s="4"/>
      <c r="AB268" s="4"/>
      <c r="AG268" s="4"/>
      <c r="AL268" s="4"/>
      <c r="AQ268" s="4"/>
      <c r="AV268" s="4"/>
      <c r="BA268" s="4"/>
    </row>
    <row r="269" spans="8:53" s="1" customFormat="1" ht="53.45" customHeight="1">
      <c r="H269" s="4"/>
      <c r="M269" s="4"/>
      <c r="R269" s="4"/>
      <c r="W269" s="4"/>
      <c r="AB269" s="4"/>
      <c r="AG269" s="4"/>
      <c r="AL269" s="4"/>
      <c r="AQ269" s="4"/>
      <c r="AV269" s="4"/>
      <c r="BA269" s="4"/>
    </row>
    <row r="270" spans="8:53" s="1" customFormat="1" ht="53.45" customHeight="1">
      <c r="H270" s="4"/>
      <c r="M270" s="4"/>
      <c r="R270" s="4"/>
      <c r="W270" s="4"/>
      <c r="AB270" s="4"/>
      <c r="AG270" s="4"/>
      <c r="AL270" s="4"/>
      <c r="AQ270" s="4"/>
      <c r="AV270" s="4"/>
      <c r="BA270" s="4"/>
    </row>
    <row r="271" spans="8:53" s="1" customFormat="1" ht="53.45" customHeight="1">
      <c r="H271" s="4"/>
      <c r="M271" s="4"/>
      <c r="R271" s="4"/>
      <c r="W271" s="4"/>
      <c r="AB271" s="4"/>
      <c r="AG271" s="4"/>
      <c r="AL271" s="4"/>
      <c r="AQ271" s="4"/>
      <c r="AV271" s="4"/>
      <c r="BA271" s="4"/>
    </row>
    <row r="272" spans="8:53" s="1" customFormat="1" ht="53.45" customHeight="1">
      <c r="H272" s="4"/>
      <c r="M272" s="4"/>
      <c r="R272" s="4"/>
      <c r="W272" s="4"/>
      <c r="AB272" s="4"/>
      <c r="AG272" s="4"/>
      <c r="AL272" s="4"/>
      <c r="AQ272" s="4"/>
      <c r="AV272" s="4"/>
      <c r="BA272" s="4"/>
    </row>
    <row r="273" spans="8:53" s="1" customFormat="1" ht="53.45" customHeight="1">
      <c r="H273" s="4"/>
      <c r="M273" s="4"/>
      <c r="R273" s="4"/>
      <c r="W273" s="4"/>
      <c r="AB273" s="4"/>
      <c r="AG273" s="4"/>
      <c r="AL273" s="4"/>
      <c r="AQ273" s="4"/>
      <c r="AV273" s="4"/>
      <c r="BA273" s="4"/>
    </row>
    <row r="274" spans="8:53" s="1" customFormat="1" ht="53.45" customHeight="1">
      <c r="H274" s="4"/>
      <c r="M274" s="4"/>
      <c r="R274" s="4"/>
      <c r="W274" s="4"/>
      <c r="AB274" s="4"/>
      <c r="AG274" s="4"/>
      <c r="AL274" s="4"/>
      <c r="AQ274" s="4"/>
      <c r="AV274" s="4"/>
      <c r="BA274" s="4"/>
    </row>
    <row r="275" spans="8:53" s="1" customFormat="1" ht="53.45" customHeight="1">
      <c r="H275" s="4"/>
      <c r="M275" s="4"/>
      <c r="R275" s="4"/>
      <c r="W275" s="4"/>
      <c r="AB275" s="4"/>
      <c r="AG275" s="4"/>
      <c r="AL275" s="4"/>
      <c r="AQ275" s="4"/>
      <c r="AV275" s="4"/>
      <c r="BA275" s="4"/>
    </row>
    <row r="276" spans="8:53" s="1" customFormat="1" ht="53.45" customHeight="1">
      <c r="H276" s="4"/>
      <c r="M276" s="4"/>
      <c r="R276" s="4"/>
      <c r="W276" s="4"/>
      <c r="AB276" s="4"/>
      <c r="AG276" s="4"/>
      <c r="AL276" s="4"/>
      <c r="AQ276" s="4"/>
      <c r="AV276" s="4"/>
      <c r="BA276" s="4"/>
    </row>
    <row r="277" spans="8:53" s="1" customFormat="1" ht="53.45" customHeight="1">
      <c r="H277" s="4"/>
      <c r="M277" s="4"/>
      <c r="R277" s="4"/>
      <c r="W277" s="4"/>
      <c r="AB277" s="4"/>
      <c r="AG277" s="4"/>
      <c r="AL277" s="4"/>
      <c r="AQ277" s="4"/>
      <c r="AV277" s="4"/>
      <c r="BA277" s="4"/>
    </row>
    <row r="278" spans="8:53" s="1" customFormat="1" ht="53.45" customHeight="1">
      <c r="H278" s="4"/>
      <c r="M278" s="4"/>
      <c r="R278" s="4"/>
      <c r="W278" s="4"/>
      <c r="AB278" s="4"/>
      <c r="AG278" s="4"/>
      <c r="AL278" s="4"/>
      <c r="AQ278" s="4"/>
      <c r="AV278" s="4"/>
      <c r="BA278" s="4"/>
    </row>
    <row r="279" spans="8:53" s="1" customFormat="1" ht="53.45" customHeight="1">
      <c r="H279" s="4"/>
      <c r="M279" s="4"/>
      <c r="R279" s="4"/>
      <c r="W279" s="4"/>
      <c r="AB279" s="4"/>
      <c r="AG279" s="4"/>
      <c r="AL279" s="4"/>
      <c r="AQ279" s="4"/>
      <c r="AV279" s="4"/>
      <c r="BA279" s="4"/>
    </row>
    <row r="280" spans="8:53" s="1" customFormat="1" ht="53.45" customHeight="1">
      <c r="H280" s="4"/>
      <c r="M280" s="4"/>
      <c r="R280" s="4"/>
      <c r="W280" s="4"/>
      <c r="AB280" s="4"/>
      <c r="AG280" s="4"/>
      <c r="AL280" s="4"/>
      <c r="AQ280" s="4"/>
      <c r="AV280" s="4"/>
      <c r="BA280" s="4"/>
    </row>
    <row r="281" spans="8:53" s="1" customFormat="1" ht="53.45" customHeight="1">
      <c r="H281" s="4"/>
      <c r="M281" s="4"/>
      <c r="R281" s="4"/>
      <c r="W281" s="4"/>
      <c r="AB281" s="4"/>
      <c r="AG281" s="4"/>
      <c r="AL281" s="4"/>
      <c r="AQ281" s="4"/>
      <c r="AV281" s="4"/>
      <c r="BA281" s="4"/>
    </row>
    <row r="282" spans="8:53" s="1" customFormat="1" ht="53.45" customHeight="1">
      <c r="H282" s="4"/>
      <c r="M282" s="4"/>
      <c r="R282" s="4"/>
      <c r="W282" s="4"/>
      <c r="AB282" s="4"/>
      <c r="AG282" s="4"/>
      <c r="AL282" s="4"/>
      <c r="AQ282" s="4"/>
      <c r="AV282" s="4"/>
      <c r="BA282" s="4"/>
    </row>
    <row r="283" spans="8:53" s="1" customFormat="1" ht="53.45" customHeight="1">
      <c r="H283" s="4"/>
      <c r="M283" s="4"/>
      <c r="R283" s="4"/>
      <c r="W283" s="4"/>
      <c r="AB283" s="4"/>
      <c r="AG283" s="4"/>
      <c r="AL283" s="4"/>
      <c r="AQ283" s="4"/>
      <c r="AV283" s="4"/>
      <c r="BA283" s="4"/>
    </row>
    <row r="284" spans="8:53" s="1" customFormat="1" ht="53.45" customHeight="1">
      <c r="H284" s="4"/>
      <c r="M284" s="4"/>
      <c r="R284" s="4"/>
      <c r="W284" s="4"/>
      <c r="AB284" s="4"/>
      <c r="AG284" s="4"/>
      <c r="AL284" s="4"/>
      <c r="AQ284" s="4"/>
      <c r="AV284" s="4"/>
      <c r="BA284" s="4"/>
    </row>
    <row r="285" spans="8:53" s="1" customFormat="1" ht="53.45" customHeight="1">
      <c r="H285" s="4"/>
      <c r="M285" s="4"/>
      <c r="R285" s="4"/>
      <c r="W285" s="4"/>
      <c r="AB285" s="4"/>
      <c r="AG285" s="4"/>
      <c r="AL285" s="4"/>
      <c r="AQ285" s="4"/>
      <c r="AV285" s="4"/>
      <c r="BA285" s="4"/>
    </row>
    <row r="286" spans="8:53" s="1" customFormat="1" ht="53.45" customHeight="1">
      <c r="H286" s="4"/>
      <c r="M286" s="4"/>
      <c r="R286" s="4"/>
      <c r="W286" s="4"/>
      <c r="AB286" s="4"/>
      <c r="AG286" s="4"/>
      <c r="AL286" s="4"/>
      <c r="AQ286" s="4"/>
      <c r="AV286" s="4"/>
      <c r="BA286" s="4"/>
    </row>
    <row r="287" spans="8:53" s="1" customFormat="1" ht="53.45" customHeight="1">
      <c r="H287" s="4"/>
      <c r="M287" s="4"/>
      <c r="R287" s="4"/>
      <c r="W287" s="4"/>
      <c r="AB287" s="4"/>
      <c r="AG287" s="4"/>
      <c r="AL287" s="4"/>
      <c r="AQ287" s="4"/>
      <c r="AV287" s="4"/>
      <c r="BA287" s="4"/>
    </row>
    <row r="288" spans="8:53" s="1" customFormat="1" ht="53.45" customHeight="1">
      <c r="H288" s="4"/>
      <c r="M288" s="4"/>
      <c r="R288" s="4"/>
      <c r="W288" s="4"/>
      <c r="AB288" s="4"/>
      <c r="AG288" s="4"/>
      <c r="AL288" s="4"/>
      <c r="AQ288" s="4"/>
      <c r="AV288" s="4"/>
      <c r="BA288" s="4"/>
    </row>
    <row r="289" spans="8:53" s="1" customFormat="1" ht="53.45" customHeight="1">
      <c r="H289" s="4"/>
      <c r="M289" s="4"/>
      <c r="R289" s="4"/>
      <c r="W289" s="4"/>
      <c r="AB289" s="4"/>
      <c r="AG289" s="4"/>
      <c r="AL289" s="4"/>
      <c r="AQ289" s="4"/>
      <c r="AV289" s="4"/>
      <c r="BA289" s="4"/>
    </row>
    <row r="290" spans="8:53" s="1" customFormat="1" ht="53.45" customHeight="1">
      <c r="H290" s="4"/>
      <c r="M290" s="4"/>
      <c r="R290" s="4"/>
      <c r="W290" s="4"/>
      <c r="AB290" s="4"/>
      <c r="AG290" s="4"/>
      <c r="AL290" s="4"/>
      <c r="AQ290" s="4"/>
      <c r="AV290" s="4"/>
      <c r="BA290" s="4"/>
    </row>
    <row r="291" spans="8:53" s="1" customFormat="1" ht="53.45" customHeight="1">
      <c r="H291" s="4"/>
      <c r="M291" s="4"/>
      <c r="R291" s="4"/>
      <c r="W291" s="4"/>
      <c r="AB291" s="4"/>
      <c r="AG291" s="4"/>
      <c r="AL291" s="4"/>
      <c r="AQ291" s="4"/>
      <c r="AV291" s="4"/>
      <c r="BA291" s="4"/>
    </row>
    <row r="292" spans="8:53" s="1" customFormat="1" ht="53.45" customHeight="1">
      <c r="H292" s="4"/>
      <c r="M292" s="4"/>
      <c r="R292" s="4"/>
      <c r="W292" s="4"/>
      <c r="AB292" s="4"/>
      <c r="AG292" s="4"/>
      <c r="AL292" s="4"/>
      <c r="AQ292" s="4"/>
      <c r="AV292" s="4"/>
      <c r="BA292" s="4"/>
    </row>
    <row r="293" spans="8:53" s="1" customFormat="1" ht="53.45" customHeight="1">
      <c r="H293" s="4"/>
      <c r="M293" s="4"/>
      <c r="R293" s="4"/>
      <c r="W293" s="4"/>
      <c r="AB293" s="4"/>
      <c r="AG293" s="4"/>
      <c r="AL293" s="4"/>
      <c r="AQ293" s="4"/>
      <c r="AV293" s="4"/>
      <c r="BA293" s="4"/>
    </row>
    <row r="294" spans="8:53" s="1" customFormat="1" ht="53.45" customHeight="1">
      <c r="H294" s="4"/>
      <c r="M294" s="4"/>
      <c r="R294" s="4"/>
      <c r="W294" s="4"/>
      <c r="AB294" s="4"/>
      <c r="AG294" s="4"/>
      <c r="AL294" s="4"/>
      <c r="AQ294" s="4"/>
      <c r="AV294" s="4"/>
      <c r="BA294" s="4"/>
    </row>
    <row r="295" spans="8:53" s="1" customFormat="1" ht="53.45" customHeight="1">
      <c r="H295" s="4"/>
      <c r="M295" s="4"/>
      <c r="R295" s="4"/>
      <c r="W295" s="4"/>
      <c r="AB295" s="4"/>
      <c r="AG295" s="4"/>
      <c r="AL295" s="4"/>
      <c r="AQ295" s="4"/>
      <c r="AV295" s="4"/>
      <c r="BA295" s="4"/>
    </row>
    <row r="296" spans="8:53" s="1" customFormat="1" ht="53.45" customHeight="1">
      <c r="H296" s="4"/>
      <c r="M296" s="4"/>
      <c r="R296" s="4"/>
      <c r="W296" s="4"/>
      <c r="AB296" s="4"/>
      <c r="AG296" s="4"/>
      <c r="AL296" s="4"/>
      <c r="AQ296" s="4"/>
      <c r="AV296" s="4"/>
      <c r="BA296" s="4"/>
    </row>
    <row r="297" spans="8:53" s="1" customFormat="1" ht="53.45" customHeight="1">
      <c r="H297" s="4"/>
      <c r="M297" s="4"/>
      <c r="R297" s="4"/>
      <c r="W297" s="4"/>
      <c r="AB297" s="4"/>
      <c r="AG297" s="4"/>
      <c r="AL297" s="4"/>
      <c r="AQ297" s="4"/>
      <c r="AV297" s="4"/>
      <c r="BA297" s="4"/>
    </row>
    <row r="298" spans="8:53" s="1" customFormat="1" ht="53.45" customHeight="1">
      <c r="H298" s="4"/>
      <c r="M298" s="4"/>
      <c r="R298" s="4"/>
      <c r="W298" s="4"/>
      <c r="AB298" s="4"/>
      <c r="AG298" s="4"/>
      <c r="AL298" s="4"/>
      <c r="AQ298" s="4"/>
      <c r="AV298" s="4"/>
      <c r="BA298" s="4"/>
    </row>
    <row r="299" spans="8:53" s="1" customFormat="1" ht="53.45" customHeight="1">
      <c r="H299" s="4"/>
      <c r="M299" s="4"/>
      <c r="R299" s="4"/>
      <c r="W299" s="4"/>
      <c r="AB299" s="4"/>
      <c r="AG299" s="4"/>
      <c r="AL299" s="4"/>
      <c r="AQ299" s="4"/>
      <c r="AV299" s="4"/>
      <c r="BA299" s="4"/>
    </row>
    <row r="300" spans="8:53" s="1" customFormat="1" ht="53.45" customHeight="1">
      <c r="H300" s="4"/>
      <c r="M300" s="4"/>
      <c r="R300" s="4"/>
      <c r="W300" s="4"/>
      <c r="AB300" s="4"/>
      <c r="AG300" s="4"/>
      <c r="AL300" s="4"/>
      <c r="AQ300" s="4"/>
      <c r="AV300" s="4"/>
      <c r="BA300" s="4"/>
    </row>
    <row r="301" spans="8:53" s="1" customFormat="1" ht="53.45" customHeight="1">
      <c r="H301" s="4"/>
      <c r="M301" s="4"/>
      <c r="R301" s="4"/>
      <c r="W301" s="4"/>
      <c r="AB301" s="4"/>
      <c r="AG301" s="4"/>
      <c r="AL301" s="4"/>
      <c r="AQ301" s="4"/>
      <c r="AV301" s="4"/>
      <c r="BA301" s="4"/>
    </row>
    <row r="302" spans="8:53" s="1" customFormat="1" ht="53.45" customHeight="1">
      <c r="H302" s="4"/>
      <c r="M302" s="4"/>
      <c r="R302" s="4"/>
      <c r="W302" s="4"/>
      <c r="AB302" s="4"/>
      <c r="AG302" s="4"/>
      <c r="AL302" s="4"/>
      <c r="AQ302" s="4"/>
      <c r="AV302" s="4"/>
      <c r="BA302" s="4"/>
    </row>
    <row r="303" spans="8:53" s="1" customFormat="1" ht="53.45" customHeight="1">
      <c r="H303" s="4"/>
      <c r="M303" s="4"/>
      <c r="R303" s="4"/>
      <c r="W303" s="4"/>
      <c r="AB303" s="4"/>
      <c r="AG303" s="4"/>
      <c r="AL303" s="4"/>
      <c r="AQ303" s="4"/>
      <c r="AV303" s="4"/>
      <c r="BA303" s="4"/>
    </row>
    <row r="304" spans="8:53" s="1" customFormat="1" ht="53.45" customHeight="1">
      <c r="H304" s="4"/>
      <c r="M304" s="4"/>
      <c r="R304" s="4"/>
      <c r="W304" s="4"/>
      <c r="AB304" s="4"/>
      <c r="AG304" s="4"/>
      <c r="AL304" s="4"/>
      <c r="AQ304" s="4"/>
      <c r="AV304" s="4"/>
      <c r="BA304" s="4"/>
    </row>
    <row r="305" spans="8:53" s="1" customFormat="1" ht="53.45" customHeight="1">
      <c r="H305" s="4"/>
      <c r="M305" s="4"/>
      <c r="R305" s="4"/>
      <c r="W305" s="4"/>
      <c r="AB305" s="4"/>
      <c r="AG305" s="4"/>
      <c r="AL305" s="4"/>
      <c r="AQ305" s="4"/>
      <c r="AV305" s="4"/>
      <c r="BA305" s="4"/>
    </row>
    <row r="306" spans="8:53" s="1" customFormat="1" ht="53.45" customHeight="1">
      <c r="H306" s="4"/>
      <c r="M306" s="4"/>
      <c r="R306" s="4"/>
      <c r="W306" s="4"/>
      <c r="AB306" s="4"/>
      <c r="AG306" s="4"/>
      <c r="AL306" s="4"/>
      <c r="AQ306" s="4"/>
      <c r="AV306" s="4"/>
      <c r="BA306" s="4"/>
    </row>
    <row r="307" spans="8:53" s="1" customFormat="1" ht="53.45" customHeight="1">
      <c r="H307" s="4"/>
      <c r="M307" s="4"/>
      <c r="R307" s="4"/>
      <c r="W307" s="4"/>
      <c r="AB307" s="4"/>
      <c r="AG307" s="4"/>
      <c r="AL307" s="4"/>
      <c r="AQ307" s="4"/>
      <c r="AV307" s="4"/>
      <c r="BA307" s="4"/>
    </row>
    <row r="308" spans="8:53" s="1" customFormat="1" ht="53.45" customHeight="1">
      <c r="H308" s="4"/>
      <c r="M308" s="4"/>
      <c r="R308" s="4"/>
      <c r="W308" s="4"/>
      <c r="AB308" s="4"/>
      <c r="AG308" s="4"/>
      <c r="AL308" s="4"/>
      <c r="AQ308" s="4"/>
      <c r="AV308" s="4"/>
      <c r="BA308" s="4"/>
    </row>
    <row r="309" spans="8:53" s="1" customFormat="1" ht="53.45" customHeight="1">
      <c r="H309" s="4"/>
      <c r="M309" s="4"/>
      <c r="R309" s="4"/>
      <c r="W309" s="4"/>
      <c r="AB309" s="4"/>
      <c r="AG309" s="4"/>
      <c r="AL309" s="4"/>
      <c r="AQ309" s="4"/>
      <c r="AV309" s="4"/>
      <c r="BA309" s="4"/>
    </row>
    <row r="310" spans="8:53" s="1" customFormat="1" ht="53.45" customHeight="1">
      <c r="H310" s="4"/>
      <c r="M310" s="4"/>
      <c r="R310" s="4"/>
      <c r="W310" s="4"/>
      <c r="AB310" s="4"/>
      <c r="AG310" s="4"/>
      <c r="AL310" s="4"/>
      <c r="AQ310" s="4"/>
      <c r="AV310" s="4"/>
      <c r="BA310" s="4"/>
    </row>
    <row r="311" spans="8:53" s="1" customFormat="1" ht="53.45" customHeight="1">
      <c r="H311" s="4"/>
      <c r="M311" s="4"/>
      <c r="R311" s="4"/>
      <c r="W311" s="4"/>
      <c r="AB311" s="4"/>
      <c r="AG311" s="4"/>
      <c r="AL311" s="4"/>
      <c r="AQ311" s="4"/>
      <c r="AV311" s="4"/>
      <c r="BA311" s="4"/>
    </row>
    <row r="312" spans="8:53" s="1" customFormat="1" ht="53.45" customHeight="1">
      <c r="H312" s="4"/>
      <c r="M312" s="4"/>
      <c r="R312" s="4"/>
      <c r="W312" s="4"/>
      <c r="AB312" s="4"/>
      <c r="AG312" s="4"/>
      <c r="AL312" s="4"/>
      <c r="AQ312" s="4"/>
      <c r="AV312" s="4"/>
      <c r="BA312" s="4"/>
    </row>
    <row r="313" spans="8:53" s="1" customFormat="1" ht="53.45" customHeight="1">
      <c r="H313" s="4"/>
      <c r="M313" s="4"/>
      <c r="R313" s="4"/>
      <c r="W313" s="4"/>
      <c r="AB313" s="4"/>
      <c r="AG313" s="4"/>
      <c r="AL313" s="4"/>
      <c r="AQ313" s="4"/>
      <c r="AV313" s="4"/>
      <c r="BA313" s="4"/>
    </row>
    <row r="314" spans="8:53" s="1" customFormat="1" ht="53.45" customHeight="1">
      <c r="H314" s="4"/>
      <c r="M314" s="4"/>
      <c r="R314" s="4"/>
      <c r="W314" s="4"/>
      <c r="AB314" s="4"/>
      <c r="AG314" s="4"/>
      <c r="AL314" s="4"/>
      <c r="AQ314" s="4"/>
      <c r="AV314" s="4"/>
      <c r="BA314" s="4"/>
    </row>
    <row r="315" spans="8:53" s="1" customFormat="1" ht="53.45" customHeight="1">
      <c r="H315" s="4"/>
      <c r="M315" s="4"/>
      <c r="R315" s="4"/>
      <c r="W315" s="4"/>
      <c r="AB315" s="4"/>
      <c r="AG315" s="4"/>
      <c r="AL315" s="4"/>
      <c r="AQ315" s="4"/>
      <c r="AV315" s="4"/>
      <c r="BA315" s="4"/>
    </row>
    <row r="316" spans="8:53" s="1" customFormat="1" ht="53.45" customHeight="1">
      <c r="H316" s="4"/>
      <c r="M316" s="4"/>
      <c r="R316" s="4"/>
      <c r="W316" s="4"/>
      <c r="AB316" s="4"/>
      <c r="AG316" s="4"/>
      <c r="AL316" s="4"/>
      <c r="AQ316" s="4"/>
      <c r="AV316" s="4"/>
      <c r="BA316" s="4"/>
    </row>
    <row r="317" spans="8:53" s="1" customFormat="1" ht="53.45" customHeight="1">
      <c r="H317" s="4"/>
      <c r="M317" s="4"/>
      <c r="R317" s="4"/>
      <c r="W317" s="4"/>
      <c r="AB317" s="4"/>
      <c r="AG317" s="4"/>
      <c r="AL317" s="4"/>
      <c r="AQ317" s="4"/>
      <c r="AV317" s="4"/>
      <c r="BA317" s="4"/>
    </row>
    <row r="318" spans="8:53" s="1" customFormat="1" ht="53.45" customHeight="1">
      <c r="H318" s="4"/>
      <c r="M318" s="4"/>
      <c r="R318" s="4"/>
      <c r="W318" s="4"/>
      <c r="AB318" s="4"/>
      <c r="AG318" s="4"/>
      <c r="AL318" s="4"/>
      <c r="AQ318" s="4"/>
      <c r="AV318" s="4"/>
      <c r="BA318" s="4"/>
    </row>
    <row r="319" spans="8:53" s="1" customFormat="1" ht="53.45" customHeight="1">
      <c r="H319" s="4"/>
      <c r="M319" s="4"/>
      <c r="R319" s="4"/>
      <c r="W319" s="4"/>
      <c r="AB319" s="4"/>
      <c r="AG319" s="4"/>
      <c r="AL319" s="4"/>
      <c r="AQ319" s="4"/>
      <c r="AV319" s="4"/>
      <c r="BA319" s="4"/>
    </row>
    <row r="320" spans="8:53" s="1" customFormat="1" ht="53.45" customHeight="1">
      <c r="H320" s="4"/>
      <c r="M320" s="4"/>
      <c r="R320" s="4"/>
      <c r="W320" s="4"/>
      <c r="AB320" s="4"/>
      <c r="AG320" s="4"/>
      <c r="AL320" s="4"/>
      <c r="AQ320" s="4"/>
      <c r="AV320" s="4"/>
      <c r="BA320" s="4"/>
    </row>
    <row r="321" spans="8:53" s="1" customFormat="1" ht="53.45" customHeight="1">
      <c r="H321" s="4"/>
      <c r="M321" s="4"/>
      <c r="R321" s="4"/>
      <c r="W321" s="4"/>
      <c r="AB321" s="4"/>
      <c r="AG321" s="4"/>
      <c r="AL321" s="4"/>
      <c r="AQ321" s="4"/>
      <c r="AV321" s="4"/>
      <c r="BA321" s="4"/>
    </row>
    <row r="322" spans="8:53" s="1" customFormat="1" ht="53.45" customHeight="1">
      <c r="H322" s="4"/>
      <c r="M322" s="4"/>
      <c r="R322" s="4"/>
      <c r="W322" s="4"/>
      <c r="AB322" s="4"/>
      <c r="AG322" s="4"/>
      <c r="AL322" s="4"/>
      <c r="AQ322" s="4"/>
      <c r="AV322" s="4"/>
      <c r="BA322" s="4"/>
    </row>
    <row r="323" spans="8:53" s="1" customFormat="1" ht="53.45" customHeight="1">
      <c r="H323" s="4"/>
      <c r="M323" s="4"/>
      <c r="R323" s="4"/>
      <c r="W323" s="4"/>
      <c r="AB323" s="4"/>
      <c r="AG323" s="4"/>
      <c r="AL323" s="4"/>
      <c r="AQ323" s="4"/>
      <c r="AV323" s="4"/>
      <c r="BA323" s="4"/>
    </row>
    <row r="324" spans="8:53" s="1" customFormat="1" ht="53.45" customHeight="1">
      <c r="H324" s="4"/>
      <c r="M324" s="4"/>
      <c r="R324" s="4"/>
      <c r="W324" s="4"/>
      <c r="AB324" s="4"/>
      <c r="AG324" s="4"/>
      <c r="AL324" s="4"/>
      <c r="AQ324" s="4"/>
      <c r="AV324" s="4"/>
      <c r="BA324" s="4"/>
    </row>
    <row r="325" spans="8:53" s="1" customFormat="1" ht="53.45" customHeight="1">
      <c r="H325" s="4"/>
      <c r="M325" s="4"/>
      <c r="R325" s="4"/>
      <c r="W325" s="4"/>
      <c r="AB325" s="4"/>
      <c r="AG325" s="4"/>
      <c r="AL325" s="4"/>
      <c r="AQ325" s="4"/>
      <c r="AV325" s="4"/>
      <c r="BA325" s="4"/>
    </row>
    <row r="326" spans="8:53" s="1" customFormat="1" ht="53.45" customHeight="1">
      <c r="H326" s="4"/>
      <c r="M326" s="4"/>
      <c r="R326" s="4"/>
      <c r="W326" s="4"/>
      <c r="AB326" s="4"/>
      <c r="AG326" s="4"/>
      <c r="AL326" s="4"/>
      <c r="AQ326" s="4"/>
      <c r="AV326" s="4"/>
      <c r="BA326" s="4"/>
    </row>
    <row r="327" spans="8:53" s="1" customFormat="1" ht="53.45" customHeight="1">
      <c r="H327" s="4"/>
      <c r="M327" s="4"/>
      <c r="R327" s="4"/>
      <c r="W327" s="4"/>
      <c r="AB327" s="4"/>
      <c r="AG327" s="4"/>
      <c r="AL327" s="4"/>
      <c r="AQ327" s="4"/>
      <c r="AV327" s="4"/>
      <c r="BA327" s="4"/>
    </row>
    <row r="328" spans="8:53" s="1" customFormat="1" ht="53.45" customHeight="1">
      <c r="H328" s="4"/>
      <c r="M328" s="4"/>
      <c r="R328" s="4"/>
      <c r="W328" s="4"/>
      <c r="AB328" s="4"/>
      <c r="AG328" s="4"/>
      <c r="AL328" s="4"/>
      <c r="AQ328" s="4"/>
      <c r="AV328" s="4"/>
      <c r="BA328" s="4"/>
    </row>
    <row r="329" spans="8:53" s="1" customFormat="1" ht="53.45" customHeight="1">
      <c r="H329" s="4"/>
      <c r="M329" s="4"/>
      <c r="R329" s="4"/>
      <c r="W329" s="4"/>
      <c r="AB329" s="4"/>
      <c r="AG329" s="4"/>
      <c r="AL329" s="4"/>
      <c r="AQ329" s="4"/>
      <c r="AV329" s="4"/>
      <c r="BA329" s="4"/>
    </row>
    <row r="330" spans="8:53" s="1" customFormat="1" ht="53.45" customHeight="1">
      <c r="H330" s="4"/>
      <c r="M330" s="4"/>
      <c r="R330" s="4"/>
      <c r="W330" s="4"/>
      <c r="AB330" s="4"/>
      <c r="AG330" s="4"/>
      <c r="AL330" s="4"/>
      <c r="AQ330" s="4"/>
      <c r="AV330" s="4"/>
      <c r="BA330" s="4"/>
    </row>
    <row r="331" spans="8:53" s="1" customFormat="1" ht="53.45" customHeight="1">
      <c r="H331" s="4"/>
      <c r="M331" s="4"/>
      <c r="R331" s="4"/>
      <c r="W331" s="4"/>
      <c r="AB331" s="4"/>
      <c r="AG331" s="4"/>
      <c r="AL331" s="4"/>
      <c r="AQ331" s="4"/>
      <c r="AV331" s="4"/>
      <c r="BA331" s="4"/>
    </row>
    <row r="332" spans="8:53" s="1" customFormat="1" ht="53.45" customHeight="1">
      <c r="H332" s="4"/>
      <c r="M332" s="4"/>
      <c r="R332" s="4"/>
      <c r="W332" s="4"/>
      <c r="AB332" s="4"/>
      <c r="AG332" s="4"/>
      <c r="AL332" s="4"/>
      <c r="AQ332" s="4"/>
      <c r="AV332" s="4"/>
      <c r="BA332" s="4"/>
    </row>
    <row r="333" spans="8:53" s="1" customFormat="1" ht="53.45" customHeight="1">
      <c r="H333" s="4"/>
      <c r="M333" s="4"/>
      <c r="R333" s="4"/>
      <c r="W333" s="4"/>
      <c r="AB333" s="4"/>
      <c r="AG333" s="4"/>
      <c r="AL333" s="4"/>
      <c r="AQ333" s="4"/>
      <c r="AV333" s="4"/>
      <c r="BA333" s="4"/>
    </row>
    <row r="334" spans="8:53" s="1" customFormat="1" ht="53.45" customHeight="1">
      <c r="H334" s="4"/>
      <c r="M334" s="4"/>
      <c r="R334" s="4"/>
      <c r="W334" s="4"/>
      <c r="AB334" s="4"/>
      <c r="AG334" s="4"/>
      <c r="AL334" s="4"/>
      <c r="AQ334" s="4"/>
      <c r="AV334" s="4"/>
      <c r="BA334" s="4"/>
    </row>
    <row r="335" spans="8:53" s="1" customFormat="1" ht="53.45" customHeight="1">
      <c r="H335" s="4"/>
      <c r="M335" s="4"/>
      <c r="R335" s="4"/>
      <c r="W335" s="4"/>
      <c r="AB335" s="4"/>
      <c r="AG335" s="4"/>
      <c r="AL335" s="4"/>
      <c r="AQ335" s="4"/>
      <c r="AV335" s="4"/>
      <c r="BA335" s="4"/>
    </row>
    <row r="336" spans="8:53" s="1" customFormat="1" ht="53.45" customHeight="1">
      <c r="H336" s="4"/>
      <c r="M336" s="4"/>
      <c r="R336" s="4"/>
      <c r="W336" s="4"/>
      <c r="AB336" s="4"/>
      <c r="AG336" s="4"/>
      <c r="AL336" s="4"/>
      <c r="AQ336" s="4"/>
      <c r="AV336" s="4"/>
      <c r="BA336" s="4"/>
    </row>
    <row r="337" spans="8:53" s="1" customFormat="1" ht="53.45" customHeight="1">
      <c r="H337" s="4"/>
      <c r="M337" s="4"/>
      <c r="R337" s="4"/>
      <c r="W337" s="4"/>
      <c r="AB337" s="4"/>
      <c r="AG337" s="4"/>
      <c r="AL337" s="4"/>
      <c r="AQ337" s="4"/>
      <c r="AV337" s="4"/>
      <c r="BA337" s="4"/>
    </row>
    <row r="338" spans="8:53" s="1" customFormat="1" ht="53.45" customHeight="1">
      <c r="H338" s="4"/>
      <c r="M338" s="4"/>
      <c r="R338" s="4"/>
      <c r="W338" s="4"/>
      <c r="AB338" s="4"/>
      <c r="AG338" s="4"/>
      <c r="AL338" s="4"/>
      <c r="AQ338" s="4"/>
      <c r="AV338" s="4"/>
      <c r="BA338" s="4"/>
    </row>
    <row r="339" spans="8:53" s="1" customFormat="1" ht="53.45" customHeight="1">
      <c r="H339" s="4"/>
      <c r="M339" s="4"/>
      <c r="R339" s="4"/>
      <c r="W339" s="4"/>
      <c r="AB339" s="4"/>
      <c r="AG339" s="4"/>
      <c r="AL339" s="4"/>
      <c r="AQ339" s="4"/>
      <c r="AV339" s="4"/>
      <c r="BA339" s="4"/>
    </row>
    <row r="340" spans="8:53" s="1" customFormat="1" ht="53.45" customHeight="1">
      <c r="H340" s="4"/>
      <c r="M340" s="4"/>
      <c r="R340" s="4"/>
      <c r="W340" s="4"/>
      <c r="AB340" s="4"/>
      <c r="AG340" s="4"/>
      <c r="AL340" s="4"/>
      <c r="AQ340" s="4"/>
      <c r="AV340" s="4"/>
      <c r="BA340" s="4"/>
    </row>
    <row r="341" spans="8:53" s="1" customFormat="1" ht="53.45" customHeight="1">
      <c r="H341" s="4"/>
      <c r="M341" s="4"/>
      <c r="R341" s="4"/>
      <c r="W341" s="4"/>
      <c r="AB341" s="4"/>
      <c r="AG341" s="4"/>
      <c r="AL341" s="4"/>
      <c r="AQ341" s="4"/>
      <c r="AV341" s="4"/>
      <c r="BA341" s="4"/>
    </row>
    <row r="342" spans="8:53" s="1" customFormat="1" ht="53.45" customHeight="1">
      <c r="H342" s="4"/>
      <c r="M342" s="4"/>
      <c r="R342" s="4"/>
      <c r="W342" s="4"/>
      <c r="AB342" s="4"/>
      <c r="AG342" s="4"/>
      <c r="AL342" s="4"/>
      <c r="AQ342" s="4"/>
      <c r="AV342" s="4"/>
      <c r="BA342" s="4"/>
    </row>
    <row r="343" spans="8:53" s="1" customFormat="1" ht="53.45" customHeight="1">
      <c r="H343" s="4"/>
      <c r="M343" s="4"/>
      <c r="R343" s="4"/>
      <c r="W343" s="4"/>
      <c r="AB343" s="4"/>
      <c r="AG343" s="4"/>
      <c r="AL343" s="4"/>
      <c r="AQ343" s="4"/>
      <c r="AV343" s="4"/>
      <c r="BA343" s="4"/>
    </row>
    <row r="344" spans="8:53" s="1" customFormat="1" ht="53.45" customHeight="1">
      <c r="H344" s="4"/>
      <c r="M344" s="4"/>
      <c r="R344" s="4"/>
      <c r="W344" s="4"/>
      <c r="AB344" s="4"/>
      <c r="AG344" s="4"/>
      <c r="AL344" s="4"/>
      <c r="AQ344" s="4"/>
      <c r="AV344" s="4"/>
      <c r="BA344" s="4"/>
    </row>
    <row r="345" spans="8:53" s="1" customFormat="1" ht="53.45" customHeight="1">
      <c r="H345" s="4"/>
      <c r="M345" s="4"/>
      <c r="R345" s="4"/>
      <c r="W345" s="4"/>
      <c r="AB345" s="4"/>
      <c r="AG345" s="4"/>
      <c r="AL345" s="4"/>
      <c r="AQ345" s="4"/>
      <c r="AV345" s="4"/>
      <c r="BA345" s="4"/>
    </row>
    <row r="346" spans="8:53" s="1" customFormat="1" ht="53.45" customHeight="1">
      <c r="H346" s="4"/>
      <c r="M346" s="4"/>
      <c r="R346" s="4"/>
      <c r="W346" s="4"/>
      <c r="AB346" s="4"/>
      <c r="AG346" s="4"/>
      <c r="AL346" s="4"/>
      <c r="AQ346" s="4"/>
      <c r="AV346" s="4"/>
      <c r="BA346" s="4"/>
    </row>
    <row r="347" spans="8:53" s="1" customFormat="1" ht="53.45" customHeight="1">
      <c r="H347" s="4"/>
      <c r="M347" s="4"/>
      <c r="R347" s="4"/>
      <c r="W347" s="4"/>
      <c r="AB347" s="4"/>
      <c r="AG347" s="4"/>
      <c r="AL347" s="4"/>
      <c r="AQ347" s="4"/>
      <c r="AV347" s="4"/>
      <c r="BA347" s="4"/>
    </row>
    <row r="348" spans="8:53" s="1" customFormat="1" ht="53.45" customHeight="1">
      <c r="H348" s="4"/>
      <c r="M348" s="4"/>
      <c r="R348" s="4"/>
      <c r="W348" s="4"/>
      <c r="AB348" s="4"/>
      <c r="AG348" s="4"/>
      <c r="AL348" s="4"/>
      <c r="AQ348" s="4"/>
      <c r="AV348" s="4"/>
      <c r="BA348" s="4"/>
    </row>
    <row r="349" spans="8:53" s="1" customFormat="1" ht="53.45" customHeight="1">
      <c r="H349" s="4"/>
      <c r="M349" s="4"/>
      <c r="R349" s="4"/>
      <c r="W349" s="4"/>
      <c r="AB349" s="4"/>
      <c r="AG349" s="4"/>
      <c r="AL349" s="4"/>
      <c r="AQ349" s="4"/>
      <c r="AV349" s="4"/>
      <c r="BA349" s="4"/>
    </row>
    <row r="350" spans="8:53" s="1" customFormat="1" ht="53.45" customHeight="1">
      <c r="H350" s="4"/>
      <c r="M350" s="4"/>
      <c r="R350" s="4"/>
      <c r="W350" s="4"/>
      <c r="AB350" s="4"/>
      <c r="AG350" s="4"/>
      <c r="AL350" s="4"/>
      <c r="AQ350" s="4"/>
      <c r="AV350" s="4"/>
      <c r="BA350" s="4"/>
    </row>
    <row r="351" spans="8:53" s="1" customFormat="1" ht="53.45" customHeight="1">
      <c r="H351" s="4"/>
      <c r="M351" s="4"/>
      <c r="R351" s="4"/>
      <c r="W351" s="4"/>
      <c r="AB351" s="4"/>
      <c r="AG351" s="4"/>
      <c r="AL351" s="4"/>
      <c r="AQ351" s="4"/>
      <c r="AV351" s="4"/>
      <c r="BA351" s="4"/>
    </row>
    <row r="352" spans="8:53" s="1" customFormat="1" ht="53.45" customHeight="1">
      <c r="H352" s="4"/>
      <c r="M352" s="4"/>
      <c r="R352" s="4"/>
      <c r="W352" s="4"/>
      <c r="AB352" s="4"/>
      <c r="AG352" s="4"/>
      <c r="AL352" s="4"/>
      <c r="AQ352" s="4"/>
      <c r="AV352" s="4"/>
      <c r="BA352" s="4"/>
    </row>
    <row r="353" spans="8:53" s="1" customFormat="1" ht="53.45" customHeight="1">
      <c r="H353" s="4"/>
      <c r="M353" s="4"/>
      <c r="R353" s="4"/>
      <c r="W353" s="4"/>
      <c r="AB353" s="4"/>
      <c r="AG353" s="4"/>
      <c r="AL353" s="4"/>
      <c r="AQ353" s="4"/>
      <c r="AV353" s="4"/>
      <c r="BA353" s="4"/>
    </row>
    <row r="354" spans="8:53" s="1" customFormat="1" ht="53.45" customHeight="1">
      <c r="H354" s="4"/>
      <c r="M354" s="4"/>
      <c r="R354" s="4"/>
      <c r="W354" s="4"/>
      <c r="AB354" s="4"/>
      <c r="AG354" s="4"/>
      <c r="AL354" s="4"/>
      <c r="AQ354" s="4"/>
      <c r="AV354" s="4"/>
      <c r="BA354" s="4"/>
    </row>
    <row r="355" spans="8:53" s="1" customFormat="1" ht="53.45" customHeight="1">
      <c r="H355" s="4"/>
      <c r="M355" s="4"/>
      <c r="R355" s="4"/>
      <c r="W355" s="4"/>
      <c r="AB355" s="4"/>
      <c r="AG355" s="4"/>
      <c r="AL355" s="4"/>
      <c r="AQ355" s="4"/>
      <c r="AV355" s="4"/>
      <c r="BA355" s="4"/>
    </row>
    <row r="356" spans="8:53" s="1" customFormat="1" ht="53.45" customHeight="1">
      <c r="H356" s="4"/>
      <c r="M356" s="4"/>
      <c r="R356" s="4"/>
      <c r="W356" s="4"/>
      <c r="AB356" s="4"/>
      <c r="AG356" s="4"/>
      <c r="AL356" s="4"/>
      <c r="AQ356" s="4"/>
      <c r="AV356" s="4"/>
      <c r="BA356" s="4"/>
    </row>
    <row r="357" spans="8:53" s="1" customFormat="1" ht="53.45" customHeight="1">
      <c r="H357" s="4"/>
      <c r="M357" s="4"/>
      <c r="R357" s="4"/>
      <c r="W357" s="4"/>
      <c r="AB357" s="4"/>
      <c r="AG357" s="4"/>
      <c r="AL357" s="4"/>
      <c r="AQ357" s="4"/>
      <c r="AV357" s="4"/>
      <c r="BA357" s="4"/>
    </row>
    <row r="358" spans="8:53" s="1" customFormat="1" ht="53.45" customHeight="1">
      <c r="H358" s="4"/>
      <c r="M358" s="4"/>
      <c r="R358" s="4"/>
      <c r="W358" s="4"/>
      <c r="AB358" s="4"/>
      <c r="AG358" s="4"/>
      <c r="AL358" s="4"/>
      <c r="AQ358" s="4"/>
      <c r="AV358" s="4"/>
      <c r="BA358" s="4"/>
    </row>
    <row r="359" spans="8:53" s="1" customFormat="1" ht="53.45" customHeight="1">
      <c r="H359" s="4"/>
      <c r="M359" s="4"/>
      <c r="R359" s="4"/>
      <c r="W359" s="4"/>
      <c r="AB359" s="4"/>
      <c r="AG359" s="4"/>
      <c r="AL359" s="4"/>
      <c r="AQ359" s="4"/>
      <c r="AV359" s="4"/>
      <c r="BA359" s="4"/>
    </row>
    <row r="360" spans="8:53" s="1" customFormat="1" ht="53.45" customHeight="1">
      <c r="H360" s="4"/>
      <c r="M360" s="4"/>
      <c r="R360" s="4"/>
      <c r="W360" s="4"/>
      <c r="AB360" s="4"/>
      <c r="AG360" s="4"/>
      <c r="AL360" s="4"/>
      <c r="AQ360" s="4"/>
      <c r="AV360" s="4"/>
      <c r="BA360" s="4"/>
    </row>
    <row r="361" spans="8:53" s="1" customFormat="1" ht="53.45" customHeight="1">
      <c r="H361" s="4"/>
      <c r="M361" s="4"/>
      <c r="R361" s="4"/>
      <c r="W361" s="4"/>
      <c r="AB361" s="4"/>
      <c r="AG361" s="4"/>
      <c r="AL361" s="4"/>
      <c r="AQ361" s="4"/>
      <c r="AV361" s="4"/>
      <c r="BA361" s="4"/>
    </row>
    <row r="362" spans="8:53" s="1" customFormat="1" ht="53.45" customHeight="1">
      <c r="H362" s="4"/>
      <c r="M362" s="4"/>
      <c r="R362" s="4"/>
      <c r="W362" s="4"/>
      <c r="AB362" s="4"/>
      <c r="AG362" s="4"/>
      <c r="AL362" s="4"/>
      <c r="AQ362" s="4"/>
      <c r="AV362" s="4"/>
      <c r="BA362" s="4"/>
    </row>
    <row r="363" spans="8:53" s="1" customFormat="1" ht="53.45" customHeight="1">
      <c r="H363" s="4"/>
      <c r="M363" s="4"/>
      <c r="R363" s="4"/>
      <c r="W363" s="4"/>
      <c r="AB363" s="4"/>
      <c r="AG363" s="4"/>
      <c r="AL363" s="4"/>
      <c r="AQ363" s="4"/>
      <c r="AV363" s="4"/>
      <c r="BA363" s="4"/>
    </row>
    <row r="364" spans="8:53" s="1" customFormat="1" ht="53.45" customHeight="1">
      <c r="H364" s="4"/>
      <c r="M364" s="4"/>
      <c r="R364" s="4"/>
      <c r="W364" s="4"/>
      <c r="AB364" s="4"/>
      <c r="AG364" s="4"/>
      <c r="AL364" s="4"/>
      <c r="AQ364" s="4"/>
      <c r="AV364" s="4"/>
      <c r="BA364" s="4"/>
    </row>
    <row r="365" spans="8:53" s="1" customFormat="1" ht="53.45" customHeight="1">
      <c r="H365" s="4"/>
      <c r="M365" s="4"/>
      <c r="R365" s="4"/>
      <c r="W365" s="4"/>
      <c r="AB365" s="4"/>
      <c r="AG365" s="4"/>
      <c r="AL365" s="4"/>
      <c r="AQ365" s="4"/>
      <c r="AV365" s="4"/>
      <c r="BA365" s="4"/>
    </row>
    <row r="366" spans="8:53" s="1" customFormat="1" ht="53.45" customHeight="1">
      <c r="H366" s="4"/>
      <c r="M366" s="4"/>
      <c r="R366" s="4"/>
      <c r="W366" s="4"/>
      <c r="AB366" s="4"/>
      <c r="AG366" s="4"/>
      <c r="AL366" s="4"/>
      <c r="AQ366" s="4"/>
      <c r="AV366" s="4"/>
      <c r="BA366" s="4"/>
    </row>
    <row r="367" spans="8:53" s="1" customFormat="1" ht="53.45" customHeight="1">
      <c r="H367" s="4"/>
      <c r="M367" s="4"/>
      <c r="R367" s="4"/>
      <c r="W367" s="4"/>
      <c r="AB367" s="4"/>
      <c r="AG367" s="4"/>
      <c r="AL367" s="4"/>
      <c r="AQ367" s="4"/>
      <c r="AV367" s="4"/>
      <c r="BA367" s="4"/>
    </row>
    <row r="368" spans="8:53" s="1" customFormat="1" ht="53.45" customHeight="1">
      <c r="H368" s="4"/>
      <c r="M368" s="4"/>
      <c r="R368" s="4"/>
      <c r="W368" s="4"/>
      <c r="AB368" s="4"/>
      <c r="AG368" s="4"/>
      <c r="AL368" s="4"/>
      <c r="AQ368" s="4"/>
      <c r="AV368" s="4"/>
      <c r="BA368" s="4"/>
    </row>
    <row r="369" spans="8:53" s="1" customFormat="1" ht="53.45" customHeight="1">
      <c r="H369" s="4"/>
      <c r="M369" s="4"/>
      <c r="R369" s="4"/>
      <c r="W369" s="4"/>
      <c r="AB369" s="4"/>
      <c r="AG369" s="4"/>
      <c r="AL369" s="4"/>
      <c r="AQ369" s="4"/>
      <c r="AV369" s="4"/>
      <c r="BA369" s="4"/>
    </row>
    <row r="370" spans="8:53" s="1" customFormat="1" ht="53.45" customHeight="1">
      <c r="H370" s="4"/>
      <c r="M370" s="4"/>
      <c r="R370" s="4"/>
      <c r="W370" s="4"/>
      <c r="AB370" s="4"/>
      <c r="AG370" s="4"/>
      <c r="AL370" s="4"/>
      <c r="AQ370" s="4"/>
      <c r="AV370" s="4"/>
      <c r="BA370" s="4"/>
    </row>
    <row r="371" spans="8:53" s="1" customFormat="1" ht="53.45" customHeight="1">
      <c r="H371" s="4"/>
      <c r="M371" s="4"/>
      <c r="R371" s="4"/>
      <c r="W371" s="4"/>
      <c r="AB371" s="4"/>
      <c r="AG371" s="4"/>
      <c r="AL371" s="4"/>
      <c r="AQ371" s="4"/>
      <c r="AV371" s="4"/>
      <c r="BA371" s="4"/>
    </row>
    <row r="372" spans="8:53" s="1" customFormat="1" ht="53.45" customHeight="1">
      <c r="H372" s="4"/>
      <c r="M372" s="4"/>
      <c r="R372" s="4"/>
      <c r="W372" s="4"/>
      <c r="AB372" s="4"/>
      <c r="AG372" s="4"/>
      <c r="AL372" s="4"/>
      <c r="AQ372" s="4"/>
      <c r="AV372" s="4"/>
      <c r="BA372" s="4"/>
    </row>
    <row r="373" spans="8:53" s="1" customFormat="1" ht="53.45" customHeight="1">
      <c r="H373" s="4"/>
      <c r="M373" s="4"/>
      <c r="R373" s="4"/>
      <c r="W373" s="4"/>
      <c r="AB373" s="4"/>
      <c r="AG373" s="4"/>
      <c r="AL373" s="4"/>
      <c r="AQ373" s="4"/>
      <c r="AV373" s="4"/>
      <c r="BA373" s="4"/>
    </row>
    <row r="374" spans="8:53" s="1" customFormat="1" ht="53.45" customHeight="1">
      <c r="H374" s="4"/>
      <c r="M374" s="4"/>
      <c r="R374" s="4"/>
      <c r="W374" s="4"/>
      <c r="AB374" s="4"/>
      <c r="AG374" s="4"/>
      <c r="AL374" s="4"/>
      <c r="AQ374" s="4"/>
      <c r="AV374" s="4"/>
      <c r="BA374" s="4"/>
    </row>
    <row r="375" spans="8:53" s="1" customFormat="1" ht="53.45" customHeight="1">
      <c r="H375" s="4"/>
      <c r="M375" s="4"/>
      <c r="R375" s="4"/>
      <c r="W375" s="4"/>
      <c r="AB375" s="4"/>
      <c r="AG375" s="4"/>
      <c r="AL375" s="4"/>
      <c r="AQ375" s="4"/>
      <c r="AV375" s="4"/>
      <c r="BA375" s="4"/>
    </row>
    <row r="376" spans="8:53" s="1" customFormat="1" ht="53.45" customHeight="1">
      <c r="H376" s="4"/>
      <c r="M376" s="4"/>
      <c r="R376" s="4"/>
      <c r="W376" s="4"/>
      <c r="AB376" s="4"/>
      <c r="AG376" s="4"/>
      <c r="AL376" s="4"/>
      <c r="AQ376" s="4"/>
      <c r="AV376" s="4"/>
      <c r="BA376" s="4"/>
    </row>
    <row r="377" spans="8:53" s="1" customFormat="1" ht="53.45" customHeight="1">
      <c r="H377" s="4"/>
      <c r="M377" s="4"/>
      <c r="R377" s="4"/>
      <c r="W377" s="4"/>
      <c r="AB377" s="4"/>
      <c r="AG377" s="4"/>
      <c r="AL377" s="4"/>
      <c r="AQ377" s="4"/>
      <c r="AV377" s="4"/>
      <c r="BA377" s="4"/>
    </row>
    <row r="378" spans="8:53" s="1" customFormat="1" ht="53.45" customHeight="1">
      <c r="H378" s="4"/>
      <c r="M378" s="4"/>
      <c r="R378" s="4"/>
      <c r="W378" s="4"/>
      <c r="AB378" s="4"/>
      <c r="AG378" s="4"/>
      <c r="AL378" s="4"/>
      <c r="AQ378" s="4"/>
      <c r="AV378" s="4"/>
      <c r="BA378" s="4"/>
    </row>
    <row r="379" spans="8:53" s="1" customFormat="1" ht="53.45" customHeight="1">
      <c r="H379" s="4"/>
      <c r="M379" s="4"/>
      <c r="R379" s="4"/>
      <c r="W379" s="4"/>
      <c r="AB379" s="4"/>
      <c r="AG379" s="4"/>
      <c r="AL379" s="4"/>
      <c r="AQ379" s="4"/>
      <c r="AV379" s="4"/>
      <c r="BA379" s="4"/>
    </row>
    <row r="380" spans="8:53" s="1" customFormat="1" ht="53.45" customHeight="1">
      <c r="H380" s="4"/>
      <c r="M380" s="4"/>
      <c r="R380" s="4"/>
      <c r="W380" s="4"/>
      <c r="AB380" s="4"/>
      <c r="AG380" s="4"/>
      <c r="AL380" s="4"/>
      <c r="AQ380" s="4"/>
      <c r="AV380" s="4"/>
      <c r="BA380" s="4"/>
    </row>
    <row r="381" spans="8:53" s="1" customFormat="1" ht="53.45" customHeight="1">
      <c r="H381" s="4"/>
      <c r="M381" s="4"/>
      <c r="R381" s="4"/>
      <c r="W381" s="4"/>
      <c r="AB381" s="4"/>
      <c r="AG381" s="4"/>
      <c r="AL381" s="4"/>
      <c r="AQ381" s="4"/>
      <c r="AV381" s="4"/>
      <c r="BA381" s="4"/>
    </row>
    <row r="382" spans="8:53" s="1" customFormat="1" ht="53.45" customHeight="1">
      <c r="H382" s="4"/>
      <c r="M382" s="4"/>
      <c r="R382" s="4"/>
      <c r="W382" s="4"/>
      <c r="AB382" s="4"/>
      <c r="AG382" s="4"/>
      <c r="AL382" s="4"/>
      <c r="AQ382" s="4"/>
      <c r="AV382" s="4"/>
      <c r="BA382" s="4"/>
    </row>
    <row r="383" spans="8:53" s="1" customFormat="1" ht="53.45" customHeight="1">
      <c r="H383" s="4"/>
      <c r="M383" s="4"/>
      <c r="R383" s="4"/>
      <c r="W383" s="4"/>
      <c r="AB383" s="4"/>
      <c r="AG383" s="4"/>
      <c r="AL383" s="4"/>
      <c r="AQ383" s="4"/>
      <c r="AV383" s="4"/>
      <c r="BA383" s="4"/>
    </row>
    <row r="384" spans="8:53" s="1" customFormat="1" ht="53.45" customHeight="1">
      <c r="H384" s="4"/>
      <c r="M384" s="4"/>
      <c r="R384" s="4"/>
      <c r="W384" s="4"/>
      <c r="AB384" s="4"/>
      <c r="AG384" s="4"/>
      <c r="AL384" s="4"/>
      <c r="AQ384" s="4"/>
      <c r="AV384" s="4"/>
      <c r="BA384" s="4"/>
    </row>
    <row r="385" spans="8:53" s="1" customFormat="1" ht="53.45" customHeight="1">
      <c r="H385" s="4"/>
      <c r="M385" s="4"/>
      <c r="R385" s="4"/>
      <c r="W385" s="4"/>
      <c r="AB385" s="4"/>
      <c r="AG385" s="4"/>
      <c r="AL385" s="4"/>
      <c r="AQ385" s="4"/>
      <c r="AV385" s="4"/>
      <c r="BA385" s="4"/>
    </row>
    <row r="386" spans="8:53" s="1" customFormat="1" ht="53.45" customHeight="1">
      <c r="H386" s="4"/>
      <c r="M386" s="4"/>
      <c r="R386" s="4"/>
      <c r="W386" s="4"/>
      <c r="AB386" s="4"/>
      <c r="AG386" s="4"/>
      <c r="AL386" s="4"/>
      <c r="AQ386" s="4"/>
      <c r="AV386" s="4"/>
      <c r="BA386" s="4"/>
    </row>
    <row r="387" spans="8:53" s="1" customFormat="1" ht="53.45" customHeight="1">
      <c r="H387" s="4"/>
      <c r="M387" s="4"/>
      <c r="R387" s="4"/>
      <c r="W387" s="4"/>
      <c r="AB387" s="4"/>
      <c r="AG387" s="4"/>
      <c r="AL387" s="4"/>
      <c r="AQ387" s="4"/>
      <c r="AV387" s="4"/>
      <c r="BA387" s="4"/>
    </row>
    <row r="388" spans="8:53" s="1" customFormat="1" ht="53.45" customHeight="1">
      <c r="H388" s="4"/>
      <c r="M388" s="4"/>
      <c r="R388" s="4"/>
      <c r="W388" s="4"/>
      <c r="AB388" s="4"/>
      <c r="AG388" s="4"/>
      <c r="AL388" s="4"/>
      <c r="AQ388" s="4"/>
      <c r="AV388" s="4"/>
      <c r="BA388" s="4"/>
    </row>
    <row r="389" spans="8:53" s="1" customFormat="1" ht="53.45" customHeight="1">
      <c r="H389" s="4"/>
      <c r="M389" s="4"/>
      <c r="R389" s="4"/>
      <c r="W389" s="4"/>
      <c r="AB389" s="4"/>
      <c r="AG389" s="4"/>
      <c r="AL389" s="4"/>
      <c r="AQ389" s="4"/>
      <c r="AV389" s="4"/>
      <c r="BA389" s="4"/>
    </row>
    <row r="390" spans="8:53" s="1" customFormat="1" ht="53.45" customHeight="1">
      <c r="H390" s="4"/>
      <c r="M390" s="4"/>
      <c r="R390" s="4"/>
      <c r="W390" s="4"/>
      <c r="AB390" s="4"/>
      <c r="AG390" s="4"/>
      <c r="AL390" s="4"/>
      <c r="AQ390" s="4"/>
      <c r="AV390" s="4"/>
      <c r="BA390" s="4"/>
    </row>
    <row r="391" spans="8:53" s="1" customFormat="1" ht="53.45" customHeight="1">
      <c r="H391" s="4"/>
      <c r="M391" s="4"/>
      <c r="R391" s="4"/>
      <c r="W391" s="4"/>
      <c r="AB391" s="4"/>
      <c r="AG391" s="4"/>
      <c r="AL391" s="4"/>
      <c r="AQ391" s="4"/>
      <c r="AV391" s="4"/>
      <c r="BA391" s="4"/>
    </row>
    <row r="392" spans="8:53" s="1" customFormat="1" ht="53.45" customHeight="1">
      <c r="H392" s="4"/>
      <c r="M392" s="4"/>
      <c r="R392" s="4"/>
      <c r="W392" s="4"/>
      <c r="AB392" s="4"/>
      <c r="AG392" s="4"/>
      <c r="AL392" s="4"/>
      <c r="AQ392" s="4"/>
      <c r="AV392" s="4"/>
      <c r="BA392" s="4"/>
    </row>
    <row r="393" spans="8:53" s="1" customFormat="1" ht="53.45" customHeight="1">
      <c r="H393" s="4"/>
      <c r="M393" s="4"/>
      <c r="R393" s="4"/>
      <c r="W393" s="4"/>
      <c r="AB393" s="4"/>
      <c r="AG393" s="4"/>
      <c r="AL393" s="4"/>
      <c r="AQ393" s="4"/>
      <c r="AV393" s="4"/>
      <c r="BA393" s="4"/>
    </row>
    <row r="394" spans="8:53" s="1" customFormat="1" ht="53.45" customHeight="1">
      <c r="H394" s="4"/>
      <c r="M394" s="4"/>
      <c r="R394" s="4"/>
      <c r="W394" s="4"/>
      <c r="AB394" s="4"/>
      <c r="AG394" s="4"/>
      <c r="AL394" s="4"/>
      <c r="AQ394" s="4"/>
      <c r="AV394" s="4"/>
      <c r="BA394" s="4"/>
    </row>
    <row r="395" spans="8:53" s="1" customFormat="1" ht="53.45" customHeight="1">
      <c r="H395" s="4"/>
      <c r="M395" s="4"/>
      <c r="R395" s="4"/>
      <c r="W395" s="4"/>
      <c r="AB395" s="4"/>
      <c r="AG395" s="4"/>
      <c r="AL395" s="4"/>
      <c r="AQ395" s="4"/>
      <c r="AV395" s="4"/>
      <c r="BA395" s="4"/>
    </row>
    <row r="396" spans="8:53" s="1" customFormat="1" ht="53.45" customHeight="1">
      <c r="H396" s="4"/>
      <c r="M396" s="4"/>
      <c r="R396" s="4"/>
      <c r="W396" s="4"/>
      <c r="AB396" s="4"/>
      <c r="AG396" s="4"/>
      <c r="AL396" s="4"/>
      <c r="AQ396" s="4"/>
      <c r="AV396" s="4"/>
      <c r="BA396" s="4"/>
    </row>
    <row r="397" spans="8:53" s="1" customFormat="1" ht="53.45" customHeight="1">
      <c r="H397" s="4"/>
      <c r="M397" s="4"/>
      <c r="R397" s="4"/>
      <c r="W397" s="4"/>
      <c r="AB397" s="4"/>
      <c r="AG397" s="4"/>
      <c r="AL397" s="4"/>
      <c r="AQ397" s="4"/>
      <c r="AV397" s="4"/>
      <c r="BA397" s="4"/>
    </row>
    <row r="398" spans="8:53" s="1" customFormat="1" ht="53.45" customHeight="1">
      <c r="H398" s="4"/>
      <c r="M398" s="4"/>
      <c r="R398" s="4"/>
      <c r="W398" s="4"/>
      <c r="AB398" s="4"/>
      <c r="AG398" s="4"/>
      <c r="AL398" s="4"/>
      <c r="AQ398" s="4"/>
      <c r="AV398" s="4"/>
      <c r="BA398" s="4"/>
    </row>
    <row r="399" spans="8:53" s="1" customFormat="1" ht="53.45" customHeight="1">
      <c r="H399" s="4"/>
      <c r="M399" s="4"/>
      <c r="R399" s="4"/>
      <c r="W399" s="4"/>
      <c r="AB399" s="4"/>
      <c r="AG399" s="4"/>
      <c r="AL399" s="4"/>
      <c r="AQ399" s="4"/>
      <c r="AV399" s="4"/>
      <c r="BA399" s="4"/>
    </row>
    <row r="400" spans="8:53" s="1" customFormat="1" ht="53.45" customHeight="1">
      <c r="H400" s="4"/>
      <c r="M400" s="4"/>
      <c r="R400" s="4"/>
      <c r="W400" s="4"/>
      <c r="AB400" s="4"/>
      <c r="AG400" s="4"/>
      <c r="AL400" s="4"/>
      <c r="AQ400" s="4"/>
      <c r="AV400" s="4"/>
      <c r="BA400" s="4"/>
    </row>
    <row r="401" spans="8:53" s="1" customFormat="1" ht="53.45" customHeight="1">
      <c r="H401" s="4"/>
      <c r="M401" s="4"/>
      <c r="R401" s="4"/>
      <c r="W401" s="4"/>
      <c r="AB401" s="4"/>
      <c r="AG401" s="4"/>
      <c r="AL401" s="4"/>
      <c r="AQ401" s="4"/>
      <c r="AV401" s="4"/>
      <c r="BA401" s="4"/>
    </row>
    <row r="402" spans="8:53" s="1" customFormat="1" ht="53.45" customHeight="1">
      <c r="H402" s="4"/>
      <c r="M402" s="4"/>
      <c r="R402" s="4"/>
      <c r="W402" s="4"/>
      <c r="AB402" s="4"/>
      <c r="AG402" s="4"/>
      <c r="AL402" s="4"/>
      <c r="AQ402" s="4"/>
      <c r="AV402" s="4"/>
      <c r="BA402" s="4"/>
    </row>
    <row r="403" spans="8:53" s="1" customFormat="1" ht="53.45" customHeight="1">
      <c r="H403" s="4"/>
      <c r="M403" s="4"/>
      <c r="R403" s="4"/>
      <c r="W403" s="4"/>
      <c r="AB403" s="4"/>
      <c r="AG403" s="4"/>
      <c r="AL403" s="4"/>
      <c r="AQ403" s="4"/>
      <c r="AV403" s="4"/>
      <c r="BA403" s="4"/>
    </row>
    <row r="404" spans="8:53" s="1" customFormat="1" ht="53.45" customHeight="1">
      <c r="H404" s="4"/>
      <c r="M404" s="4"/>
      <c r="R404" s="4"/>
      <c r="W404" s="4"/>
      <c r="AB404" s="4"/>
      <c r="AG404" s="4"/>
      <c r="AL404" s="4"/>
      <c r="AQ404" s="4"/>
      <c r="AV404" s="4"/>
      <c r="BA404" s="4"/>
    </row>
    <row r="405" spans="8:53" s="1" customFormat="1" ht="53.45" customHeight="1">
      <c r="H405" s="4"/>
      <c r="M405" s="4"/>
      <c r="R405" s="4"/>
      <c r="W405" s="4"/>
      <c r="AB405" s="4"/>
      <c r="AG405" s="4"/>
      <c r="AL405" s="4"/>
      <c r="AQ405" s="4"/>
      <c r="AV405" s="4"/>
      <c r="BA405" s="4"/>
    </row>
    <row r="406" spans="8:53" s="1" customFormat="1" ht="53.45" customHeight="1">
      <c r="H406" s="4"/>
      <c r="M406" s="4"/>
      <c r="R406" s="4"/>
      <c r="W406" s="4"/>
      <c r="AB406" s="4"/>
      <c r="AG406" s="4"/>
      <c r="AL406" s="4"/>
      <c r="AQ406" s="4"/>
      <c r="AV406" s="4"/>
      <c r="BA406" s="4"/>
    </row>
    <row r="407" spans="8:53" s="1" customFormat="1" ht="53.45" customHeight="1">
      <c r="H407" s="4"/>
      <c r="M407" s="4"/>
      <c r="R407" s="4"/>
      <c r="W407" s="4"/>
      <c r="AB407" s="4"/>
      <c r="AG407" s="4"/>
      <c r="AL407" s="4"/>
      <c r="AQ407" s="4"/>
      <c r="AV407" s="4"/>
      <c r="BA407" s="4"/>
    </row>
    <row r="408" spans="8:53" s="1" customFormat="1" ht="53.45" customHeight="1">
      <c r="H408" s="4"/>
      <c r="M408" s="4"/>
      <c r="R408" s="4"/>
      <c r="W408" s="4"/>
      <c r="AB408" s="4"/>
      <c r="AG408" s="4"/>
      <c r="AL408" s="4"/>
      <c r="AQ408" s="4"/>
      <c r="AV408" s="4"/>
      <c r="BA408" s="4"/>
    </row>
    <row r="409" spans="8:53" s="1" customFormat="1" ht="53.45" customHeight="1">
      <c r="H409" s="4"/>
      <c r="M409" s="4"/>
      <c r="R409" s="4"/>
      <c r="W409" s="4"/>
      <c r="AB409" s="4"/>
      <c r="AG409" s="4"/>
      <c r="AL409" s="4"/>
      <c r="AQ409" s="4"/>
      <c r="AV409" s="4"/>
      <c r="BA409" s="4"/>
    </row>
    <row r="410" spans="8:53" s="1" customFormat="1" ht="53.45" customHeight="1">
      <c r="H410" s="4"/>
      <c r="M410" s="4"/>
      <c r="R410" s="4"/>
      <c r="W410" s="4"/>
      <c r="AB410" s="4"/>
      <c r="AG410" s="4"/>
      <c r="AL410" s="4"/>
      <c r="AQ410" s="4"/>
      <c r="AV410" s="4"/>
      <c r="BA410" s="4"/>
    </row>
    <row r="411" spans="8:53" s="1" customFormat="1" ht="53.45" customHeight="1">
      <c r="H411" s="4"/>
      <c r="M411" s="4"/>
      <c r="R411" s="4"/>
      <c r="W411" s="4"/>
      <c r="AB411" s="4"/>
      <c r="AG411" s="4"/>
      <c r="AL411" s="4"/>
      <c r="AQ411" s="4"/>
      <c r="AV411" s="4"/>
      <c r="BA411" s="4"/>
    </row>
    <row r="412" spans="8:53" s="1" customFormat="1" ht="53.45" customHeight="1">
      <c r="H412" s="4"/>
      <c r="M412" s="4"/>
      <c r="R412" s="4"/>
      <c r="W412" s="4"/>
      <c r="AB412" s="4"/>
      <c r="AG412" s="4"/>
      <c r="AL412" s="4"/>
      <c r="AQ412" s="4"/>
      <c r="AV412" s="4"/>
      <c r="BA412" s="4"/>
    </row>
    <row r="413" spans="8:53" s="1" customFormat="1" ht="53.45" customHeight="1">
      <c r="H413" s="4"/>
      <c r="M413" s="4"/>
      <c r="R413" s="4"/>
      <c r="W413" s="4"/>
      <c r="AB413" s="4"/>
      <c r="AG413" s="4"/>
      <c r="AL413" s="4"/>
      <c r="AQ413" s="4"/>
      <c r="AV413" s="4"/>
      <c r="BA413" s="4"/>
    </row>
    <row r="414" spans="8:53" s="1" customFormat="1" ht="53.45" customHeight="1">
      <c r="H414" s="4"/>
      <c r="M414" s="4"/>
      <c r="R414" s="4"/>
      <c r="W414" s="4"/>
      <c r="AB414" s="4"/>
      <c r="AG414" s="4"/>
      <c r="AL414" s="4"/>
      <c r="AQ414" s="4"/>
      <c r="AV414" s="4"/>
      <c r="BA414" s="4"/>
    </row>
    <row r="415" spans="8:53" s="1" customFormat="1" ht="53.45" customHeight="1">
      <c r="H415" s="4"/>
      <c r="M415" s="4"/>
      <c r="R415" s="4"/>
      <c r="W415" s="4"/>
      <c r="AB415" s="4"/>
      <c r="AG415" s="4"/>
      <c r="AL415" s="4"/>
      <c r="AQ415" s="4"/>
      <c r="AV415" s="4"/>
      <c r="BA415" s="4"/>
    </row>
    <row r="416" spans="8:53" s="1" customFormat="1" ht="53.45" customHeight="1">
      <c r="H416" s="4"/>
      <c r="M416" s="4"/>
      <c r="R416" s="4"/>
      <c r="W416" s="4"/>
      <c r="AB416" s="4"/>
      <c r="AG416" s="4"/>
      <c r="AL416" s="4"/>
      <c r="AQ416" s="4"/>
      <c r="AV416" s="4"/>
      <c r="BA416" s="4"/>
    </row>
    <row r="417" spans="8:53" s="1" customFormat="1" ht="53.45" customHeight="1">
      <c r="H417" s="4"/>
      <c r="M417" s="4"/>
      <c r="R417" s="4"/>
      <c r="W417" s="4"/>
      <c r="AB417" s="4"/>
      <c r="AG417" s="4"/>
      <c r="AL417" s="4"/>
      <c r="AQ417" s="4"/>
      <c r="AV417" s="4"/>
      <c r="BA417" s="4"/>
    </row>
    <row r="418" spans="8:53" s="1" customFormat="1" ht="53.45" customHeight="1">
      <c r="H418" s="4"/>
      <c r="M418" s="4"/>
      <c r="R418" s="4"/>
      <c r="W418" s="4"/>
      <c r="AB418" s="4"/>
      <c r="AG418" s="4"/>
      <c r="AL418" s="4"/>
      <c r="AQ418" s="4"/>
      <c r="AV418" s="4"/>
      <c r="BA418" s="4"/>
    </row>
    <row r="419" spans="8:53" s="1" customFormat="1" ht="53.45" customHeight="1">
      <c r="H419" s="4"/>
      <c r="M419" s="4"/>
      <c r="R419" s="4"/>
      <c r="W419" s="4"/>
      <c r="AB419" s="4"/>
      <c r="AG419" s="4"/>
      <c r="AL419" s="4"/>
      <c r="AQ419" s="4"/>
      <c r="AV419" s="4"/>
      <c r="BA419" s="4"/>
    </row>
    <row r="420" spans="8:53" s="1" customFormat="1" ht="53.45" customHeight="1">
      <c r="H420" s="4"/>
      <c r="M420" s="4"/>
      <c r="R420" s="4"/>
      <c r="W420" s="4"/>
      <c r="AB420" s="4"/>
      <c r="AG420" s="4"/>
      <c r="AL420" s="4"/>
      <c r="AQ420" s="4"/>
      <c r="AV420" s="4"/>
      <c r="BA420" s="4"/>
    </row>
    <row r="421" spans="8:53" s="1" customFormat="1" ht="53.45" customHeight="1">
      <c r="H421" s="4"/>
      <c r="M421" s="4"/>
      <c r="R421" s="4"/>
      <c r="W421" s="4"/>
      <c r="AB421" s="4"/>
      <c r="AG421" s="4"/>
      <c r="AL421" s="4"/>
      <c r="AQ421" s="4"/>
      <c r="AV421" s="4"/>
      <c r="BA421" s="4"/>
    </row>
    <row r="422" spans="8:53" s="1" customFormat="1" ht="53.45" customHeight="1">
      <c r="H422" s="4"/>
      <c r="M422" s="4"/>
      <c r="R422" s="4"/>
      <c r="W422" s="4"/>
      <c r="AB422" s="4"/>
      <c r="AG422" s="4"/>
      <c r="AL422" s="4"/>
      <c r="AQ422" s="4"/>
      <c r="AV422" s="4"/>
      <c r="BA422" s="4"/>
    </row>
    <row r="423" spans="8:53" s="1" customFormat="1" ht="53.45" customHeight="1">
      <c r="H423" s="4"/>
      <c r="M423" s="4"/>
      <c r="R423" s="4"/>
      <c r="W423" s="4"/>
      <c r="AB423" s="4"/>
      <c r="AG423" s="4"/>
      <c r="AL423" s="4"/>
      <c r="AQ423" s="4"/>
      <c r="AV423" s="4"/>
      <c r="BA423" s="4"/>
    </row>
    <row r="424" spans="8:53" s="1" customFormat="1" ht="53.45" customHeight="1">
      <c r="H424" s="4"/>
      <c r="M424" s="4"/>
      <c r="R424" s="4"/>
      <c r="W424" s="4"/>
      <c r="AB424" s="4"/>
      <c r="AG424" s="4"/>
      <c r="AL424" s="4"/>
      <c r="AQ424" s="4"/>
      <c r="AV424" s="4"/>
      <c r="BA424" s="4"/>
    </row>
    <row r="425" spans="8:53" s="1" customFormat="1" ht="53.45" customHeight="1">
      <c r="H425" s="4"/>
      <c r="M425" s="4"/>
      <c r="R425" s="4"/>
      <c r="W425" s="4"/>
      <c r="AB425" s="4"/>
      <c r="AG425" s="4"/>
      <c r="AL425" s="4"/>
      <c r="AQ425" s="4"/>
      <c r="AV425" s="4"/>
      <c r="BA425" s="4"/>
    </row>
    <row r="426" spans="8:53" s="1" customFormat="1" ht="53.45" customHeight="1">
      <c r="H426" s="4"/>
      <c r="M426" s="4"/>
      <c r="R426" s="4"/>
      <c r="W426" s="4"/>
      <c r="AB426" s="4"/>
      <c r="AG426" s="4"/>
      <c r="AL426" s="4"/>
      <c r="AQ426" s="4"/>
      <c r="AV426" s="4"/>
      <c r="BA426" s="4"/>
    </row>
    <row r="427" spans="8:53" s="1" customFormat="1" ht="53.45" customHeight="1">
      <c r="H427" s="4"/>
      <c r="M427" s="4"/>
      <c r="R427" s="4"/>
      <c r="W427" s="4"/>
      <c r="AB427" s="4"/>
      <c r="AG427" s="4"/>
      <c r="AL427" s="4"/>
      <c r="AQ427" s="4"/>
      <c r="AV427" s="4"/>
      <c r="BA427" s="4"/>
    </row>
    <row r="428" spans="8:53" s="1" customFormat="1" ht="53.45" customHeight="1">
      <c r="H428" s="4"/>
      <c r="M428" s="4"/>
      <c r="R428" s="4"/>
      <c r="W428" s="4"/>
      <c r="AB428" s="4"/>
      <c r="AG428" s="4"/>
      <c r="AL428" s="4"/>
      <c r="AQ428" s="4"/>
      <c r="AV428" s="4"/>
      <c r="BA428" s="4"/>
    </row>
    <row r="429" spans="8:53" s="1" customFormat="1" ht="53.45" customHeight="1">
      <c r="H429" s="4"/>
      <c r="M429" s="4"/>
      <c r="R429" s="4"/>
      <c r="W429" s="4"/>
      <c r="AB429" s="4"/>
      <c r="AG429" s="4"/>
      <c r="AL429" s="4"/>
      <c r="AQ429" s="4"/>
      <c r="AV429" s="4"/>
      <c r="BA429" s="4"/>
    </row>
    <row r="430" spans="8:53" s="1" customFormat="1" ht="53.45" customHeight="1">
      <c r="H430" s="4"/>
      <c r="M430" s="4"/>
      <c r="R430" s="4"/>
      <c r="W430" s="4"/>
      <c r="AB430" s="4"/>
      <c r="AG430" s="4"/>
      <c r="AL430" s="4"/>
      <c r="AQ430" s="4"/>
      <c r="AV430" s="4"/>
      <c r="BA430" s="4"/>
    </row>
    <row r="431" spans="8:53" s="1" customFormat="1" ht="53.45" customHeight="1">
      <c r="H431" s="4"/>
      <c r="M431" s="4"/>
      <c r="R431" s="4"/>
      <c r="W431" s="4"/>
      <c r="AB431" s="4"/>
      <c r="AG431" s="4"/>
      <c r="AL431" s="4"/>
      <c r="AQ431" s="4"/>
      <c r="AV431" s="4"/>
      <c r="BA431" s="4"/>
    </row>
    <row r="432" spans="8:53" s="1" customFormat="1" ht="53.45" customHeight="1">
      <c r="H432" s="4"/>
      <c r="M432" s="4"/>
      <c r="R432" s="4"/>
      <c r="W432" s="4"/>
      <c r="AB432" s="4"/>
      <c r="AG432" s="4"/>
      <c r="AL432" s="4"/>
      <c r="AQ432" s="4"/>
      <c r="AV432" s="4"/>
      <c r="BA432" s="4"/>
    </row>
    <row r="433" spans="8:53" s="1" customFormat="1" ht="53.45" customHeight="1">
      <c r="H433" s="4"/>
      <c r="M433" s="4"/>
      <c r="R433" s="4"/>
      <c r="W433" s="4"/>
      <c r="AB433" s="4"/>
      <c r="AG433" s="4"/>
      <c r="AL433" s="4"/>
      <c r="AQ433" s="4"/>
      <c r="AV433" s="4"/>
      <c r="BA433" s="4"/>
    </row>
    <row r="434" spans="8:53" s="1" customFormat="1" ht="53.45" customHeight="1">
      <c r="H434" s="4"/>
      <c r="M434" s="4"/>
      <c r="R434" s="4"/>
      <c r="W434" s="4"/>
      <c r="AB434" s="4"/>
      <c r="AG434" s="4"/>
      <c r="AL434" s="4"/>
      <c r="AQ434" s="4"/>
      <c r="AV434" s="4"/>
      <c r="BA434" s="4"/>
    </row>
    <row r="435" spans="8:53" s="1" customFormat="1" ht="53.45" customHeight="1">
      <c r="H435" s="4"/>
      <c r="M435" s="4"/>
      <c r="R435" s="4"/>
      <c r="W435" s="4"/>
      <c r="AB435" s="4"/>
      <c r="AG435" s="4"/>
      <c r="AL435" s="4"/>
      <c r="AQ435" s="4"/>
      <c r="AV435" s="4"/>
      <c r="BA435" s="4"/>
    </row>
    <row r="436" spans="8:53" s="1" customFormat="1" ht="53.45" customHeight="1">
      <c r="H436" s="4"/>
      <c r="M436" s="4"/>
      <c r="R436" s="4"/>
      <c r="W436" s="4"/>
      <c r="AB436" s="4"/>
      <c r="AG436" s="4"/>
      <c r="AL436" s="4"/>
      <c r="AQ436" s="4"/>
      <c r="AV436" s="4"/>
      <c r="BA436" s="4"/>
    </row>
    <row r="437" spans="8:53" s="1" customFormat="1" ht="53.45" customHeight="1">
      <c r="H437" s="4"/>
      <c r="M437" s="4"/>
      <c r="R437" s="4"/>
      <c r="W437" s="4"/>
      <c r="AB437" s="4"/>
      <c r="AG437" s="4"/>
      <c r="AL437" s="4"/>
      <c r="AQ437" s="4"/>
      <c r="AV437" s="4"/>
      <c r="BA437" s="4"/>
    </row>
    <row r="438" spans="8:53" s="1" customFormat="1" ht="53.45" customHeight="1">
      <c r="H438" s="4"/>
      <c r="M438" s="4"/>
      <c r="R438" s="4"/>
      <c r="W438" s="4"/>
      <c r="AB438" s="4"/>
      <c r="AG438" s="4"/>
      <c r="AL438" s="4"/>
      <c r="AQ438" s="4"/>
      <c r="AV438" s="4"/>
      <c r="BA438" s="4"/>
    </row>
    <row r="439" spans="8:53" s="1" customFormat="1" ht="53.45" customHeight="1">
      <c r="H439" s="4"/>
      <c r="M439" s="4"/>
      <c r="R439" s="4"/>
      <c r="W439" s="4"/>
      <c r="AB439" s="4"/>
      <c r="AG439" s="4"/>
      <c r="AL439" s="4"/>
      <c r="AQ439" s="4"/>
      <c r="AV439" s="4"/>
      <c r="BA439" s="4"/>
    </row>
    <row r="440" spans="8:53" s="1" customFormat="1" ht="53.45" customHeight="1">
      <c r="H440" s="4"/>
      <c r="M440" s="4"/>
      <c r="R440" s="4"/>
      <c r="W440" s="4"/>
      <c r="AB440" s="4"/>
      <c r="AG440" s="4"/>
      <c r="AL440" s="4"/>
      <c r="AQ440" s="4"/>
      <c r="AV440" s="4"/>
      <c r="BA440" s="4"/>
    </row>
    <row r="441" spans="8:53" s="1" customFormat="1" ht="53.45" customHeight="1">
      <c r="H441" s="4"/>
      <c r="M441" s="4"/>
      <c r="R441" s="4"/>
      <c r="W441" s="4"/>
      <c r="AB441" s="4"/>
      <c r="AG441" s="4"/>
      <c r="AL441" s="4"/>
      <c r="AQ441" s="4"/>
      <c r="AV441" s="4"/>
      <c r="BA441" s="4"/>
    </row>
    <row r="442" spans="8:53" s="1" customFormat="1" ht="53.45" customHeight="1">
      <c r="H442" s="4"/>
      <c r="M442" s="4"/>
      <c r="R442" s="4"/>
      <c r="W442" s="4"/>
      <c r="AB442" s="4"/>
      <c r="AG442" s="4"/>
      <c r="AL442" s="4"/>
      <c r="AQ442" s="4"/>
      <c r="AV442" s="4"/>
      <c r="BA442" s="4"/>
    </row>
    <row r="443" spans="8:53" s="1" customFormat="1" ht="53.45" customHeight="1">
      <c r="H443" s="4"/>
      <c r="M443" s="4"/>
      <c r="R443" s="4"/>
      <c r="W443" s="4"/>
      <c r="AB443" s="4"/>
      <c r="AG443" s="4"/>
      <c r="AL443" s="4"/>
      <c r="AQ443" s="4"/>
      <c r="AV443" s="4"/>
      <c r="BA443" s="4"/>
    </row>
    <row r="444" spans="8:53" s="1" customFormat="1" ht="53.45" customHeight="1">
      <c r="H444" s="4"/>
      <c r="M444" s="4"/>
      <c r="R444" s="4"/>
      <c r="W444" s="4"/>
      <c r="AB444" s="4"/>
      <c r="AG444" s="4"/>
      <c r="AL444" s="4"/>
      <c r="AQ444" s="4"/>
      <c r="AV444" s="4"/>
      <c r="BA444" s="4"/>
    </row>
    <row r="445" spans="8:53" s="1" customFormat="1" ht="53.45" customHeight="1">
      <c r="H445" s="4"/>
      <c r="M445" s="4"/>
      <c r="R445" s="4"/>
      <c r="W445" s="4"/>
      <c r="AB445" s="4"/>
      <c r="AG445" s="4"/>
      <c r="AL445" s="4"/>
      <c r="AQ445" s="4"/>
      <c r="AV445" s="4"/>
      <c r="BA445" s="4"/>
    </row>
    <row r="446" spans="8:53" s="1" customFormat="1" ht="53.45" customHeight="1">
      <c r="H446" s="4"/>
      <c r="M446" s="4"/>
      <c r="R446" s="4"/>
      <c r="W446" s="4"/>
      <c r="AB446" s="4"/>
      <c r="AG446" s="4"/>
      <c r="AL446" s="4"/>
      <c r="AQ446" s="4"/>
      <c r="AV446" s="4"/>
      <c r="BA446" s="4"/>
    </row>
    <row r="447" spans="8:53" s="1" customFormat="1" ht="53.45" customHeight="1">
      <c r="H447" s="4"/>
      <c r="M447" s="4"/>
      <c r="R447" s="4"/>
      <c r="W447" s="4"/>
      <c r="AB447" s="4"/>
      <c r="AG447" s="4"/>
      <c r="AL447" s="4"/>
      <c r="AQ447" s="4"/>
      <c r="AV447" s="4"/>
      <c r="BA447" s="4"/>
    </row>
    <row r="448" spans="8:53" s="1" customFormat="1" ht="53.45" customHeight="1">
      <c r="H448" s="4"/>
      <c r="M448" s="4"/>
      <c r="R448" s="4"/>
      <c r="W448" s="4"/>
      <c r="AB448" s="4"/>
      <c r="AG448" s="4"/>
      <c r="AL448" s="4"/>
      <c r="AQ448" s="4"/>
      <c r="AV448" s="4"/>
      <c r="BA448" s="4"/>
    </row>
    <row r="449" spans="8:53" s="1" customFormat="1" ht="53.45" customHeight="1">
      <c r="H449" s="4"/>
      <c r="M449" s="4"/>
      <c r="R449" s="4"/>
      <c r="W449" s="4"/>
      <c r="AB449" s="4"/>
      <c r="AG449" s="4"/>
      <c r="AL449" s="4"/>
      <c r="AQ449" s="4"/>
      <c r="AV449" s="4"/>
      <c r="BA449" s="4"/>
    </row>
    <row r="450" spans="8:53" s="1" customFormat="1" ht="53.45" customHeight="1">
      <c r="H450" s="4"/>
      <c r="M450" s="4"/>
      <c r="R450" s="4"/>
      <c r="W450" s="4"/>
      <c r="AB450" s="4"/>
      <c r="AG450" s="4"/>
      <c r="AL450" s="4"/>
      <c r="AQ450" s="4"/>
      <c r="AV450" s="4"/>
      <c r="BA450" s="4"/>
    </row>
    <row r="451" spans="8:53" s="1" customFormat="1" ht="53.45" customHeight="1">
      <c r="H451" s="4"/>
      <c r="M451" s="4"/>
      <c r="R451" s="4"/>
      <c r="W451" s="4"/>
      <c r="AB451" s="4"/>
      <c r="AG451" s="4"/>
      <c r="AL451" s="4"/>
      <c r="AQ451" s="4"/>
      <c r="AV451" s="4"/>
      <c r="BA451" s="4"/>
    </row>
    <row r="452" spans="8:53" s="1" customFormat="1" ht="53.45" customHeight="1">
      <c r="H452" s="4"/>
      <c r="M452" s="4"/>
      <c r="R452" s="4"/>
      <c r="W452" s="4"/>
      <c r="AB452" s="4"/>
      <c r="AG452" s="4"/>
      <c r="AL452" s="4"/>
      <c r="AQ452" s="4"/>
      <c r="AV452" s="4"/>
      <c r="BA452" s="4"/>
    </row>
    <row r="453" spans="8:53" s="1" customFormat="1" ht="53.45" customHeight="1">
      <c r="H453" s="4"/>
      <c r="M453" s="4"/>
      <c r="R453" s="4"/>
      <c r="W453" s="4"/>
      <c r="AB453" s="4"/>
      <c r="AG453" s="4"/>
      <c r="AL453" s="4"/>
      <c r="AQ453" s="4"/>
      <c r="AV453" s="4"/>
      <c r="BA453" s="4"/>
    </row>
    <row r="454" spans="8:53" s="1" customFormat="1" ht="53.45" customHeight="1">
      <c r="H454" s="4"/>
      <c r="M454" s="4"/>
      <c r="R454" s="4"/>
      <c r="W454" s="4"/>
      <c r="AB454" s="4"/>
      <c r="AG454" s="4"/>
      <c r="AL454" s="4"/>
      <c r="AQ454" s="4"/>
      <c r="AV454" s="4"/>
      <c r="BA454" s="4"/>
    </row>
    <row r="455" spans="8:53" s="1" customFormat="1" ht="53.45" customHeight="1">
      <c r="H455" s="4"/>
      <c r="M455" s="4"/>
      <c r="R455" s="4"/>
      <c r="W455" s="4"/>
      <c r="AB455" s="4"/>
      <c r="AG455" s="4"/>
      <c r="AL455" s="4"/>
      <c r="AQ455" s="4"/>
      <c r="AV455" s="4"/>
      <c r="BA455" s="4"/>
    </row>
    <row r="456" spans="8:53" s="1" customFormat="1" ht="53.45" customHeight="1">
      <c r="H456" s="4"/>
      <c r="M456" s="4"/>
      <c r="R456" s="4"/>
      <c r="W456" s="4"/>
      <c r="AB456" s="4"/>
      <c r="AG456" s="4"/>
      <c r="AL456" s="4"/>
      <c r="AQ456" s="4"/>
      <c r="AV456" s="4"/>
      <c r="BA456" s="4"/>
    </row>
    <row r="457" spans="8:53" s="1" customFormat="1" ht="53.45" customHeight="1">
      <c r="H457" s="4"/>
      <c r="M457" s="4"/>
      <c r="R457" s="4"/>
      <c r="W457" s="4"/>
      <c r="AB457" s="4"/>
      <c r="AG457" s="4"/>
      <c r="AL457" s="4"/>
      <c r="AQ457" s="4"/>
      <c r="AV457" s="4"/>
      <c r="BA457" s="4"/>
    </row>
    <row r="458" spans="8:53" s="1" customFormat="1" ht="53.45" customHeight="1">
      <c r="H458" s="4"/>
      <c r="M458" s="4"/>
      <c r="R458" s="4"/>
      <c r="W458" s="4"/>
      <c r="AB458" s="4"/>
      <c r="AG458" s="4"/>
      <c r="AL458" s="4"/>
      <c r="AQ458" s="4"/>
      <c r="AV458" s="4"/>
      <c r="BA458" s="4"/>
    </row>
    <row r="459" spans="8:53" s="1" customFormat="1" ht="53.45" customHeight="1">
      <c r="H459" s="4"/>
      <c r="M459" s="4"/>
      <c r="R459" s="4"/>
      <c r="W459" s="4"/>
      <c r="AB459" s="4"/>
      <c r="AG459" s="4"/>
      <c r="AL459" s="4"/>
      <c r="AQ459" s="4"/>
      <c r="AV459" s="4"/>
      <c r="BA459" s="4"/>
    </row>
    <row r="460" spans="8:53" s="1" customFormat="1" ht="53.45" customHeight="1">
      <c r="H460" s="4"/>
      <c r="M460" s="4"/>
      <c r="R460" s="4"/>
      <c r="W460" s="4"/>
      <c r="AB460" s="4"/>
      <c r="AG460" s="4"/>
      <c r="AL460" s="4"/>
      <c r="AQ460" s="4"/>
      <c r="AV460" s="4"/>
      <c r="BA460" s="4"/>
    </row>
    <row r="461" spans="8:53" s="1" customFormat="1" ht="53.45" customHeight="1">
      <c r="H461" s="4"/>
      <c r="M461" s="4"/>
      <c r="R461" s="4"/>
      <c r="W461" s="4"/>
      <c r="AB461" s="4"/>
      <c r="AG461" s="4"/>
      <c r="AL461" s="4"/>
      <c r="AQ461" s="4"/>
      <c r="AV461" s="4"/>
      <c r="BA461" s="4"/>
    </row>
    <row r="462" spans="8:53" s="1" customFormat="1" ht="53.45" customHeight="1">
      <c r="H462" s="4"/>
      <c r="M462" s="4"/>
      <c r="R462" s="4"/>
      <c r="W462" s="4"/>
      <c r="AB462" s="4"/>
      <c r="AG462" s="4"/>
      <c r="AL462" s="4"/>
      <c r="AQ462" s="4"/>
      <c r="AV462" s="4"/>
      <c r="BA462" s="4"/>
    </row>
    <row r="463" spans="8:53" s="1" customFormat="1" ht="53.45" customHeight="1">
      <c r="H463" s="4"/>
      <c r="M463" s="4"/>
      <c r="R463" s="4"/>
      <c r="W463" s="4"/>
      <c r="AB463" s="4"/>
      <c r="AG463" s="4"/>
      <c r="AL463" s="4"/>
      <c r="AQ463" s="4"/>
      <c r="AV463" s="4"/>
      <c r="BA463" s="4"/>
    </row>
    <row r="464" spans="8:53" s="1" customFormat="1" ht="53.45" customHeight="1">
      <c r="H464" s="4"/>
      <c r="M464" s="4"/>
      <c r="R464" s="4"/>
      <c r="W464" s="4"/>
      <c r="AB464" s="4"/>
      <c r="AG464" s="4"/>
      <c r="AL464" s="4"/>
      <c r="AQ464" s="4"/>
      <c r="AV464" s="4"/>
      <c r="BA464" s="4"/>
    </row>
    <row r="465" spans="8:53" s="1" customFormat="1" ht="53.45" customHeight="1">
      <c r="H465" s="4"/>
      <c r="M465" s="4"/>
      <c r="R465" s="4"/>
      <c r="W465" s="4"/>
      <c r="AB465" s="4"/>
      <c r="AG465" s="4"/>
      <c r="AL465" s="4"/>
      <c r="AQ465" s="4"/>
      <c r="AV465" s="4"/>
      <c r="BA465" s="4"/>
    </row>
    <row r="466" spans="8:53" s="1" customFormat="1" ht="53.45" customHeight="1">
      <c r="H466" s="4"/>
      <c r="M466" s="4"/>
      <c r="R466" s="4"/>
      <c r="W466" s="4"/>
      <c r="AB466" s="4"/>
      <c r="AG466" s="4"/>
      <c r="AL466" s="4"/>
      <c r="AQ466" s="4"/>
      <c r="AV466" s="4"/>
      <c r="BA466" s="4"/>
    </row>
    <row r="467" spans="8:53" s="1" customFormat="1" ht="53.45" customHeight="1">
      <c r="H467" s="4"/>
      <c r="M467" s="4"/>
      <c r="R467" s="4"/>
      <c r="W467" s="4"/>
      <c r="AB467" s="4"/>
      <c r="AG467" s="4"/>
      <c r="AL467" s="4"/>
      <c r="AQ467" s="4"/>
      <c r="AV467" s="4"/>
      <c r="BA467" s="4"/>
    </row>
    <row r="468" spans="8:53" s="1" customFormat="1" ht="53.45" customHeight="1">
      <c r="H468" s="4"/>
      <c r="M468" s="4"/>
      <c r="R468" s="4"/>
      <c r="W468" s="4"/>
      <c r="AB468" s="4"/>
      <c r="AG468" s="4"/>
      <c r="AL468" s="4"/>
      <c r="AQ468" s="4"/>
      <c r="AV468" s="4"/>
      <c r="BA468" s="4"/>
    </row>
    <row r="469" spans="8:53" s="1" customFormat="1" ht="53.45" customHeight="1">
      <c r="H469" s="4"/>
      <c r="M469" s="4"/>
      <c r="R469" s="4"/>
      <c r="W469" s="4"/>
      <c r="AB469" s="4"/>
      <c r="AG469" s="4"/>
      <c r="AL469" s="4"/>
      <c r="AQ469" s="4"/>
      <c r="AV469" s="4"/>
      <c r="BA469" s="4"/>
    </row>
    <row r="470" spans="8:53" s="1" customFormat="1" ht="53.45" customHeight="1">
      <c r="H470" s="4"/>
      <c r="M470" s="4"/>
      <c r="R470" s="4"/>
      <c r="W470" s="4"/>
      <c r="AB470" s="4"/>
      <c r="AG470" s="4"/>
      <c r="AL470" s="4"/>
      <c r="AQ470" s="4"/>
      <c r="AV470" s="4"/>
      <c r="BA470" s="4"/>
    </row>
    <row r="471" spans="8:53" s="1" customFormat="1" ht="53.45" customHeight="1">
      <c r="H471" s="4"/>
      <c r="M471" s="4"/>
      <c r="R471" s="4"/>
      <c r="W471" s="4"/>
      <c r="AB471" s="4"/>
      <c r="AG471" s="4"/>
      <c r="AL471" s="4"/>
      <c r="AQ471" s="4"/>
      <c r="AV471" s="4"/>
      <c r="BA471" s="4"/>
    </row>
    <row r="472" spans="8:53" s="1" customFormat="1" ht="53.45" customHeight="1">
      <c r="H472" s="4"/>
      <c r="M472" s="4"/>
      <c r="R472" s="4"/>
      <c r="W472" s="4"/>
      <c r="AB472" s="4"/>
      <c r="AG472" s="4"/>
      <c r="AL472" s="4"/>
      <c r="AQ472" s="4"/>
      <c r="AV472" s="4"/>
      <c r="BA472" s="4"/>
    </row>
    <row r="473" spans="8:53" s="1" customFormat="1" ht="53.45" customHeight="1">
      <c r="H473" s="4"/>
      <c r="M473" s="4"/>
      <c r="R473" s="4"/>
      <c r="W473" s="4"/>
      <c r="AB473" s="4"/>
      <c r="AG473" s="4"/>
      <c r="AL473" s="4"/>
      <c r="AQ473" s="4"/>
      <c r="AV473" s="4"/>
      <c r="BA473" s="4"/>
    </row>
    <row r="474" spans="8:53" s="1" customFormat="1" ht="53.45" customHeight="1">
      <c r="H474" s="4"/>
      <c r="M474" s="4"/>
      <c r="R474" s="4"/>
      <c r="W474" s="4"/>
      <c r="AB474" s="4"/>
      <c r="AG474" s="4"/>
      <c r="AL474" s="4"/>
      <c r="AQ474" s="4"/>
      <c r="AV474" s="4"/>
      <c r="BA474" s="4"/>
    </row>
    <row r="475" spans="8:53" s="1" customFormat="1" ht="53.45" customHeight="1">
      <c r="H475" s="4"/>
      <c r="M475" s="4"/>
      <c r="R475" s="4"/>
      <c r="W475" s="4"/>
      <c r="AB475" s="4"/>
      <c r="AG475" s="4"/>
      <c r="AL475" s="4"/>
      <c r="AQ475" s="4"/>
      <c r="AV475" s="4"/>
      <c r="BA475" s="4"/>
    </row>
    <row r="476" spans="8:53" s="1" customFormat="1" ht="53.45" customHeight="1">
      <c r="H476" s="4"/>
      <c r="M476" s="4"/>
      <c r="R476" s="4"/>
      <c r="W476" s="4"/>
      <c r="AB476" s="4"/>
      <c r="AG476" s="4"/>
      <c r="AL476" s="4"/>
      <c r="AQ476" s="4"/>
      <c r="AV476" s="4"/>
      <c r="BA476" s="4"/>
    </row>
    <row r="477" spans="8:53" s="1" customFormat="1" ht="53.45" customHeight="1">
      <c r="H477" s="4"/>
      <c r="M477" s="4"/>
      <c r="R477" s="4"/>
      <c r="W477" s="4"/>
      <c r="AB477" s="4"/>
      <c r="AG477" s="4"/>
      <c r="AL477" s="4"/>
      <c r="AQ477" s="4"/>
      <c r="AV477" s="4"/>
      <c r="BA477" s="4"/>
    </row>
    <row r="478" spans="8:53" s="1" customFormat="1" ht="53.45" customHeight="1">
      <c r="H478" s="4"/>
      <c r="M478" s="4"/>
      <c r="R478" s="4"/>
      <c r="W478" s="4"/>
      <c r="AB478" s="4"/>
      <c r="AG478" s="4"/>
      <c r="AL478" s="4"/>
      <c r="AQ478" s="4"/>
      <c r="AV478" s="4"/>
      <c r="BA478" s="4"/>
    </row>
    <row r="479" spans="8:53" s="1" customFormat="1" ht="53.45" customHeight="1">
      <c r="H479" s="4"/>
      <c r="M479" s="4"/>
      <c r="R479" s="4"/>
      <c r="W479" s="4"/>
      <c r="AB479" s="4"/>
      <c r="AG479" s="4"/>
      <c r="AL479" s="4"/>
      <c r="AQ479" s="4"/>
      <c r="AV479" s="4"/>
      <c r="BA479" s="4"/>
    </row>
    <row r="480" spans="8:53" s="1" customFormat="1" ht="53.45" customHeight="1">
      <c r="H480" s="4"/>
      <c r="M480" s="4"/>
      <c r="R480" s="4"/>
      <c r="W480" s="4"/>
      <c r="AB480" s="4"/>
      <c r="AG480" s="4"/>
      <c r="AL480" s="4"/>
      <c r="AQ480" s="4"/>
      <c r="AV480" s="4"/>
      <c r="BA480" s="4"/>
    </row>
    <row r="481" spans="8:53" s="1" customFormat="1" ht="53.45" customHeight="1">
      <c r="H481" s="4"/>
      <c r="M481" s="4"/>
      <c r="R481" s="4"/>
      <c r="W481" s="4"/>
      <c r="AB481" s="4"/>
      <c r="AG481" s="4"/>
      <c r="AL481" s="4"/>
      <c r="AQ481" s="4"/>
      <c r="AV481" s="4"/>
      <c r="BA481" s="4"/>
    </row>
  </sheetData>
  <mergeCells count="23">
    <mergeCell ref="AE3:AF3"/>
    <mergeCell ref="H1:AF1"/>
    <mergeCell ref="H2:K2"/>
    <mergeCell ref="M2:P2"/>
    <mergeCell ref="R2:T2"/>
    <mergeCell ref="V2:X2"/>
    <mergeCell ref="Z2:AB2"/>
    <mergeCell ref="AE2:AF2"/>
    <mergeCell ref="H3:K3"/>
    <mergeCell ref="M3:P3"/>
    <mergeCell ref="R3:T3"/>
    <mergeCell ref="V3:X3"/>
    <mergeCell ref="Z3:AB3"/>
    <mergeCell ref="AL16:AL17"/>
    <mergeCell ref="AQ16:AQ17"/>
    <mergeCell ref="AV16:AV17"/>
    <mergeCell ref="BA16:BA17"/>
    <mergeCell ref="H16:H17"/>
    <mergeCell ref="M16:M17"/>
    <mergeCell ref="R16:R17"/>
    <mergeCell ref="W16:W17"/>
    <mergeCell ref="AB16:AB17"/>
    <mergeCell ref="AG16:AG17"/>
  </mergeCells>
  <printOptions horizontalCentered="1" verticalCentered="1"/>
  <pageMargins left="0" right="0" top="0" bottom="0" header="0" footer="0"/>
  <pageSetup paperSize="9" scale="2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481"/>
  <sheetViews>
    <sheetView view="pageBreakPreview" zoomScale="40" zoomScaleNormal="20" zoomScaleSheetLayoutView="40" workbookViewId="0">
      <selection activeCell="V4" sqref="V4"/>
    </sheetView>
  </sheetViews>
  <sheetFormatPr defaultRowHeight="15"/>
  <cols>
    <col min="1" max="1" width="2.42578125" customWidth="1"/>
    <col min="2" max="2" width="36.42578125" customWidth="1"/>
    <col min="4" max="4" width="8.85546875" customWidth="1"/>
    <col min="7" max="7" width="2.42578125" customWidth="1"/>
    <col min="8" max="8" width="6.5703125" style="15" bestFit="1" customWidth="1"/>
    <col min="9" max="9" width="60.7109375" customWidth="1"/>
    <col min="10" max="12" width="11.28515625" customWidth="1"/>
    <col min="13" max="13" width="6.5703125" style="15" bestFit="1" customWidth="1"/>
    <col min="14" max="14" width="60.7109375" customWidth="1"/>
    <col min="15" max="17" width="11.28515625" customWidth="1"/>
    <col min="18" max="18" width="6.5703125" style="15" bestFit="1" customWidth="1"/>
    <col min="19" max="19" width="60.7109375" customWidth="1"/>
    <col min="20" max="22" width="11.28515625" customWidth="1"/>
    <col min="23" max="23" width="6.5703125" style="15" bestFit="1" customWidth="1"/>
    <col min="24" max="24" width="60.7109375" customWidth="1"/>
    <col min="25" max="27" width="11.28515625" customWidth="1"/>
    <col min="28" max="28" width="6.5703125" style="15" bestFit="1" customWidth="1"/>
    <col min="29" max="29" width="60.7109375" customWidth="1"/>
    <col min="30" max="32" width="11.28515625" customWidth="1"/>
    <col min="33" max="33" width="6.5703125" style="15" bestFit="1" customWidth="1"/>
    <col min="34" max="34" width="60.7109375" customWidth="1"/>
    <col min="35" max="37" width="11.28515625" customWidth="1"/>
    <col min="38" max="38" width="5.7109375" style="15" customWidth="1"/>
    <col min="39" max="39" width="60.7109375" customWidth="1"/>
    <col min="40" max="42" width="11.28515625" customWidth="1"/>
    <col min="43" max="43" width="5.7109375" style="15" customWidth="1"/>
    <col min="44" max="44" width="60.7109375" customWidth="1"/>
    <col min="45" max="47" width="11.28515625" customWidth="1"/>
    <col min="48" max="48" width="5.7109375" style="15" customWidth="1"/>
    <col min="49" max="49" width="60.7109375" customWidth="1"/>
    <col min="50" max="52" width="11.28515625" customWidth="1"/>
    <col min="53" max="53" width="5.7109375" style="15" customWidth="1"/>
    <col min="54" max="54" width="60.7109375" customWidth="1"/>
    <col min="55" max="57" width="11.28515625" customWidth="1"/>
  </cols>
  <sheetData>
    <row r="1" spans="2:57" s="1" customFormat="1" ht="47.45" customHeight="1">
      <c r="C1" s="16"/>
      <c r="D1" s="16"/>
      <c r="E1" s="16"/>
      <c r="F1" s="16"/>
      <c r="G1" s="16"/>
      <c r="H1" s="46" t="str">
        <f>'YAMAZUMI цеха'!H1</f>
        <v>YAMAZUMI ""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</row>
    <row r="2" spans="2:57" s="1" customFormat="1" ht="51.6" customHeight="1">
      <c r="H2" s="47" t="s">
        <v>12</v>
      </c>
      <c r="I2" s="47"/>
      <c r="J2" s="47"/>
      <c r="K2" s="47"/>
      <c r="L2" s="2"/>
      <c r="M2" s="47" t="s">
        <v>6</v>
      </c>
      <c r="N2" s="47"/>
      <c r="O2" s="47"/>
      <c r="P2" s="47"/>
      <c r="Q2" s="2"/>
      <c r="R2" s="47" t="s">
        <v>7</v>
      </c>
      <c r="S2" s="47"/>
      <c r="T2" s="47"/>
      <c r="U2" s="2"/>
      <c r="V2" s="47" t="s">
        <v>0</v>
      </c>
      <c r="W2" s="47"/>
      <c r="X2" s="47"/>
      <c r="Y2" s="2"/>
      <c r="Z2" s="47" t="s">
        <v>13</v>
      </c>
      <c r="AA2" s="47"/>
      <c r="AB2" s="47"/>
      <c r="AC2" s="22">
        <f>MAX(E5:E14)*1.1</f>
        <v>0</v>
      </c>
      <c r="AE2" s="41" t="s">
        <v>30</v>
      </c>
      <c r="AF2" s="41"/>
      <c r="AG2" s="4"/>
      <c r="AL2" s="4"/>
      <c r="AQ2" s="4"/>
      <c r="AV2" s="4"/>
      <c r="BA2" s="4"/>
    </row>
    <row r="3" spans="2:57" s="1" customFormat="1" ht="51.6" customHeight="1">
      <c r="H3" s="47">
        <f>COUNTA(I18:I153,N18:N153,S18:S153,X18:X153,AC18:AC153)</f>
        <v>0</v>
      </c>
      <c r="I3" s="47"/>
      <c r="J3" s="47"/>
      <c r="K3" s="47"/>
      <c r="L3" s="2"/>
      <c r="M3" s="47">
        <f>COUNTA(I18,N18,S18,X18,AC18)</f>
        <v>0</v>
      </c>
      <c r="N3" s="47"/>
      <c r="O3" s="47"/>
      <c r="P3" s="47"/>
      <c r="Q3" s="2"/>
      <c r="R3" s="48">
        <f>'YAMAZUMI цеха'!R3</f>
        <v>0</v>
      </c>
      <c r="S3" s="47"/>
      <c r="T3" s="47"/>
      <c r="U3" s="2"/>
      <c r="V3" s="47"/>
      <c r="W3" s="47"/>
      <c r="X3" s="47"/>
      <c r="Y3" s="2"/>
      <c r="Z3" s="47" t="s">
        <v>8</v>
      </c>
      <c r="AA3" s="47"/>
      <c r="AB3" s="47"/>
      <c r="AC3" s="22">
        <f>MAX(E5:E14)</f>
        <v>0</v>
      </c>
      <c r="AE3" s="42" t="e">
        <f>26700/AC2</f>
        <v>#DIV/0!</v>
      </c>
      <c r="AF3" s="42"/>
      <c r="AG3" s="4"/>
      <c r="AL3" s="4"/>
      <c r="AQ3" s="4"/>
      <c r="AV3" s="4"/>
      <c r="BA3" s="4"/>
    </row>
    <row r="4" spans="2:57" s="1" customFormat="1" ht="81.599999999999994" customHeight="1">
      <c r="B4" s="23" t="s">
        <v>9</v>
      </c>
      <c r="C4" s="6" t="s">
        <v>2</v>
      </c>
      <c r="D4" s="6" t="s">
        <v>3</v>
      </c>
      <c r="E4" s="6" t="s">
        <v>10</v>
      </c>
      <c r="F4" s="6" t="s">
        <v>5</v>
      </c>
      <c r="H4" s="4"/>
      <c r="M4" s="4"/>
      <c r="R4" s="4"/>
      <c r="W4" s="4"/>
      <c r="AB4" s="4"/>
      <c r="AG4" s="4"/>
      <c r="AL4" s="4"/>
      <c r="AQ4" s="4"/>
      <c r="AV4" s="4"/>
      <c r="BA4" s="4"/>
    </row>
    <row r="5" spans="2:57" s="1" customFormat="1" ht="51.6" customHeight="1">
      <c r="B5" s="7" t="s">
        <v>20</v>
      </c>
      <c r="C5" s="22">
        <f>J17</f>
        <v>0</v>
      </c>
      <c r="D5" s="22">
        <f>K17</f>
        <v>0</v>
      </c>
      <c r="E5" s="22">
        <f>L17</f>
        <v>0</v>
      </c>
      <c r="F5" s="22">
        <f>AC2</f>
        <v>0</v>
      </c>
      <c r="H5" s="4"/>
      <c r="M5" s="4"/>
      <c r="R5" s="4"/>
      <c r="W5" s="4"/>
      <c r="AB5" s="4"/>
      <c r="AG5" s="4"/>
      <c r="AL5" s="4"/>
      <c r="AQ5" s="4"/>
      <c r="AV5" s="4"/>
      <c r="BA5" s="4"/>
    </row>
    <row r="6" spans="2:57" s="1" customFormat="1" ht="51.6" customHeight="1">
      <c r="B6" s="7" t="s">
        <v>21</v>
      </c>
      <c r="C6" s="22">
        <f>O17</f>
        <v>0</v>
      </c>
      <c r="D6" s="22">
        <f>P17</f>
        <v>0</v>
      </c>
      <c r="E6" s="22">
        <f>Q17</f>
        <v>0</v>
      </c>
      <c r="F6" s="22">
        <f>AC2</f>
        <v>0</v>
      </c>
      <c r="H6" s="4"/>
      <c r="M6" s="4"/>
      <c r="R6" s="4"/>
      <c r="W6" s="4"/>
      <c r="AB6" s="4"/>
      <c r="AG6" s="4"/>
      <c r="AL6" s="4"/>
      <c r="AQ6" s="4"/>
      <c r="AV6" s="4"/>
      <c r="BA6" s="4"/>
    </row>
    <row r="7" spans="2:57" s="1" customFormat="1" ht="51.6" customHeight="1">
      <c r="B7" s="7" t="s">
        <v>22</v>
      </c>
      <c r="C7" s="22">
        <f>T17</f>
        <v>0</v>
      </c>
      <c r="D7" s="22">
        <f>U17</f>
        <v>0</v>
      </c>
      <c r="E7" s="22">
        <f>V17</f>
        <v>0</v>
      </c>
      <c r="F7" s="22">
        <f>AC2</f>
        <v>0</v>
      </c>
      <c r="H7" s="4"/>
      <c r="M7" s="4"/>
      <c r="R7" s="4"/>
      <c r="W7" s="4"/>
      <c r="AB7" s="4"/>
      <c r="AG7" s="4"/>
      <c r="AL7" s="4"/>
      <c r="AQ7" s="4"/>
      <c r="AV7" s="4"/>
      <c r="BA7" s="4"/>
    </row>
    <row r="8" spans="2:57" s="1" customFormat="1" ht="51.6" customHeight="1">
      <c r="B8" s="7" t="s">
        <v>23</v>
      </c>
      <c r="C8" s="22">
        <f>Y17</f>
        <v>0</v>
      </c>
      <c r="D8" s="22">
        <f>Z17</f>
        <v>0</v>
      </c>
      <c r="E8" s="22">
        <f>AA17</f>
        <v>0</v>
      </c>
      <c r="F8" s="22">
        <f>AC2</f>
        <v>0</v>
      </c>
      <c r="H8" s="4"/>
      <c r="M8" s="4"/>
      <c r="R8" s="4"/>
      <c r="W8" s="4"/>
      <c r="AB8" s="4"/>
      <c r="AG8" s="4"/>
      <c r="AL8" s="4"/>
      <c r="AQ8" s="4"/>
      <c r="AV8" s="4"/>
      <c r="BA8" s="4"/>
    </row>
    <row r="9" spans="2:57" s="1" customFormat="1" ht="51.6" customHeight="1">
      <c r="B9" s="7" t="s">
        <v>24</v>
      </c>
      <c r="C9" s="22">
        <f>AD17</f>
        <v>0</v>
      </c>
      <c r="D9" s="22">
        <f>AE17</f>
        <v>0</v>
      </c>
      <c r="E9" s="22">
        <f>AF17</f>
        <v>0</v>
      </c>
      <c r="F9" s="22">
        <f>AC2</f>
        <v>0</v>
      </c>
      <c r="H9" s="4"/>
      <c r="M9" s="4"/>
      <c r="R9" s="4"/>
      <c r="W9" s="4"/>
      <c r="AB9" s="4"/>
      <c r="AG9" s="4"/>
      <c r="AL9" s="4"/>
      <c r="AQ9" s="4"/>
      <c r="AV9" s="4"/>
      <c r="BA9" s="4"/>
    </row>
    <row r="10" spans="2:57" s="1" customFormat="1" ht="51.6" customHeight="1">
      <c r="B10" s="7" t="s">
        <v>25</v>
      </c>
      <c r="C10" s="22">
        <f>AI17</f>
        <v>0</v>
      </c>
      <c r="D10" s="22">
        <f>AJ17</f>
        <v>0</v>
      </c>
      <c r="E10" s="22">
        <f>AK17</f>
        <v>0</v>
      </c>
      <c r="F10" s="22">
        <f>AC2</f>
        <v>0</v>
      </c>
      <c r="H10" s="4"/>
      <c r="M10" s="4"/>
      <c r="R10" s="4"/>
      <c r="W10" s="4"/>
      <c r="AB10" s="4"/>
      <c r="AG10" s="4"/>
      <c r="AL10" s="4"/>
      <c r="AQ10" s="4"/>
      <c r="AV10" s="4"/>
      <c r="BA10" s="4"/>
    </row>
    <row r="11" spans="2:57" s="1" customFormat="1" ht="51.6" customHeight="1">
      <c r="B11" s="7" t="s">
        <v>26</v>
      </c>
      <c r="C11" s="22">
        <f>AN17</f>
        <v>0</v>
      </c>
      <c r="D11" s="22">
        <f>AO17</f>
        <v>0</v>
      </c>
      <c r="E11" s="22">
        <f>AP17</f>
        <v>0</v>
      </c>
      <c r="F11" s="22">
        <f>AC2</f>
        <v>0</v>
      </c>
      <c r="H11" s="4"/>
      <c r="M11" s="4"/>
      <c r="R11" s="4"/>
      <c r="W11" s="4"/>
      <c r="AB11" s="4"/>
      <c r="AG11" s="4"/>
      <c r="AL11" s="4"/>
      <c r="AQ11" s="4"/>
      <c r="AV11" s="4"/>
      <c r="BA11" s="4"/>
    </row>
    <row r="12" spans="2:57" s="1" customFormat="1" ht="51.6" customHeight="1">
      <c r="B12" s="7" t="s">
        <v>27</v>
      </c>
      <c r="C12" s="22">
        <f>AS17</f>
        <v>0</v>
      </c>
      <c r="D12" s="22">
        <f>AT17</f>
        <v>0</v>
      </c>
      <c r="E12" s="22">
        <f>AU17</f>
        <v>0</v>
      </c>
      <c r="F12" s="22">
        <f>AC2</f>
        <v>0</v>
      </c>
      <c r="H12" s="4"/>
      <c r="M12" s="4"/>
      <c r="R12" s="4"/>
      <c r="W12" s="4"/>
      <c r="AB12" s="4"/>
      <c r="AG12" s="4"/>
      <c r="AL12" s="4"/>
      <c r="AQ12" s="4"/>
      <c r="AV12" s="4"/>
      <c r="BA12" s="4"/>
    </row>
    <row r="13" spans="2:57" s="1" customFormat="1" ht="51.6" customHeight="1">
      <c r="B13" s="7" t="s">
        <v>28</v>
      </c>
      <c r="C13" s="22">
        <f>AX17</f>
        <v>0</v>
      </c>
      <c r="D13" s="22">
        <f>AY17</f>
        <v>0</v>
      </c>
      <c r="E13" s="22">
        <f>AZ17</f>
        <v>0</v>
      </c>
      <c r="F13" s="22">
        <f>AC2</f>
        <v>0</v>
      </c>
      <c r="H13" s="4"/>
      <c r="M13" s="4"/>
      <c r="R13" s="4"/>
      <c r="W13" s="4"/>
      <c r="AB13" s="4"/>
      <c r="AG13" s="4"/>
      <c r="AL13" s="4"/>
      <c r="AQ13" s="4"/>
      <c r="AV13" s="4"/>
      <c r="BA13" s="4"/>
    </row>
    <row r="14" spans="2:57" s="1" customFormat="1" ht="51.6" customHeight="1">
      <c r="B14" s="7" t="s">
        <v>29</v>
      </c>
      <c r="C14" s="22">
        <f>BC17</f>
        <v>0</v>
      </c>
      <c r="D14" s="22">
        <f>BD17</f>
        <v>0</v>
      </c>
      <c r="E14" s="22">
        <f>BE17</f>
        <v>0</v>
      </c>
      <c r="F14" s="22">
        <f>AC2</f>
        <v>0</v>
      </c>
      <c r="H14" s="4"/>
      <c r="M14" s="4"/>
      <c r="R14" s="4"/>
      <c r="W14" s="4"/>
      <c r="AB14" s="4"/>
      <c r="AG14" s="4"/>
      <c r="AL14" s="4"/>
      <c r="AQ14" s="4"/>
      <c r="AV14" s="4"/>
      <c r="BA14" s="4"/>
    </row>
    <row r="15" spans="2:57" s="1" customFormat="1" ht="15.75">
      <c r="H15" s="4"/>
      <c r="M15" s="4"/>
      <c r="R15" s="4"/>
      <c r="W15" s="4"/>
      <c r="AB15" s="4"/>
      <c r="AG15" s="4"/>
      <c r="AL15" s="4"/>
      <c r="AQ15" s="4"/>
      <c r="AV15" s="4"/>
      <c r="BA15" s="4"/>
    </row>
    <row r="16" spans="2:57" s="2" customFormat="1" ht="94.15" customHeight="1">
      <c r="H16" s="43" t="s">
        <v>1</v>
      </c>
      <c r="I16" s="22" t="s">
        <v>20</v>
      </c>
      <c r="J16" s="8" t="s">
        <v>2</v>
      </c>
      <c r="K16" s="8" t="s">
        <v>3</v>
      </c>
      <c r="L16" s="8" t="s">
        <v>10</v>
      </c>
      <c r="M16" s="43" t="s">
        <v>1</v>
      </c>
      <c r="N16" s="22" t="s">
        <v>21</v>
      </c>
      <c r="O16" s="8" t="s">
        <v>2</v>
      </c>
      <c r="P16" s="8" t="s">
        <v>3</v>
      </c>
      <c r="Q16" s="8" t="s">
        <v>10</v>
      </c>
      <c r="R16" s="43" t="s">
        <v>1</v>
      </c>
      <c r="S16" s="22" t="s">
        <v>22</v>
      </c>
      <c r="T16" s="8" t="s">
        <v>2</v>
      </c>
      <c r="U16" s="8" t="s">
        <v>3</v>
      </c>
      <c r="V16" s="8" t="s">
        <v>10</v>
      </c>
      <c r="W16" s="43" t="s">
        <v>1</v>
      </c>
      <c r="X16" s="22" t="s">
        <v>23</v>
      </c>
      <c r="Y16" s="8" t="s">
        <v>2</v>
      </c>
      <c r="Z16" s="8" t="s">
        <v>3</v>
      </c>
      <c r="AA16" s="8" t="s">
        <v>10</v>
      </c>
      <c r="AB16" s="43" t="s">
        <v>1</v>
      </c>
      <c r="AC16" s="22" t="s">
        <v>24</v>
      </c>
      <c r="AD16" s="8" t="s">
        <v>2</v>
      </c>
      <c r="AE16" s="8" t="s">
        <v>3</v>
      </c>
      <c r="AF16" s="8" t="s">
        <v>10</v>
      </c>
      <c r="AG16" s="43" t="s">
        <v>1</v>
      </c>
      <c r="AH16" s="22" t="s">
        <v>25</v>
      </c>
      <c r="AI16" s="8" t="s">
        <v>2</v>
      </c>
      <c r="AJ16" s="8" t="s">
        <v>3</v>
      </c>
      <c r="AK16" s="8" t="s">
        <v>10</v>
      </c>
      <c r="AL16" s="43" t="s">
        <v>1</v>
      </c>
      <c r="AM16" s="22" t="s">
        <v>26</v>
      </c>
      <c r="AN16" s="8" t="s">
        <v>2</v>
      </c>
      <c r="AO16" s="8" t="s">
        <v>3</v>
      </c>
      <c r="AP16" s="8" t="s">
        <v>10</v>
      </c>
      <c r="AQ16" s="43" t="s">
        <v>1</v>
      </c>
      <c r="AR16" s="22" t="s">
        <v>27</v>
      </c>
      <c r="AS16" s="8" t="s">
        <v>2</v>
      </c>
      <c r="AT16" s="8" t="s">
        <v>3</v>
      </c>
      <c r="AU16" s="8" t="s">
        <v>10</v>
      </c>
      <c r="AV16" s="43" t="s">
        <v>1</v>
      </c>
      <c r="AW16" s="22" t="s">
        <v>28</v>
      </c>
      <c r="AX16" s="8" t="s">
        <v>2</v>
      </c>
      <c r="AY16" s="8" t="s">
        <v>3</v>
      </c>
      <c r="AZ16" s="8" t="s">
        <v>10</v>
      </c>
      <c r="BA16" s="43" t="s">
        <v>1</v>
      </c>
      <c r="BB16" s="22" t="s">
        <v>29</v>
      </c>
      <c r="BC16" s="8" t="s">
        <v>2</v>
      </c>
      <c r="BD16" s="8" t="s">
        <v>3</v>
      </c>
      <c r="BE16" s="8" t="s">
        <v>10</v>
      </c>
    </row>
    <row r="17" spans="1:57" s="2" customFormat="1" ht="63.6" customHeight="1">
      <c r="H17" s="43"/>
      <c r="I17" s="23" t="s">
        <v>4</v>
      </c>
      <c r="J17" s="9">
        <f>SUM(J18:J73)</f>
        <v>0</v>
      </c>
      <c r="K17" s="9">
        <f>SUM(K18:K73)</f>
        <v>0</v>
      </c>
      <c r="L17" s="9">
        <f>SUM(L18:L73)</f>
        <v>0</v>
      </c>
      <c r="M17" s="43"/>
      <c r="N17" s="23" t="s">
        <v>4</v>
      </c>
      <c r="O17" s="9">
        <f>SUM(O18:O73)</f>
        <v>0</v>
      </c>
      <c r="P17" s="9">
        <f>SUM(P18:P73)</f>
        <v>0</v>
      </c>
      <c r="Q17" s="9">
        <f>SUM(Q18:Q73)</f>
        <v>0</v>
      </c>
      <c r="R17" s="43"/>
      <c r="S17" s="23" t="s">
        <v>4</v>
      </c>
      <c r="T17" s="9">
        <f>SUM(T18:T73)</f>
        <v>0</v>
      </c>
      <c r="U17" s="9">
        <f>SUM(U18:U73)</f>
        <v>0</v>
      </c>
      <c r="V17" s="9">
        <f>SUM(V18:V73)</f>
        <v>0</v>
      </c>
      <c r="W17" s="43"/>
      <c r="X17" s="23" t="s">
        <v>4</v>
      </c>
      <c r="Y17" s="9">
        <f>SUM(Y18:Y73)</f>
        <v>0</v>
      </c>
      <c r="Z17" s="9">
        <f>SUM(Z18:Z73)</f>
        <v>0</v>
      </c>
      <c r="AA17" s="9">
        <f>SUM(AA18:AA73)</f>
        <v>0</v>
      </c>
      <c r="AB17" s="43"/>
      <c r="AC17" s="23" t="s">
        <v>4</v>
      </c>
      <c r="AD17" s="9">
        <f>SUM(AD18:AD73)</f>
        <v>0</v>
      </c>
      <c r="AE17" s="9">
        <f>SUM(AE18:AE73)</f>
        <v>0</v>
      </c>
      <c r="AF17" s="9">
        <f>SUM(AF18:AF73)</f>
        <v>0</v>
      </c>
      <c r="AG17" s="43"/>
      <c r="AH17" s="23" t="s">
        <v>4</v>
      </c>
      <c r="AI17" s="9">
        <f>SUM(AI18:AI73)</f>
        <v>0</v>
      </c>
      <c r="AJ17" s="9">
        <f>SUM(AJ18:AJ73)</f>
        <v>0</v>
      </c>
      <c r="AK17" s="9">
        <f>SUM(AK18:AK73)</f>
        <v>0</v>
      </c>
      <c r="AL17" s="43"/>
      <c r="AM17" s="23" t="s">
        <v>4</v>
      </c>
      <c r="AN17" s="9">
        <f>SUM(AN18:AN73)</f>
        <v>0</v>
      </c>
      <c r="AO17" s="9">
        <f>SUM(AO18:AO73)</f>
        <v>0</v>
      </c>
      <c r="AP17" s="9">
        <f>SUM(AP18:AP73)</f>
        <v>0</v>
      </c>
      <c r="AQ17" s="43"/>
      <c r="AR17" s="23" t="s">
        <v>4</v>
      </c>
      <c r="AS17" s="9">
        <f>SUM(AS18:AS73)</f>
        <v>0</v>
      </c>
      <c r="AT17" s="9">
        <f>SUM(AT18:AT73)</f>
        <v>0</v>
      </c>
      <c r="AU17" s="9">
        <f>SUM(AU18:AU73)</f>
        <v>0</v>
      </c>
      <c r="AV17" s="43"/>
      <c r="AW17" s="23" t="s">
        <v>4</v>
      </c>
      <c r="AX17" s="9">
        <f>SUM(AX18:AX73)</f>
        <v>0</v>
      </c>
      <c r="AY17" s="9">
        <f>SUM(AY18:AY73)</f>
        <v>0</v>
      </c>
      <c r="AZ17" s="9">
        <f>SUM(AZ18:AZ73)</f>
        <v>0</v>
      </c>
      <c r="BA17" s="43"/>
      <c r="BB17" s="23" t="s">
        <v>4</v>
      </c>
      <c r="BC17" s="9">
        <f>SUM(BC18:BC73)</f>
        <v>0</v>
      </c>
      <c r="BD17" s="9">
        <f>SUM(BD18:BD73)</f>
        <v>0</v>
      </c>
      <c r="BE17" s="9">
        <f>SUM(BE18:BE73)</f>
        <v>0</v>
      </c>
    </row>
    <row r="18" spans="1:57" s="2" customFormat="1" ht="90" customHeight="1">
      <c r="H18" s="25">
        <v>1</v>
      </c>
      <c r="I18" s="11"/>
      <c r="J18" s="12"/>
      <c r="K18" s="12"/>
      <c r="L18" s="12">
        <f>SUM(J18:K18)</f>
        <v>0</v>
      </c>
      <c r="M18" s="25">
        <v>1</v>
      </c>
      <c r="N18" s="11"/>
      <c r="O18" s="12"/>
      <c r="P18" s="12"/>
      <c r="Q18" s="12">
        <f>SUM(O18:P18)</f>
        <v>0</v>
      </c>
      <c r="R18" s="25">
        <v>1</v>
      </c>
      <c r="S18" s="13"/>
      <c r="T18" s="14"/>
      <c r="U18" s="14"/>
      <c r="V18" s="12">
        <f>SUM(T18:U18)</f>
        <v>0</v>
      </c>
      <c r="W18" s="25">
        <v>1</v>
      </c>
      <c r="X18" s="13"/>
      <c r="Y18" s="14"/>
      <c r="Z18" s="14"/>
      <c r="AA18" s="12">
        <f>SUM(Y18:Z18)</f>
        <v>0</v>
      </c>
      <c r="AB18" s="25">
        <v>1</v>
      </c>
      <c r="AC18" s="11"/>
      <c r="AD18" s="12"/>
      <c r="AE18" s="12"/>
      <c r="AF18" s="12">
        <f>SUM(AD18:AE18)</f>
        <v>0</v>
      </c>
      <c r="AG18" s="25">
        <v>1</v>
      </c>
      <c r="AH18" s="11"/>
      <c r="AI18" s="12"/>
      <c r="AJ18" s="12"/>
      <c r="AK18" s="12">
        <f>SUM(AI18:AJ18)</f>
        <v>0</v>
      </c>
      <c r="AL18" s="25">
        <v>1</v>
      </c>
      <c r="AM18" s="11"/>
      <c r="AN18" s="12"/>
      <c r="AO18" s="12"/>
      <c r="AP18" s="12">
        <f>SUM(AN18:AO18)</f>
        <v>0</v>
      </c>
      <c r="AQ18" s="25">
        <v>1</v>
      </c>
      <c r="AR18" s="11"/>
      <c r="AS18" s="12"/>
      <c r="AT18" s="12"/>
      <c r="AU18" s="12">
        <f>SUM(AS18:AT18)</f>
        <v>0</v>
      </c>
      <c r="AV18" s="25">
        <v>1</v>
      </c>
      <c r="AW18" s="11"/>
      <c r="AX18" s="12"/>
      <c r="AY18" s="12"/>
      <c r="AZ18" s="12">
        <f>SUM(AX18:AY18)</f>
        <v>0</v>
      </c>
      <c r="BA18" s="25">
        <v>1</v>
      </c>
      <c r="BB18" s="11"/>
      <c r="BC18" s="12"/>
      <c r="BD18" s="12"/>
      <c r="BE18" s="12">
        <f>SUM(BC18:BD18)</f>
        <v>0</v>
      </c>
    </row>
    <row r="19" spans="1:57" s="2" customFormat="1" ht="90" customHeight="1">
      <c r="H19" s="23">
        <v>2</v>
      </c>
      <c r="I19" s="13"/>
      <c r="J19" s="14"/>
      <c r="K19" s="14"/>
      <c r="L19" s="14">
        <f t="shared" ref="L19:L73" si="0">SUM(J19:K19)</f>
        <v>0</v>
      </c>
      <c r="M19" s="23">
        <v>2</v>
      </c>
      <c r="N19" s="13"/>
      <c r="O19" s="14"/>
      <c r="P19" s="14"/>
      <c r="Q19" s="14">
        <f t="shared" ref="Q19:Q73" si="1">SUM(O19:P19)</f>
        <v>0</v>
      </c>
      <c r="R19" s="23">
        <v>2</v>
      </c>
      <c r="S19" s="11"/>
      <c r="T19" s="12"/>
      <c r="U19" s="12"/>
      <c r="V19" s="14">
        <f t="shared" ref="V19:V73" si="2">SUM(T19:U19)</f>
        <v>0</v>
      </c>
      <c r="W19" s="23">
        <v>2</v>
      </c>
      <c r="X19" s="11"/>
      <c r="Y19" s="12"/>
      <c r="Z19" s="12"/>
      <c r="AA19" s="14">
        <f t="shared" ref="AA19:AA73" si="3">SUM(Y19:Z19)</f>
        <v>0</v>
      </c>
      <c r="AB19" s="23">
        <v>2</v>
      </c>
      <c r="AC19" s="13"/>
      <c r="AD19" s="14"/>
      <c r="AE19" s="14"/>
      <c r="AF19" s="14">
        <f t="shared" ref="AF19:AF73" si="4">SUM(AD19:AE19)</f>
        <v>0</v>
      </c>
      <c r="AG19" s="23">
        <v>2</v>
      </c>
      <c r="AH19" s="13"/>
      <c r="AI19" s="14"/>
      <c r="AJ19" s="14"/>
      <c r="AK19" s="14">
        <f t="shared" ref="AK19:AK73" si="5">SUM(AI19:AJ19)</f>
        <v>0</v>
      </c>
      <c r="AL19" s="23">
        <v>2</v>
      </c>
      <c r="AM19" s="13"/>
      <c r="AN19" s="14"/>
      <c r="AO19" s="14"/>
      <c r="AP19" s="14">
        <f t="shared" ref="AP19:AP73" si="6">SUM(AN19:AO19)</f>
        <v>0</v>
      </c>
      <c r="AQ19" s="23">
        <v>2</v>
      </c>
      <c r="AR19" s="13"/>
      <c r="AS19" s="14"/>
      <c r="AT19" s="14"/>
      <c r="AU19" s="14">
        <f t="shared" ref="AU19:AU73" si="7">SUM(AS19:AT19)</f>
        <v>0</v>
      </c>
      <c r="AV19" s="23">
        <v>2</v>
      </c>
      <c r="AW19" s="13"/>
      <c r="AX19" s="14"/>
      <c r="AY19" s="14"/>
      <c r="AZ19" s="14">
        <f t="shared" ref="AZ19:AZ73" si="8">SUM(AX19:AY19)</f>
        <v>0</v>
      </c>
      <c r="BA19" s="23">
        <v>2</v>
      </c>
      <c r="BB19" s="13"/>
      <c r="BC19" s="14"/>
      <c r="BD19" s="14"/>
      <c r="BE19" s="14">
        <f t="shared" ref="BE19:BE73" si="9">SUM(BC19:BD19)</f>
        <v>0</v>
      </c>
    </row>
    <row r="20" spans="1:57" s="2" customFormat="1" ht="90" customHeight="1">
      <c r="A20" s="18"/>
      <c r="H20" s="23">
        <v>3</v>
      </c>
      <c r="I20" s="13"/>
      <c r="J20" s="14"/>
      <c r="K20" s="14"/>
      <c r="L20" s="14">
        <f t="shared" si="0"/>
        <v>0</v>
      </c>
      <c r="M20" s="23">
        <v>3</v>
      </c>
      <c r="N20" s="13"/>
      <c r="O20" s="14"/>
      <c r="P20" s="14"/>
      <c r="Q20" s="14">
        <f t="shared" si="1"/>
        <v>0</v>
      </c>
      <c r="R20" s="23">
        <v>3</v>
      </c>
      <c r="S20" s="13"/>
      <c r="T20" s="14"/>
      <c r="U20" s="14"/>
      <c r="V20" s="14">
        <f t="shared" si="2"/>
        <v>0</v>
      </c>
      <c r="W20" s="23">
        <v>3</v>
      </c>
      <c r="X20" s="13"/>
      <c r="Y20" s="14"/>
      <c r="Z20" s="14"/>
      <c r="AA20" s="14">
        <f t="shared" si="3"/>
        <v>0</v>
      </c>
      <c r="AB20" s="23">
        <v>3</v>
      </c>
      <c r="AC20" s="13"/>
      <c r="AD20" s="14"/>
      <c r="AE20" s="14"/>
      <c r="AF20" s="14">
        <f t="shared" si="4"/>
        <v>0</v>
      </c>
      <c r="AG20" s="23">
        <v>3</v>
      </c>
      <c r="AH20" s="13"/>
      <c r="AI20" s="14"/>
      <c r="AJ20" s="14"/>
      <c r="AK20" s="14">
        <f t="shared" si="5"/>
        <v>0</v>
      </c>
      <c r="AL20" s="23">
        <v>3</v>
      </c>
      <c r="AM20" s="13"/>
      <c r="AN20" s="14"/>
      <c r="AO20" s="14"/>
      <c r="AP20" s="14">
        <f t="shared" si="6"/>
        <v>0</v>
      </c>
      <c r="AQ20" s="23">
        <v>3</v>
      </c>
      <c r="AR20" s="13"/>
      <c r="AS20" s="14"/>
      <c r="AT20" s="14"/>
      <c r="AU20" s="14">
        <f t="shared" si="7"/>
        <v>0</v>
      </c>
      <c r="AV20" s="23">
        <v>3</v>
      </c>
      <c r="AW20" s="13"/>
      <c r="AX20" s="14"/>
      <c r="AY20" s="14"/>
      <c r="AZ20" s="14">
        <f t="shared" si="8"/>
        <v>0</v>
      </c>
      <c r="BA20" s="23">
        <v>3</v>
      </c>
      <c r="BB20" s="13"/>
      <c r="BC20" s="14"/>
      <c r="BD20" s="14"/>
      <c r="BE20" s="14">
        <f t="shared" si="9"/>
        <v>0</v>
      </c>
    </row>
    <row r="21" spans="1:57" s="2" customFormat="1" ht="90" customHeight="1">
      <c r="H21" s="23">
        <v>4</v>
      </c>
      <c r="I21" s="13"/>
      <c r="J21" s="14"/>
      <c r="K21" s="14"/>
      <c r="L21" s="14">
        <f t="shared" si="0"/>
        <v>0</v>
      </c>
      <c r="M21" s="23">
        <v>4</v>
      </c>
      <c r="N21" s="13"/>
      <c r="O21" s="14"/>
      <c r="P21" s="14"/>
      <c r="Q21" s="14">
        <f t="shared" si="1"/>
        <v>0</v>
      </c>
      <c r="R21" s="23">
        <v>4</v>
      </c>
      <c r="S21" s="13"/>
      <c r="T21" s="14"/>
      <c r="U21" s="14"/>
      <c r="V21" s="14">
        <f t="shared" si="2"/>
        <v>0</v>
      </c>
      <c r="W21" s="23">
        <v>4</v>
      </c>
      <c r="X21" s="13"/>
      <c r="Y21" s="14"/>
      <c r="Z21" s="14"/>
      <c r="AA21" s="14">
        <f t="shared" si="3"/>
        <v>0</v>
      </c>
      <c r="AB21" s="23">
        <v>4</v>
      </c>
      <c r="AC21" s="13"/>
      <c r="AD21" s="14"/>
      <c r="AE21" s="14"/>
      <c r="AF21" s="14">
        <f t="shared" si="4"/>
        <v>0</v>
      </c>
      <c r="AG21" s="23">
        <v>4</v>
      </c>
      <c r="AH21" s="13"/>
      <c r="AI21" s="14"/>
      <c r="AJ21" s="14"/>
      <c r="AK21" s="14">
        <f t="shared" si="5"/>
        <v>0</v>
      </c>
      <c r="AL21" s="23">
        <v>4</v>
      </c>
      <c r="AM21" s="13"/>
      <c r="AN21" s="14"/>
      <c r="AO21" s="14"/>
      <c r="AP21" s="14">
        <f t="shared" si="6"/>
        <v>0</v>
      </c>
      <c r="AQ21" s="23">
        <v>4</v>
      </c>
      <c r="AR21" s="13"/>
      <c r="AS21" s="14"/>
      <c r="AT21" s="14"/>
      <c r="AU21" s="14">
        <f t="shared" si="7"/>
        <v>0</v>
      </c>
      <c r="AV21" s="23">
        <v>4</v>
      </c>
      <c r="AW21" s="13"/>
      <c r="AX21" s="14"/>
      <c r="AY21" s="14"/>
      <c r="AZ21" s="14">
        <f t="shared" si="8"/>
        <v>0</v>
      </c>
      <c r="BA21" s="23">
        <v>4</v>
      </c>
      <c r="BB21" s="13"/>
      <c r="BC21" s="14"/>
      <c r="BD21" s="14"/>
      <c r="BE21" s="14">
        <f t="shared" si="9"/>
        <v>0</v>
      </c>
    </row>
    <row r="22" spans="1:57" s="2" customFormat="1" ht="90" customHeight="1">
      <c r="H22" s="23">
        <v>5</v>
      </c>
      <c r="I22" s="13"/>
      <c r="J22" s="14"/>
      <c r="K22" s="14"/>
      <c r="L22" s="14">
        <f t="shared" si="0"/>
        <v>0</v>
      </c>
      <c r="M22" s="23">
        <v>5</v>
      </c>
      <c r="N22" s="13"/>
      <c r="O22" s="14"/>
      <c r="P22" s="14"/>
      <c r="Q22" s="14">
        <f t="shared" si="1"/>
        <v>0</v>
      </c>
      <c r="R22" s="23">
        <v>5</v>
      </c>
      <c r="S22" s="26"/>
      <c r="T22" s="14"/>
      <c r="U22" s="14"/>
      <c r="V22" s="14">
        <f t="shared" si="2"/>
        <v>0</v>
      </c>
      <c r="W22" s="23">
        <v>5</v>
      </c>
      <c r="X22" s="13"/>
      <c r="Y22" s="14"/>
      <c r="Z22" s="14"/>
      <c r="AA22" s="14">
        <f t="shared" si="3"/>
        <v>0</v>
      </c>
      <c r="AB22" s="23">
        <v>5</v>
      </c>
      <c r="AC22" s="13"/>
      <c r="AD22" s="14"/>
      <c r="AE22" s="14"/>
      <c r="AF22" s="14">
        <f t="shared" si="4"/>
        <v>0</v>
      </c>
      <c r="AG22" s="23">
        <v>5</v>
      </c>
      <c r="AH22" s="13"/>
      <c r="AI22" s="14"/>
      <c r="AJ22" s="14"/>
      <c r="AK22" s="14">
        <f t="shared" si="5"/>
        <v>0</v>
      </c>
      <c r="AL22" s="23">
        <v>5</v>
      </c>
      <c r="AM22" s="13"/>
      <c r="AN22" s="14"/>
      <c r="AO22" s="14"/>
      <c r="AP22" s="14">
        <f t="shared" si="6"/>
        <v>0</v>
      </c>
      <c r="AQ22" s="23">
        <v>5</v>
      </c>
      <c r="AR22" s="13"/>
      <c r="AS22" s="14"/>
      <c r="AT22" s="14"/>
      <c r="AU22" s="14">
        <f t="shared" si="7"/>
        <v>0</v>
      </c>
      <c r="AV22" s="23">
        <v>5</v>
      </c>
      <c r="AW22" s="13"/>
      <c r="AX22" s="14"/>
      <c r="AY22" s="14"/>
      <c r="AZ22" s="14">
        <f t="shared" si="8"/>
        <v>0</v>
      </c>
      <c r="BA22" s="23">
        <v>5</v>
      </c>
      <c r="BB22" s="13"/>
      <c r="BC22" s="14"/>
      <c r="BD22" s="14"/>
      <c r="BE22" s="14">
        <f t="shared" si="9"/>
        <v>0</v>
      </c>
    </row>
    <row r="23" spans="1:57" s="2" customFormat="1" ht="90" customHeight="1">
      <c r="H23" s="23">
        <v>6</v>
      </c>
      <c r="I23" s="13"/>
      <c r="J23" s="14"/>
      <c r="K23" s="14"/>
      <c r="L23" s="14">
        <f t="shared" si="0"/>
        <v>0</v>
      </c>
      <c r="M23" s="23">
        <v>6</v>
      </c>
      <c r="N23" s="13"/>
      <c r="O23" s="14"/>
      <c r="P23" s="14"/>
      <c r="Q23" s="14">
        <f t="shared" si="1"/>
        <v>0</v>
      </c>
      <c r="R23" s="23">
        <v>6</v>
      </c>
      <c r="S23" s="13"/>
      <c r="T23" s="14"/>
      <c r="U23" s="14"/>
      <c r="V23" s="14">
        <f t="shared" si="2"/>
        <v>0</v>
      </c>
      <c r="W23" s="23">
        <v>6</v>
      </c>
      <c r="X23" s="13"/>
      <c r="Y23" s="14"/>
      <c r="Z23" s="14"/>
      <c r="AA23" s="14">
        <f t="shared" si="3"/>
        <v>0</v>
      </c>
      <c r="AB23" s="23">
        <v>6</v>
      </c>
      <c r="AC23" s="13"/>
      <c r="AD23" s="14"/>
      <c r="AE23" s="14"/>
      <c r="AF23" s="14">
        <f t="shared" si="4"/>
        <v>0</v>
      </c>
      <c r="AG23" s="23">
        <v>6</v>
      </c>
      <c r="AH23" s="13"/>
      <c r="AI23" s="14"/>
      <c r="AJ23" s="14"/>
      <c r="AK23" s="14">
        <f t="shared" si="5"/>
        <v>0</v>
      </c>
      <c r="AL23" s="23">
        <v>6</v>
      </c>
      <c r="AM23" s="13"/>
      <c r="AN23" s="14"/>
      <c r="AO23" s="14"/>
      <c r="AP23" s="14">
        <f t="shared" si="6"/>
        <v>0</v>
      </c>
      <c r="AQ23" s="23">
        <v>6</v>
      </c>
      <c r="AR23" s="13"/>
      <c r="AS23" s="14"/>
      <c r="AT23" s="14"/>
      <c r="AU23" s="14">
        <f t="shared" si="7"/>
        <v>0</v>
      </c>
      <c r="AV23" s="23">
        <v>6</v>
      </c>
      <c r="AW23" s="13"/>
      <c r="AX23" s="14"/>
      <c r="AY23" s="14"/>
      <c r="AZ23" s="14">
        <f t="shared" si="8"/>
        <v>0</v>
      </c>
      <c r="BA23" s="23">
        <v>6</v>
      </c>
      <c r="BB23" s="13"/>
      <c r="BC23" s="14"/>
      <c r="BD23" s="14"/>
      <c r="BE23" s="14">
        <f t="shared" si="9"/>
        <v>0</v>
      </c>
    </row>
    <row r="24" spans="1:57" s="2" customFormat="1" ht="90" customHeight="1">
      <c r="H24" s="23">
        <v>7</v>
      </c>
      <c r="I24" s="11"/>
      <c r="J24" s="12"/>
      <c r="K24" s="12"/>
      <c r="L24" s="14">
        <f t="shared" si="0"/>
        <v>0</v>
      </c>
      <c r="M24" s="23">
        <v>7</v>
      </c>
      <c r="N24" s="13"/>
      <c r="O24" s="14"/>
      <c r="P24" s="14"/>
      <c r="Q24" s="14">
        <f t="shared" si="1"/>
        <v>0</v>
      </c>
      <c r="R24" s="23">
        <v>7</v>
      </c>
      <c r="S24" s="13"/>
      <c r="T24" s="14"/>
      <c r="U24" s="14"/>
      <c r="V24" s="14">
        <f t="shared" si="2"/>
        <v>0</v>
      </c>
      <c r="W24" s="23">
        <v>7</v>
      </c>
      <c r="X24" s="13"/>
      <c r="Y24" s="14"/>
      <c r="Z24" s="14"/>
      <c r="AA24" s="14">
        <f t="shared" si="3"/>
        <v>0</v>
      </c>
      <c r="AB24" s="23">
        <v>7</v>
      </c>
      <c r="AC24" s="13"/>
      <c r="AD24" s="14"/>
      <c r="AE24" s="14"/>
      <c r="AF24" s="14">
        <f t="shared" si="4"/>
        <v>0</v>
      </c>
      <c r="AG24" s="23">
        <v>7</v>
      </c>
      <c r="AH24" s="13"/>
      <c r="AI24" s="14"/>
      <c r="AJ24" s="14"/>
      <c r="AK24" s="14">
        <f t="shared" si="5"/>
        <v>0</v>
      </c>
      <c r="AL24" s="23">
        <v>7</v>
      </c>
      <c r="AM24" s="13"/>
      <c r="AN24" s="14"/>
      <c r="AO24" s="14"/>
      <c r="AP24" s="14">
        <f t="shared" si="6"/>
        <v>0</v>
      </c>
      <c r="AQ24" s="23">
        <v>7</v>
      </c>
      <c r="AR24" s="13"/>
      <c r="AS24" s="14"/>
      <c r="AT24" s="14"/>
      <c r="AU24" s="14">
        <f t="shared" si="7"/>
        <v>0</v>
      </c>
      <c r="AV24" s="23">
        <v>7</v>
      </c>
      <c r="AW24" s="13"/>
      <c r="AX24" s="14"/>
      <c r="AY24" s="14"/>
      <c r="AZ24" s="14">
        <f t="shared" si="8"/>
        <v>0</v>
      </c>
      <c r="BA24" s="23">
        <v>7</v>
      </c>
      <c r="BB24" s="13"/>
      <c r="BC24" s="14"/>
      <c r="BD24" s="14"/>
      <c r="BE24" s="14">
        <f t="shared" si="9"/>
        <v>0</v>
      </c>
    </row>
    <row r="25" spans="1:57" s="2" customFormat="1" ht="90" customHeight="1">
      <c r="H25" s="23">
        <v>8</v>
      </c>
      <c r="I25" s="13"/>
      <c r="J25" s="14"/>
      <c r="K25" s="14"/>
      <c r="L25" s="14">
        <f t="shared" si="0"/>
        <v>0</v>
      </c>
      <c r="M25" s="23">
        <v>8</v>
      </c>
      <c r="N25" s="13"/>
      <c r="O25" s="14"/>
      <c r="P25" s="14"/>
      <c r="Q25" s="14">
        <f t="shared" si="1"/>
        <v>0</v>
      </c>
      <c r="R25" s="23">
        <v>8</v>
      </c>
      <c r="S25" s="13"/>
      <c r="T25" s="14"/>
      <c r="U25" s="14"/>
      <c r="V25" s="14">
        <f t="shared" si="2"/>
        <v>0</v>
      </c>
      <c r="W25" s="23">
        <v>8</v>
      </c>
      <c r="X25" s="13"/>
      <c r="Y25" s="14"/>
      <c r="Z25" s="14"/>
      <c r="AA25" s="14">
        <f t="shared" si="3"/>
        <v>0</v>
      </c>
      <c r="AB25" s="23">
        <v>8</v>
      </c>
      <c r="AC25" s="13"/>
      <c r="AD25" s="14"/>
      <c r="AE25" s="14"/>
      <c r="AF25" s="14">
        <f t="shared" si="4"/>
        <v>0</v>
      </c>
      <c r="AG25" s="23">
        <v>8</v>
      </c>
      <c r="AH25" s="13"/>
      <c r="AI25" s="14"/>
      <c r="AJ25" s="14"/>
      <c r="AK25" s="14">
        <f t="shared" si="5"/>
        <v>0</v>
      </c>
      <c r="AL25" s="23">
        <v>8</v>
      </c>
      <c r="AM25" s="13"/>
      <c r="AN25" s="14"/>
      <c r="AO25" s="14"/>
      <c r="AP25" s="14">
        <f t="shared" si="6"/>
        <v>0</v>
      </c>
      <c r="AQ25" s="23">
        <v>8</v>
      </c>
      <c r="AR25" s="13"/>
      <c r="AS25" s="14"/>
      <c r="AT25" s="14"/>
      <c r="AU25" s="14">
        <f t="shared" si="7"/>
        <v>0</v>
      </c>
      <c r="AV25" s="23">
        <v>8</v>
      </c>
      <c r="AW25" s="13"/>
      <c r="AX25" s="14"/>
      <c r="AY25" s="14"/>
      <c r="AZ25" s="14">
        <f t="shared" si="8"/>
        <v>0</v>
      </c>
      <c r="BA25" s="23">
        <v>8</v>
      </c>
      <c r="BB25" s="13"/>
      <c r="BC25" s="14"/>
      <c r="BD25" s="14"/>
      <c r="BE25" s="14">
        <f t="shared" si="9"/>
        <v>0</v>
      </c>
    </row>
    <row r="26" spans="1:57" s="2" customFormat="1" ht="90" customHeight="1">
      <c r="H26" s="23">
        <v>9</v>
      </c>
      <c r="I26" s="13"/>
      <c r="J26" s="14"/>
      <c r="K26" s="14"/>
      <c r="L26" s="14">
        <f t="shared" si="0"/>
        <v>0</v>
      </c>
      <c r="M26" s="23">
        <v>9</v>
      </c>
      <c r="N26" s="13"/>
      <c r="O26" s="14"/>
      <c r="P26" s="14"/>
      <c r="Q26" s="14">
        <f t="shared" si="1"/>
        <v>0</v>
      </c>
      <c r="R26" s="23">
        <v>9</v>
      </c>
      <c r="S26" s="13"/>
      <c r="T26" s="14"/>
      <c r="U26" s="14"/>
      <c r="V26" s="14">
        <f t="shared" si="2"/>
        <v>0</v>
      </c>
      <c r="W26" s="23">
        <v>9</v>
      </c>
      <c r="X26" s="13"/>
      <c r="Y26" s="14"/>
      <c r="Z26" s="14"/>
      <c r="AA26" s="14">
        <f t="shared" si="3"/>
        <v>0</v>
      </c>
      <c r="AB26" s="23">
        <v>9</v>
      </c>
      <c r="AC26" s="13"/>
      <c r="AD26" s="14"/>
      <c r="AE26" s="14"/>
      <c r="AF26" s="14">
        <f t="shared" si="4"/>
        <v>0</v>
      </c>
      <c r="AG26" s="23">
        <v>9</v>
      </c>
      <c r="AH26" s="13"/>
      <c r="AI26" s="14"/>
      <c r="AJ26" s="14"/>
      <c r="AK26" s="14">
        <f t="shared" si="5"/>
        <v>0</v>
      </c>
      <c r="AL26" s="23">
        <v>9</v>
      </c>
      <c r="AM26" s="13"/>
      <c r="AN26" s="14"/>
      <c r="AO26" s="14"/>
      <c r="AP26" s="14">
        <f t="shared" si="6"/>
        <v>0</v>
      </c>
      <c r="AQ26" s="23">
        <v>9</v>
      </c>
      <c r="AR26" s="13"/>
      <c r="AS26" s="14"/>
      <c r="AT26" s="14"/>
      <c r="AU26" s="14">
        <f t="shared" si="7"/>
        <v>0</v>
      </c>
      <c r="AV26" s="23">
        <v>9</v>
      </c>
      <c r="AW26" s="13"/>
      <c r="AX26" s="14"/>
      <c r="AY26" s="14"/>
      <c r="AZ26" s="14">
        <f t="shared" si="8"/>
        <v>0</v>
      </c>
      <c r="BA26" s="23">
        <v>9</v>
      </c>
      <c r="BB26" s="13"/>
      <c r="BC26" s="14"/>
      <c r="BD26" s="14"/>
      <c r="BE26" s="14">
        <f t="shared" si="9"/>
        <v>0</v>
      </c>
    </row>
    <row r="27" spans="1:57" s="2" customFormat="1" ht="85.15" customHeight="1">
      <c r="H27" s="23">
        <v>10</v>
      </c>
      <c r="I27" s="13"/>
      <c r="J27" s="14"/>
      <c r="K27" s="14"/>
      <c r="L27" s="14">
        <f t="shared" si="0"/>
        <v>0</v>
      </c>
      <c r="M27" s="23">
        <v>10</v>
      </c>
      <c r="N27" s="13"/>
      <c r="O27" s="14"/>
      <c r="P27" s="14"/>
      <c r="Q27" s="14">
        <f t="shared" si="1"/>
        <v>0</v>
      </c>
      <c r="R27" s="23">
        <v>10</v>
      </c>
      <c r="S27" s="13"/>
      <c r="T27" s="14"/>
      <c r="U27" s="14"/>
      <c r="V27" s="14">
        <f t="shared" si="2"/>
        <v>0</v>
      </c>
      <c r="W27" s="23">
        <v>10</v>
      </c>
      <c r="X27" s="13"/>
      <c r="Y27" s="14"/>
      <c r="Z27" s="14"/>
      <c r="AA27" s="14">
        <f t="shared" si="3"/>
        <v>0</v>
      </c>
      <c r="AB27" s="23">
        <v>10</v>
      </c>
      <c r="AC27" s="13"/>
      <c r="AD27" s="14"/>
      <c r="AE27" s="14"/>
      <c r="AF27" s="14">
        <f t="shared" si="4"/>
        <v>0</v>
      </c>
      <c r="AG27" s="23">
        <v>10</v>
      </c>
      <c r="AH27" s="13"/>
      <c r="AI27" s="14"/>
      <c r="AJ27" s="14"/>
      <c r="AK27" s="14">
        <f t="shared" si="5"/>
        <v>0</v>
      </c>
      <c r="AL27" s="23">
        <v>10</v>
      </c>
      <c r="AM27" s="13"/>
      <c r="AN27" s="14"/>
      <c r="AO27" s="14"/>
      <c r="AP27" s="14">
        <f t="shared" si="6"/>
        <v>0</v>
      </c>
      <c r="AQ27" s="23">
        <v>10</v>
      </c>
      <c r="AR27" s="13"/>
      <c r="AS27" s="14"/>
      <c r="AT27" s="14"/>
      <c r="AU27" s="14">
        <f t="shared" si="7"/>
        <v>0</v>
      </c>
      <c r="AV27" s="23">
        <v>10</v>
      </c>
      <c r="AW27" s="13"/>
      <c r="AX27" s="14"/>
      <c r="AY27" s="14"/>
      <c r="AZ27" s="14">
        <f t="shared" si="8"/>
        <v>0</v>
      </c>
      <c r="BA27" s="23">
        <v>10</v>
      </c>
      <c r="BB27" s="13"/>
      <c r="BC27" s="14"/>
      <c r="BD27" s="14"/>
      <c r="BE27" s="14">
        <f t="shared" si="9"/>
        <v>0</v>
      </c>
    </row>
    <row r="28" spans="1:57" s="2" customFormat="1" ht="85.15" customHeight="1">
      <c r="H28" s="23">
        <v>11</v>
      </c>
      <c r="I28" s="13"/>
      <c r="J28" s="14"/>
      <c r="K28" s="14"/>
      <c r="L28" s="14">
        <f t="shared" si="0"/>
        <v>0</v>
      </c>
      <c r="M28" s="23">
        <v>11</v>
      </c>
      <c r="N28" s="13"/>
      <c r="O28" s="14"/>
      <c r="P28" s="14"/>
      <c r="Q28" s="14">
        <f t="shared" si="1"/>
        <v>0</v>
      </c>
      <c r="R28" s="23">
        <v>11</v>
      </c>
      <c r="S28" s="13"/>
      <c r="T28" s="14"/>
      <c r="U28" s="14"/>
      <c r="V28" s="14">
        <f t="shared" si="2"/>
        <v>0</v>
      </c>
      <c r="W28" s="23">
        <v>11</v>
      </c>
      <c r="X28" s="13"/>
      <c r="Y28" s="14"/>
      <c r="Z28" s="14"/>
      <c r="AA28" s="14">
        <f t="shared" si="3"/>
        <v>0</v>
      </c>
      <c r="AB28" s="23">
        <v>11</v>
      </c>
      <c r="AC28" s="13"/>
      <c r="AD28" s="14"/>
      <c r="AE28" s="14"/>
      <c r="AF28" s="14">
        <f t="shared" si="4"/>
        <v>0</v>
      </c>
      <c r="AG28" s="23">
        <v>11</v>
      </c>
      <c r="AH28" s="13"/>
      <c r="AI28" s="14"/>
      <c r="AJ28" s="14"/>
      <c r="AK28" s="14">
        <f t="shared" si="5"/>
        <v>0</v>
      </c>
      <c r="AL28" s="23">
        <v>11</v>
      </c>
      <c r="AM28" s="13"/>
      <c r="AN28" s="14"/>
      <c r="AO28" s="14"/>
      <c r="AP28" s="14">
        <f t="shared" si="6"/>
        <v>0</v>
      </c>
      <c r="AQ28" s="23">
        <v>11</v>
      </c>
      <c r="AR28" s="13"/>
      <c r="AS28" s="14"/>
      <c r="AT28" s="14"/>
      <c r="AU28" s="14">
        <f t="shared" si="7"/>
        <v>0</v>
      </c>
      <c r="AV28" s="23">
        <v>11</v>
      </c>
      <c r="AW28" s="13"/>
      <c r="AX28" s="14"/>
      <c r="AY28" s="14"/>
      <c r="AZ28" s="14">
        <f t="shared" si="8"/>
        <v>0</v>
      </c>
      <c r="BA28" s="23">
        <v>11</v>
      </c>
      <c r="BB28" s="13"/>
      <c r="BC28" s="14"/>
      <c r="BD28" s="14"/>
      <c r="BE28" s="14">
        <f t="shared" si="9"/>
        <v>0</v>
      </c>
    </row>
    <row r="29" spans="1:57" s="2" customFormat="1" ht="85.15" customHeight="1">
      <c r="H29" s="23">
        <v>12</v>
      </c>
      <c r="I29" s="13"/>
      <c r="J29" s="14"/>
      <c r="K29" s="14"/>
      <c r="L29" s="14">
        <f t="shared" si="0"/>
        <v>0</v>
      </c>
      <c r="M29" s="23">
        <v>12</v>
      </c>
      <c r="N29" s="13"/>
      <c r="O29" s="14"/>
      <c r="P29" s="14"/>
      <c r="Q29" s="14">
        <f t="shared" si="1"/>
        <v>0</v>
      </c>
      <c r="R29" s="23">
        <v>12</v>
      </c>
      <c r="S29" s="13"/>
      <c r="T29" s="14"/>
      <c r="U29" s="14"/>
      <c r="V29" s="14">
        <f t="shared" si="2"/>
        <v>0</v>
      </c>
      <c r="W29" s="23">
        <v>12</v>
      </c>
      <c r="X29" s="13"/>
      <c r="Y29" s="14"/>
      <c r="Z29" s="14"/>
      <c r="AA29" s="14">
        <f t="shared" si="3"/>
        <v>0</v>
      </c>
      <c r="AB29" s="23">
        <v>12</v>
      </c>
      <c r="AC29" s="13"/>
      <c r="AD29" s="14"/>
      <c r="AE29" s="14"/>
      <c r="AF29" s="14">
        <f t="shared" si="4"/>
        <v>0</v>
      </c>
      <c r="AG29" s="23">
        <v>12</v>
      </c>
      <c r="AH29" s="13"/>
      <c r="AI29" s="14"/>
      <c r="AJ29" s="14"/>
      <c r="AK29" s="14">
        <f t="shared" si="5"/>
        <v>0</v>
      </c>
      <c r="AL29" s="23">
        <v>12</v>
      </c>
      <c r="AM29" s="13"/>
      <c r="AN29" s="14"/>
      <c r="AO29" s="14"/>
      <c r="AP29" s="14">
        <f t="shared" si="6"/>
        <v>0</v>
      </c>
      <c r="AQ29" s="23">
        <v>12</v>
      </c>
      <c r="AR29" s="13"/>
      <c r="AS29" s="14"/>
      <c r="AT29" s="14"/>
      <c r="AU29" s="14">
        <f t="shared" si="7"/>
        <v>0</v>
      </c>
      <c r="AV29" s="23">
        <v>12</v>
      </c>
      <c r="AW29" s="13"/>
      <c r="AX29" s="14"/>
      <c r="AY29" s="14"/>
      <c r="AZ29" s="14">
        <f t="shared" si="8"/>
        <v>0</v>
      </c>
      <c r="BA29" s="23">
        <v>12</v>
      </c>
      <c r="BB29" s="13"/>
      <c r="BC29" s="14"/>
      <c r="BD29" s="14"/>
      <c r="BE29" s="14">
        <f t="shared" si="9"/>
        <v>0</v>
      </c>
    </row>
    <row r="30" spans="1:57" s="2" customFormat="1" ht="85.15" customHeight="1">
      <c r="H30" s="23">
        <v>13</v>
      </c>
      <c r="I30" s="13"/>
      <c r="J30" s="14"/>
      <c r="K30" s="14"/>
      <c r="L30" s="14">
        <f t="shared" si="0"/>
        <v>0</v>
      </c>
      <c r="M30" s="23">
        <v>13</v>
      </c>
      <c r="N30" s="13"/>
      <c r="O30" s="14"/>
      <c r="P30" s="14"/>
      <c r="Q30" s="14">
        <f t="shared" si="1"/>
        <v>0</v>
      </c>
      <c r="R30" s="23">
        <v>13</v>
      </c>
      <c r="S30" s="13"/>
      <c r="T30" s="14"/>
      <c r="U30" s="14"/>
      <c r="V30" s="14">
        <f t="shared" si="2"/>
        <v>0</v>
      </c>
      <c r="W30" s="23">
        <v>13</v>
      </c>
      <c r="X30" s="13"/>
      <c r="Y30" s="14"/>
      <c r="Z30" s="14"/>
      <c r="AA30" s="14">
        <f t="shared" si="3"/>
        <v>0</v>
      </c>
      <c r="AB30" s="23">
        <v>13</v>
      </c>
      <c r="AC30" s="13"/>
      <c r="AD30" s="14"/>
      <c r="AE30" s="14"/>
      <c r="AF30" s="14">
        <f t="shared" si="4"/>
        <v>0</v>
      </c>
      <c r="AG30" s="23">
        <v>13</v>
      </c>
      <c r="AH30" s="13"/>
      <c r="AI30" s="14"/>
      <c r="AJ30" s="14"/>
      <c r="AK30" s="14">
        <f t="shared" si="5"/>
        <v>0</v>
      </c>
      <c r="AL30" s="23">
        <v>13</v>
      </c>
      <c r="AM30" s="13"/>
      <c r="AN30" s="14"/>
      <c r="AO30" s="14"/>
      <c r="AP30" s="14">
        <f t="shared" si="6"/>
        <v>0</v>
      </c>
      <c r="AQ30" s="23">
        <v>13</v>
      </c>
      <c r="AR30" s="13"/>
      <c r="AS30" s="14"/>
      <c r="AT30" s="14"/>
      <c r="AU30" s="14">
        <f t="shared" si="7"/>
        <v>0</v>
      </c>
      <c r="AV30" s="23">
        <v>13</v>
      </c>
      <c r="AW30" s="13"/>
      <c r="AX30" s="14"/>
      <c r="AY30" s="14"/>
      <c r="AZ30" s="14">
        <f t="shared" si="8"/>
        <v>0</v>
      </c>
      <c r="BA30" s="23">
        <v>13</v>
      </c>
      <c r="BB30" s="13"/>
      <c r="BC30" s="14"/>
      <c r="BD30" s="14"/>
      <c r="BE30" s="14">
        <f t="shared" si="9"/>
        <v>0</v>
      </c>
    </row>
    <row r="31" spans="1:57" s="2" customFormat="1" ht="85.15" customHeight="1">
      <c r="H31" s="23">
        <v>14</v>
      </c>
      <c r="I31" s="13"/>
      <c r="J31" s="14"/>
      <c r="K31" s="14"/>
      <c r="L31" s="14">
        <f t="shared" si="0"/>
        <v>0</v>
      </c>
      <c r="M31" s="23">
        <v>14</v>
      </c>
      <c r="N31" s="13"/>
      <c r="O31" s="14"/>
      <c r="P31" s="14"/>
      <c r="Q31" s="14">
        <f t="shared" si="1"/>
        <v>0</v>
      </c>
      <c r="R31" s="23">
        <v>14</v>
      </c>
      <c r="S31" s="13"/>
      <c r="T31" s="14"/>
      <c r="U31" s="14"/>
      <c r="V31" s="14">
        <f t="shared" si="2"/>
        <v>0</v>
      </c>
      <c r="W31" s="23">
        <v>14</v>
      </c>
      <c r="X31" s="13"/>
      <c r="Y31" s="14"/>
      <c r="Z31" s="14"/>
      <c r="AA31" s="14">
        <f t="shared" si="3"/>
        <v>0</v>
      </c>
      <c r="AB31" s="23">
        <v>14</v>
      </c>
      <c r="AC31" s="13"/>
      <c r="AD31" s="14"/>
      <c r="AE31" s="14"/>
      <c r="AF31" s="14">
        <f t="shared" si="4"/>
        <v>0</v>
      </c>
      <c r="AG31" s="23">
        <v>14</v>
      </c>
      <c r="AH31" s="13"/>
      <c r="AI31" s="14"/>
      <c r="AJ31" s="14"/>
      <c r="AK31" s="14">
        <f t="shared" si="5"/>
        <v>0</v>
      </c>
      <c r="AL31" s="23">
        <v>14</v>
      </c>
      <c r="AM31" s="13"/>
      <c r="AN31" s="14"/>
      <c r="AO31" s="14"/>
      <c r="AP31" s="14">
        <f t="shared" si="6"/>
        <v>0</v>
      </c>
      <c r="AQ31" s="23">
        <v>14</v>
      </c>
      <c r="AR31" s="13"/>
      <c r="AS31" s="14"/>
      <c r="AT31" s="14"/>
      <c r="AU31" s="14">
        <f t="shared" si="7"/>
        <v>0</v>
      </c>
      <c r="AV31" s="23">
        <v>14</v>
      </c>
      <c r="AW31" s="13"/>
      <c r="AX31" s="14"/>
      <c r="AY31" s="14"/>
      <c r="AZ31" s="14">
        <f t="shared" si="8"/>
        <v>0</v>
      </c>
      <c r="BA31" s="23">
        <v>14</v>
      </c>
      <c r="BB31" s="13"/>
      <c r="BC31" s="14"/>
      <c r="BD31" s="14"/>
      <c r="BE31" s="14">
        <f t="shared" si="9"/>
        <v>0</v>
      </c>
    </row>
    <row r="32" spans="1:57" s="2" customFormat="1" ht="85.15" customHeight="1">
      <c r="H32" s="23">
        <v>15</v>
      </c>
      <c r="I32" s="13"/>
      <c r="J32" s="14"/>
      <c r="K32" s="14"/>
      <c r="L32" s="14">
        <f t="shared" si="0"/>
        <v>0</v>
      </c>
      <c r="M32" s="23">
        <v>15</v>
      </c>
      <c r="N32" s="13"/>
      <c r="O32" s="14"/>
      <c r="P32" s="14"/>
      <c r="Q32" s="14">
        <f t="shared" si="1"/>
        <v>0</v>
      </c>
      <c r="R32" s="23">
        <v>15</v>
      </c>
      <c r="S32" s="13"/>
      <c r="T32" s="14"/>
      <c r="U32" s="14"/>
      <c r="V32" s="14">
        <f t="shared" si="2"/>
        <v>0</v>
      </c>
      <c r="W32" s="23">
        <v>15</v>
      </c>
      <c r="X32" s="13"/>
      <c r="Y32" s="14"/>
      <c r="Z32" s="14"/>
      <c r="AA32" s="14">
        <f t="shared" si="3"/>
        <v>0</v>
      </c>
      <c r="AB32" s="23">
        <v>15</v>
      </c>
      <c r="AC32" s="13"/>
      <c r="AD32" s="14"/>
      <c r="AE32" s="14"/>
      <c r="AF32" s="14">
        <f t="shared" si="4"/>
        <v>0</v>
      </c>
      <c r="AG32" s="23">
        <v>15</v>
      </c>
      <c r="AH32" s="13"/>
      <c r="AI32" s="14"/>
      <c r="AJ32" s="14"/>
      <c r="AK32" s="14">
        <f t="shared" si="5"/>
        <v>0</v>
      </c>
      <c r="AL32" s="23">
        <v>15</v>
      </c>
      <c r="AM32" s="13"/>
      <c r="AN32" s="14"/>
      <c r="AO32" s="14"/>
      <c r="AP32" s="14">
        <f t="shared" si="6"/>
        <v>0</v>
      </c>
      <c r="AQ32" s="23">
        <v>15</v>
      </c>
      <c r="AR32" s="13"/>
      <c r="AS32" s="14"/>
      <c r="AT32" s="14"/>
      <c r="AU32" s="14">
        <f t="shared" si="7"/>
        <v>0</v>
      </c>
      <c r="AV32" s="23">
        <v>15</v>
      </c>
      <c r="AW32" s="13"/>
      <c r="AX32" s="14"/>
      <c r="AY32" s="14"/>
      <c r="AZ32" s="14">
        <f t="shared" si="8"/>
        <v>0</v>
      </c>
      <c r="BA32" s="23">
        <v>15</v>
      </c>
      <c r="BB32" s="13"/>
      <c r="BC32" s="14"/>
      <c r="BD32" s="14"/>
      <c r="BE32" s="14">
        <f t="shared" si="9"/>
        <v>0</v>
      </c>
    </row>
    <row r="33" spans="8:57" s="2" customFormat="1" ht="85.15" customHeight="1">
      <c r="H33" s="23">
        <v>16</v>
      </c>
      <c r="I33" s="13"/>
      <c r="J33" s="14"/>
      <c r="K33" s="14"/>
      <c r="L33" s="14">
        <f t="shared" si="0"/>
        <v>0</v>
      </c>
      <c r="M33" s="23">
        <v>16</v>
      </c>
      <c r="N33" s="13"/>
      <c r="O33" s="14"/>
      <c r="P33" s="14"/>
      <c r="Q33" s="14">
        <f t="shared" si="1"/>
        <v>0</v>
      </c>
      <c r="R33" s="23">
        <v>16</v>
      </c>
      <c r="S33" s="13"/>
      <c r="T33" s="14"/>
      <c r="U33" s="14"/>
      <c r="V33" s="14">
        <f t="shared" si="2"/>
        <v>0</v>
      </c>
      <c r="W33" s="23">
        <v>16</v>
      </c>
      <c r="X33" s="13"/>
      <c r="Y33" s="14"/>
      <c r="Z33" s="14"/>
      <c r="AA33" s="14">
        <f t="shared" si="3"/>
        <v>0</v>
      </c>
      <c r="AB33" s="23">
        <v>16</v>
      </c>
      <c r="AC33" s="13"/>
      <c r="AD33" s="14"/>
      <c r="AE33" s="14"/>
      <c r="AF33" s="14">
        <f t="shared" si="4"/>
        <v>0</v>
      </c>
      <c r="AG33" s="23">
        <v>16</v>
      </c>
      <c r="AH33" s="13"/>
      <c r="AI33" s="14"/>
      <c r="AJ33" s="14"/>
      <c r="AK33" s="14">
        <f t="shared" si="5"/>
        <v>0</v>
      </c>
      <c r="AL33" s="23">
        <v>16</v>
      </c>
      <c r="AM33" s="13"/>
      <c r="AN33" s="14"/>
      <c r="AO33" s="14"/>
      <c r="AP33" s="14">
        <f t="shared" si="6"/>
        <v>0</v>
      </c>
      <c r="AQ33" s="23">
        <v>16</v>
      </c>
      <c r="AR33" s="13"/>
      <c r="AS33" s="14"/>
      <c r="AT33" s="14"/>
      <c r="AU33" s="14">
        <f t="shared" si="7"/>
        <v>0</v>
      </c>
      <c r="AV33" s="23">
        <v>16</v>
      </c>
      <c r="AW33" s="13"/>
      <c r="AX33" s="14"/>
      <c r="AY33" s="14"/>
      <c r="AZ33" s="14">
        <f t="shared" si="8"/>
        <v>0</v>
      </c>
      <c r="BA33" s="23">
        <v>16</v>
      </c>
      <c r="BB33" s="13"/>
      <c r="BC33" s="14"/>
      <c r="BD33" s="14"/>
      <c r="BE33" s="14">
        <f t="shared" si="9"/>
        <v>0</v>
      </c>
    </row>
    <row r="34" spans="8:57" s="2" customFormat="1" ht="85.15" customHeight="1">
      <c r="H34" s="23">
        <v>17</v>
      </c>
      <c r="I34" s="13"/>
      <c r="J34" s="14"/>
      <c r="K34" s="14"/>
      <c r="L34" s="14">
        <f t="shared" si="0"/>
        <v>0</v>
      </c>
      <c r="M34" s="23">
        <v>17</v>
      </c>
      <c r="N34" s="13"/>
      <c r="O34" s="14"/>
      <c r="P34" s="14"/>
      <c r="Q34" s="14">
        <f t="shared" si="1"/>
        <v>0</v>
      </c>
      <c r="R34" s="23">
        <v>17</v>
      </c>
      <c r="S34" s="13"/>
      <c r="T34" s="14"/>
      <c r="U34" s="14"/>
      <c r="V34" s="14">
        <f t="shared" si="2"/>
        <v>0</v>
      </c>
      <c r="W34" s="23">
        <v>17</v>
      </c>
      <c r="X34" s="13"/>
      <c r="Y34" s="14"/>
      <c r="Z34" s="14"/>
      <c r="AA34" s="14">
        <f t="shared" si="3"/>
        <v>0</v>
      </c>
      <c r="AB34" s="23">
        <v>17</v>
      </c>
      <c r="AC34" s="13"/>
      <c r="AD34" s="14"/>
      <c r="AE34" s="14"/>
      <c r="AF34" s="14">
        <f t="shared" si="4"/>
        <v>0</v>
      </c>
      <c r="AG34" s="23">
        <v>17</v>
      </c>
      <c r="AH34" s="13"/>
      <c r="AI34" s="14"/>
      <c r="AJ34" s="14"/>
      <c r="AK34" s="14">
        <f t="shared" si="5"/>
        <v>0</v>
      </c>
      <c r="AL34" s="23">
        <v>17</v>
      </c>
      <c r="AM34" s="13"/>
      <c r="AN34" s="14"/>
      <c r="AO34" s="14"/>
      <c r="AP34" s="14">
        <f t="shared" si="6"/>
        <v>0</v>
      </c>
      <c r="AQ34" s="23">
        <v>17</v>
      </c>
      <c r="AR34" s="13"/>
      <c r="AS34" s="14"/>
      <c r="AT34" s="14"/>
      <c r="AU34" s="14">
        <f t="shared" si="7"/>
        <v>0</v>
      </c>
      <c r="AV34" s="23">
        <v>17</v>
      </c>
      <c r="AW34" s="13"/>
      <c r="AX34" s="14"/>
      <c r="AY34" s="14"/>
      <c r="AZ34" s="14">
        <f t="shared" si="8"/>
        <v>0</v>
      </c>
      <c r="BA34" s="23">
        <v>17</v>
      </c>
      <c r="BB34" s="13"/>
      <c r="BC34" s="14"/>
      <c r="BD34" s="14"/>
      <c r="BE34" s="14">
        <f t="shared" si="9"/>
        <v>0</v>
      </c>
    </row>
    <row r="35" spans="8:57" s="2" customFormat="1" ht="85.15" customHeight="1">
      <c r="H35" s="23">
        <v>18</v>
      </c>
      <c r="I35" s="13"/>
      <c r="J35" s="14"/>
      <c r="K35" s="14"/>
      <c r="L35" s="14">
        <f t="shared" si="0"/>
        <v>0</v>
      </c>
      <c r="M35" s="23">
        <v>18</v>
      </c>
      <c r="N35" s="13"/>
      <c r="O35" s="14"/>
      <c r="P35" s="14"/>
      <c r="Q35" s="14">
        <f t="shared" si="1"/>
        <v>0</v>
      </c>
      <c r="R35" s="23">
        <v>18</v>
      </c>
      <c r="S35" s="13"/>
      <c r="T35" s="14"/>
      <c r="U35" s="14"/>
      <c r="V35" s="14">
        <f t="shared" si="2"/>
        <v>0</v>
      </c>
      <c r="W35" s="23">
        <v>18</v>
      </c>
      <c r="X35" s="13"/>
      <c r="Y35" s="14"/>
      <c r="Z35" s="14"/>
      <c r="AA35" s="14">
        <f t="shared" si="3"/>
        <v>0</v>
      </c>
      <c r="AB35" s="23">
        <v>18</v>
      </c>
      <c r="AC35" s="13"/>
      <c r="AD35" s="14"/>
      <c r="AE35" s="14"/>
      <c r="AF35" s="14">
        <f t="shared" si="4"/>
        <v>0</v>
      </c>
      <c r="AG35" s="23">
        <v>18</v>
      </c>
      <c r="AH35" s="13"/>
      <c r="AI35" s="14"/>
      <c r="AJ35" s="14"/>
      <c r="AK35" s="14">
        <f t="shared" si="5"/>
        <v>0</v>
      </c>
      <c r="AL35" s="23">
        <v>18</v>
      </c>
      <c r="AM35" s="13"/>
      <c r="AN35" s="14"/>
      <c r="AO35" s="14"/>
      <c r="AP35" s="14">
        <f t="shared" si="6"/>
        <v>0</v>
      </c>
      <c r="AQ35" s="23">
        <v>18</v>
      </c>
      <c r="AR35" s="13"/>
      <c r="AS35" s="14"/>
      <c r="AT35" s="14"/>
      <c r="AU35" s="14">
        <f t="shared" si="7"/>
        <v>0</v>
      </c>
      <c r="AV35" s="23">
        <v>18</v>
      </c>
      <c r="AW35" s="13"/>
      <c r="AX35" s="14"/>
      <c r="AY35" s="14"/>
      <c r="AZ35" s="14">
        <f t="shared" si="8"/>
        <v>0</v>
      </c>
      <c r="BA35" s="23">
        <v>18</v>
      </c>
      <c r="BB35" s="13"/>
      <c r="BC35" s="14"/>
      <c r="BD35" s="14"/>
      <c r="BE35" s="14">
        <f t="shared" si="9"/>
        <v>0</v>
      </c>
    </row>
    <row r="36" spans="8:57" s="2" customFormat="1" ht="85.15" customHeight="1">
      <c r="H36" s="23">
        <v>19</v>
      </c>
      <c r="I36" s="13"/>
      <c r="J36" s="14"/>
      <c r="K36" s="14"/>
      <c r="L36" s="14">
        <f t="shared" si="0"/>
        <v>0</v>
      </c>
      <c r="M36" s="23">
        <v>19</v>
      </c>
      <c r="N36" s="13"/>
      <c r="O36" s="14"/>
      <c r="P36" s="14"/>
      <c r="Q36" s="14">
        <f t="shared" si="1"/>
        <v>0</v>
      </c>
      <c r="R36" s="23">
        <v>19</v>
      </c>
      <c r="S36" s="13"/>
      <c r="T36" s="14"/>
      <c r="U36" s="14"/>
      <c r="V36" s="14">
        <f t="shared" si="2"/>
        <v>0</v>
      </c>
      <c r="W36" s="23">
        <v>19</v>
      </c>
      <c r="X36" s="13"/>
      <c r="Y36" s="14"/>
      <c r="Z36" s="14"/>
      <c r="AA36" s="14">
        <f t="shared" si="3"/>
        <v>0</v>
      </c>
      <c r="AB36" s="23">
        <v>19</v>
      </c>
      <c r="AC36" s="13"/>
      <c r="AD36" s="14"/>
      <c r="AE36" s="14"/>
      <c r="AF36" s="14">
        <f t="shared" si="4"/>
        <v>0</v>
      </c>
      <c r="AG36" s="23">
        <v>19</v>
      </c>
      <c r="AH36" s="13"/>
      <c r="AI36" s="14"/>
      <c r="AJ36" s="14"/>
      <c r="AK36" s="14">
        <f t="shared" si="5"/>
        <v>0</v>
      </c>
      <c r="AL36" s="23">
        <v>19</v>
      </c>
      <c r="AM36" s="13"/>
      <c r="AN36" s="14"/>
      <c r="AO36" s="14"/>
      <c r="AP36" s="14">
        <f t="shared" si="6"/>
        <v>0</v>
      </c>
      <c r="AQ36" s="23">
        <v>19</v>
      </c>
      <c r="AR36" s="13"/>
      <c r="AS36" s="14"/>
      <c r="AT36" s="14"/>
      <c r="AU36" s="14">
        <f t="shared" si="7"/>
        <v>0</v>
      </c>
      <c r="AV36" s="23">
        <v>19</v>
      </c>
      <c r="AW36" s="13"/>
      <c r="AX36" s="14"/>
      <c r="AY36" s="14"/>
      <c r="AZ36" s="14">
        <f t="shared" si="8"/>
        <v>0</v>
      </c>
      <c r="BA36" s="23">
        <v>19</v>
      </c>
      <c r="BB36" s="13"/>
      <c r="BC36" s="14"/>
      <c r="BD36" s="14"/>
      <c r="BE36" s="14">
        <f t="shared" si="9"/>
        <v>0</v>
      </c>
    </row>
    <row r="37" spans="8:57" s="2" customFormat="1" ht="85.15" customHeight="1">
      <c r="H37" s="23">
        <v>20</v>
      </c>
      <c r="I37" s="13"/>
      <c r="J37" s="14"/>
      <c r="K37" s="14"/>
      <c r="L37" s="14">
        <f t="shared" si="0"/>
        <v>0</v>
      </c>
      <c r="M37" s="23">
        <v>20</v>
      </c>
      <c r="N37" s="13"/>
      <c r="O37" s="14"/>
      <c r="P37" s="14"/>
      <c r="Q37" s="14">
        <f t="shared" si="1"/>
        <v>0</v>
      </c>
      <c r="R37" s="23">
        <v>20</v>
      </c>
      <c r="S37" s="13"/>
      <c r="T37" s="14"/>
      <c r="U37" s="14"/>
      <c r="V37" s="14">
        <f t="shared" si="2"/>
        <v>0</v>
      </c>
      <c r="W37" s="23">
        <v>20</v>
      </c>
      <c r="X37" s="13"/>
      <c r="Y37" s="14"/>
      <c r="Z37" s="14"/>
      <c r="AA37" s="14">
        <f t="shared" si="3"/>
        <v>0</v>
      </c>
      <c r="AB37" s="23">
        <v>20</v>
      </c>
      <c r="AC37" s="13"/>
      <c r="AD37" s="14"/>
      <c r="AE37" s="14"/>
      <c r="AF37" s="14">
        <f t="shared" si="4"/>
        <v>0</v>
      </c>
      <c r="AG37" s="23">
        <v>20</v>
      </c>
      <c r="AH37" s="13"/>
      <c r="AI37" s="14"/>
      <c r="AJ37" s="14"/>
      <c r="AK37" s="14">
        <f t="shared" si="5"/>
        <v>0</v>
      </c>
      <c r="AL37" s="23">
        <v>20</v>
      </c>
      <c r="AM37" s="13"/>
      <c r="AN37" s="14"/>
      <c r="AO37" s="14"/>
      <c r="AP37" s="14">
        <f t="shared" si="6"/>
        <v>0</v>
      </c>
      <c r="AQ37" s="23">
        <v>20</v>
      </c>
      <c r="AR37" s="13"/>
      <c r="AS37" s="14"/>
      <c r="AT37" s="14"/>
      <c r="AU37" s="14">
        <f t="shared" si="7"/>
        <v>0</v>
      </c>
      <c r="AV37" s="23">
        <v>20</v>
      </c>
      <c r="AW37" s="13"/>
      <c r="AX37" s="14"/>
      <c r="AY37" s="14"/>
      <c r="AZ37" s="14">
        <f t="shared" si="8"/>
        <v>0</v>
      </c>
      <c r="BA37" s="23">
        <v>20</v>
      </c>
      <c r="BB37" s="13"/>
      <c r="BC37" s="14"/>
      <c r="BD37" s="14"/>
      <c r="BE37" s="14">
        <f t="shared" si="9"/>
        <v>0</v>
      </c>
    </row>
    <row r="38" spans="8:57" s="2" customFormat="1" ht="85.15" customHeight="1">
      <c r="H38" s="23">
        <v>21</v>
      </c>
      <c r="I38" s="13"/>
      <c r="J38" s="14"/>
      <c r="K38" s="14"/>
      <c r="L38" s="14">
        <f t="shared" si="0"/>
        <v>0</v>
      </c>
      <c r="M38" s="23">
        <v>21</v>
      </c>
      <c r="N38" s="13"/>
      <c r="O38" s="14"/>
      <c r="P38" s="14"/>
      <c r="Q38" s="14">
        <f t="shared" si="1"/>
        <v>0</v>
      </c>
      <c r="R38" s="23">
        <v>21</v>
      </c>
      <c r="S38" s="13"/>
      <c r="T38" s="14"/>
      <c r="U38" s="14"/>
      <c r="V38" s="14">
        <f t="shared" si="2"/>
        <v>0</v>
      </c>
      <c r="W38" s="23">
        <v>21</v>
      </c>
      <c r="X38" s="13"/>
      <c r="Y38" s="14"/>
      <c r="Z38" s="14"/>
      <c r="AA38" s="14">
        <f t="shared" si="3"/>
        <v>0</v>
      </c>
      <c r="AB38" s="23">
        <v>21</v>
      </c>
      <c r="AC38" s="13"/>
      <c r="AD38" s="14"/>
      <c r="AE38" s="14"/>
      <c r="AF38" s="14">
        <f t="shared" si="4"/>
        <v>0</v>
      </c>
      <c r="AG38" s="23">
        <v>21</v>
      </c>
      <c r="AH38" s="13"/>
      <c r="AI38" s="14"/>
      <c r="AJ38" s="14"/>
      <c r="AK38" s="14">
        <f t="shared" si="5"/>
        <v>0</v>
      </c>
      <c r="AL38" s="23">
        <v>21</v>
      </c>
      <c r="AM38" s="13"/>
      <c r="AN38" s="14"/>
      <c r="AO38" s="14"/>
      <c r="AP38" s="14">
        <f t="shared" si="6"/>
        <v>0</v>
      </c>
      <c r="AQ38" s="23">
        <v>21</v>
      </c>
      <c r="AR38" s="13"/>
      <c r="AS38" s="14"/>
      <c r="AT38" s="14"/>
      <c r="AU38" s="14">
        <f t="shared" si="7"/>
        <v>0</v>
      </c>
      <c r="AV38" s="23">
        <v>21</v>
      </c>
      <c r="AW38" s="13"/>
      <c r="AX38" s="14"/>
      <c r="AY38" s="14"/>
      <c r="AZ38" s="14">
        <f t="shared" si="8"/>
        <v>0</v>
      </c>
      <c r="BA38" s="23">
        <v>21</v>
      </c>
      <c r="BB38" s="13"/>
      <c r="BC38" s="14"/>
      <c r="BD38" s="14"/>
      <c r="BE38" s="14">
        <f t="shared" si="9"/>
        <v>0</v>
      </c>
    </row>
    <row r="39" spans="8:57" s="2" customFormat="1" ht="85.15" customHeight="1">
      <c r="H39" s="23">
        <v>22</v>
      </c>
      <c r="I39" s="13"/>
      <c r="J39" s="14"/>
      <c r="K39" s="14"/>
      <c r="L39" s="14">
        <f t="shared" si="0"/>
        <v>0</v>
      </c>
      <c r="M39" s="23">
        <v>22</v>
      </c>
      <c r="N39" s="13"/>
      <c r="O39" s="14"/>
      <c r="P39" s="14"/>
      <c r="Q39" s="14">
        <f t="shared" si="1"/>
        <v>0</v>
      </c>
      <c r="R39" s="23">
        <v>22</v>
      </c>
      <c r="S39" s="13"/>
      <c r="T39" s="14"/>
      <c r="U39" s="14"/>
      <c r="V39" s="14">
        <f t="shared" si="2"/>
        <v>0</v>
      </c>
      <c r="W39" s="23">
        <v>22</v>
      </c>
      <c r="X39" s="13"/>
      <c r="Y39" s="14"/>
      <c r="Z39" s="14"/>
      <c r="AA39" s="14">
        <f t="shared" si="3"/>
        <v>0</v>
      </c>
      <c r="AB39" s="23">
        <v>22</v>
      </c>
      <c r="AC39" s="13"/>
      <c r="AD39" s="14"/>
      <c r="AE39" s="14"/>
      <c r="AF39" s="14">
        <f t="shared" si="4"/>
        <v>0</v>
      </c>
      <c r="AG39" s="23">
        <v>22</v>
      </c>
      <c r="AH39" s="13"/>
      <c r="AI39" s="14"/>
      <c r="AJ39" s="14"/>
      <c r="AK39" s="14">
        <f t="shared" si="5"/>
        <v>0</v>
      </c>
      <c r="AL39" s="23">
        <v>22</v>
      </c>
      <c r="AM39" s="13"/>
      <c r="AN39" s="14"/>
      <c r="AO39" s="14"/>
      <c r="AP39" s="14">
        <f t="shared" si="6"/>
        <v>0</v>
      </c>
      <c r="AQ39" s="23">
        <v>22</v>
      </c>
      <c r="AR39" s="13"/>
      <c r="AS39" s="14"/>
      <c r="AT39" s="14"/>
      <c r="AU39" s="14">
        <f t="shared" si="7"/>
        <v>0</v>
      </c>
      <c r="AV39" s="23">
        <v>22</v>
      </c>
      <c r="AW39" s="13"/>
      <c r="AX39" s="14"/>
      <c r="AY39" s="14"/>
      <c r="AZ39" s="14">
        <f t="shared" si="8"/>
        <v>0</v>
      </c>
      <c r="BA39" s="23">
        <v>22</v>
      </c>
      <c r="BB39" s="13"/>
      <c r="BC39" s="14"/>
      <c r="BD39" s="14"/>
      <c r="BE39" s="14">
        <f t="shared" si="9"/>
        <v>0</v>
      </c>
    </row>
    <row r="40" spans="8:57" s="2" customFormat="1" ht="85.15" customHeight="1">
      <c r="H40" s="23">
        <v>23</v>
      </c>
      <c r="I40" s="13"/>
      <c r="J40" s="14"/>
      <c r="K40" s="14"/>
      <c r="L40" s="14">
        <f t="shared" si="0"/>
        <v>0</v>
      </c>
      <c r="M40" s="23">
        <v>23</v>
      </c>
      <c r="N40" s="13"/>
      <c r="O40" s="14"/>
      <c r="P40" s="14"/>
      <c r="Q40" s="14">
        <f t="shared" si="1"/>
        <v>0</v>
      </c>
      <c r="R40" s="23">
        <v>23</v>
      </c>
      <c r="S40" s="13"/>
      <c r="T40" s="14"/>
      <c r="U40" s="14"/>
      <c r="V40" s="14">
        <f t="shared" si="2"/>
        <v>0</v>
      </c>
      <c r="W40" s="23">
        <v>23</v>
      </c>
      <c r="X40" s="13"/>
      <c r="Y40" s="14"/>
      <c r="Z40" s="14"/>
      <c r="AA40" s="14">
        <f t="shared" si="3"/>
        <v>0</v>
      </c>
      <c r="AB40" s="23">
        <v>23</v>
      </c>
      <c r="AC40" s="13"/>
      <c r="AD40" s="14"/>
      <c r="AE40" s="14"/>
      <c r="AF40" s="14">
        <f t="shared" si="4"/>
        <v>0</v>
      </c>
      <c r="AG40" s="23">
        <v>23</v>
      </c>
      <c r="AH40" s="13"/>
      <c r="AI40" s="14"/>
      <c r="AJ40" s="14"/>
      <c r="AK40" s="14">
        <f t="shared" si="5"/>
        <v>0</v>
      </c>
      <c r="AL40" s="23">
        <v>23</v>
      </c>
      <c r="AM40" s="13"/>
      <c r="AN40" s="14"/>
      <c r="AO40" s="14"/>
      <c r="AP40" s="14">
        <f t="shared" si="6"/>
        <v>0</v>
      </c>
      <c r="AQ40" s="23">
        <v>23</v>
      </c>
      <c r="AR40" s="13"/>
      <c r="AS40" s="14"/>
      <c r="AT40" s="14"/>
      <c r="AU40" s="14">
        <f t="shared" si="7"/>
        <v>0</v>
      </c>
      <c r="AV40" s="23">
        <v>23</v>
      </c>
      <c r="AW40" s="13"/>
      <c r="AX40" s="14"/>
      <c r="AY40" s="14"/>
      <c r="AZ40" s="14">
        <f t="shared" si="8"/>
        <v>0</v>
      </c>
      <c r="BA40" s="23">
        <v>23</v>
      </c>
      <c r="BB40" s="13"/>
      <c r="BC40" s="14"/>
      <c r="BD40" s="14"/>
      <c r="BE40" s="14">
        <f t="shared" si="9"/>
        <v>0</v>
      </c>
    </row>
    <row r="41" spans="8:57" s="2" customFormat="1" ht="85.15" customHeight="1">
      <c r="H41" s="23">
        <v>24</v>
      </c>
      <c r="I41" s="13"/>
      <c r="J41" s="14"/>
      <c r="K41" s="14"/>
      <c r="L41" s="14">
        <f t="shared" si="0"/>
        <v>0</v>
      </c>
      <c r="M41" s="23">
        <v>24</v>
      </c>
      <c r="N41" s="13"/>
      <c r="O41" s="14"/>
      <c r="P41" s="14"/>
      <c r="Q41" s="14">
        <f t="shared" si="1"/>
        <v>0</v>
      </c>
      <c r="R41" s="23">
        <v>24</v>
      </c>
      <c r="S41" s="13"/>
      <c r="T41" s="14"/>
      <c r="U41" s="14"/>
      <c r="V41" s="14">
        <f t="shared" si="2"/>
        <v>0</v>
      </c>
      <c r="W41" s="23">
        <v>24</v>
      </c>
      <c r="X41" s="13"/>
      <c r="Y41" s="14"/>
      <c r="Z41" s="14"/>
      <c r="AA41" s="14">
        <f t="shared" si="3"/>
        <v>0</v>
      </c>
      <c r="AB41" s="23">
        <v>24</v>
      </c>
      <c r="AC41" s="13"/>
      <c r="AD41" s="14"/>
      <c r="AE41" s="14"/>
      <c r="AF41" s="14">
        <f t="shared" si="4"/>
        <v>0</v>
      </c>
      <c r="AG41" s="23">
        <v>24</v>
      </c>
      <c r="AH41" s="13"/>
      <c r="AI41" s="14"/>
      <c r="AJ41" s="14"/>
      <c r="AK41" s="14">
        <f t="shared" si="5"/>
        <v>0</v>
      </c>
      <c r="AL41" s="23">
        <v>24</v>
      </c>
      <c r="AM41" s="13"/>
      <c r="AN41" s="14"/>
      <c r="AO41" s="14"/>
      <c r="AP41" s="14">
        <f t="shared" si="6"/>
        <v>0</v>
      </c>
      <c r="AQ41" s="23">
        <v>24</v>
      </c>
      <c r="AR41" s="13"/>
      <c r="AS41" s="14"/>
      <c r="AT41" s="14"/>
      <c r="AU41" s="14">
        <f t="shared" si="7"/>
        <v>0</v>
      </c>
      <c r="AV41" s="23">
        <v>24</v>
      </c>
      <c r="AW41" s="13"/>
      <c r="AX41" s="14"/>
      <c r="AY41" s="14"/>
      <c r="AZ41" s="14">
        <f t="shared" si="8"/>
        <v>0</v>
      </c>
      <c r="BA41" s="23">
        <v>24</v>
      </c>
      <c r="BB41" s="13"/>
      <c r="BC41" s="14"/>
      <c r="BD41" s="14"/>
      <c r="BE41" s="14">
        <f t="shared" si="9"/>
        <v>0</v>
      </c>
    </row>
    <row r="42" spans="8:57" s="2" customFormat="1" ht="85.15" customHeight="1">
      <c r="H42" s="23">
        <v>25</v>
      </c>
      <c r="I42" s="13"/>
      <c r="J42" s="14"/>
      <c r="K42" s="14"/>
      <c r="L42" s="14">
        <f t="shared" si="0"/>
        <v>0</v>
      </c>
      <c r="M42" s="23">
        <v>25</v>
      </c>
      <c r="N42" s="13"/>
      <c r="O42" s="14"/>
      <c r="P42" s="14"/>
      <c r="Q42" s="14">
        <f t="shared" si="1"/>
        <v>0</v>
      </c>
      <c r="R42" s="23">
        <v>25</v>
      </c>
      <c r="S42" s="13"/>
      <c r="T42" s="14"/>
      <c r="U42" s="14"/>
      <c r="V42" s="14">
        <f t="shared" si="2"/>
        <v>0</v>
      </c>
      <c r="W42" s="23">
        <v>25</v>
      </c>
      <c r="X42" s="13"/>
      <c r="Y42" s="14"/>
      <c r="Z42" s="14"/>
      <c r="AA42" s="14">
        <f t="shared" si="3"/>
        <v>0</v>
      </c>
      <c r="AB42" s="23">
        <v>25</v>
      </c>
      <c r="AC42" s="13"/>
      <c r="AD42" s="14"/>
      <c r="AE42" s="14"/>
      <c r="AF42" s="14">
        <f t="shared" si="4"/>
        <v>0</v>
      </c>
      <c r="AG42" s="23">
        <v>25</v>
      </c>
      <c r="AH42" s="13"/>
      <c r="AI42" s="14"/>
      <c r="AJ42" s="14"/>
      <c r="AK42" s="14">
        <f t="shared" si="5"/>
        <v>0</v>
      </c>
      <c r="AL42" s="23">
        <v>25</v>
      </c>
      <c r="AM42" s="13"/>
      <c r="AN42" s="14"/>
      <c r="AO42" s="14"/>
      <c r="AP42" s="14">
        <f t="shared" si="6"/>
        <v>0</v>
      </c>
      <c r="AQ42" s="23">
        <v>25</v>
      </c>
      <c r="AR42" s="13"/>
      <c r="AS42" s="14"/>
      <c r="AT42" s="14"/>
      <c r="AU42" s="14">
        <f t="shared" si="7"/>
        <v>0</v>
      </c>
      <c r="AV42" s="23">
        <v>25</v>
      </c>
      <c r="AW42" s="13"/>
      <c r="AX42" s="14"/>
      <c r="AY42" s="14"/>
      <c r="AZ42" s="14">
        <f t="shared" si="8"/>
        <v>0</v>
      </c>
      <c r="BA42" s="23">
        <v>25</v>
      </c>
      <c r="BB42" s="13"/>
      <c r="BC42" s="14"/>
      <c r="BD42" s="14"/>
      <c r="BE42" s="14">
        <f t="shared" si="9"/>
        <v>0</v>
      </c>
    </row>
    <row r="43" spans="8:57" s="2" customFormat="1" ht="85.15" customHeight="1">
      <c r="H43" s="23">
        <v>26</v>
      </c>
      <c r="I43" s="13"/>
      <c r="J43" s="14"/>
      <c r="K43" s="14"/>
      <c r="L43" s="14">
        <f t="shared" si="0"/>
        <v>0</v>
      </c>
      <c r="M43" s="23">
        <v>26</v>
      </c>
      <c r="N43" s="13"/>
      <c r="O43" s="14"/>
      <c r="P43" s="14"/>
      <c r="Q43" s="14">
        <f t="shared" si="1"/>
        <v>0</v>
      </c>
      <c r="R43" s="23">
        <v>26</v>
      </c>
      <c r="S43" s="13"/>
      <c r="T43" s="14"/>
      <c r="U43" s="14"/>
      <c r="V43" s="14">
        <f t="shared" si="2"/>
        <v>0</v>
      </c>
      <c r="W43" s="23">
        <v>26</v>
      </c>
      <c r="X43" s="13"/>
      <c r="Y43" s="14"/>
      <c r="Z43" s="14"/>
      <c r="AA43" s="14">
        <f t="shared" si="3"/>
        <v>0</v>
      </c>
      <c r="AB43" s="23">
        <v>26</v>
      </c>
      <c r="AC43" s="13"/>
      <c r="AD43" s="14"/>
      <c r="AE43" s="14"/>
      <c r="AF43" s="14">
        <f t="shared" si="4"/>
        <v>0</v>
      </c>
      <c r="AG43" s="23">
        <v>26</v>
      </c>
      <c r="AH43" s="13"/>
      <c r="AI43" s="14"/>
      <c r="AJ43" s="14"/>
      <c r="AK43" s="14">
        <f t="shared" si="5"/>
        <v>0</v>
      </c>
      <c r="AL43" s="23">
        <v>26</v>
      </c>
      <c r="AM43" s="13"/>
      <c r="AN43" s="14"/>
      <c r="AO43" s="14"/>
      <c r="AP43" s="14">
        <f t="shared" si="6"/>
        <v>0</v>
      </c>
      <c r="AQ43" s="23">
        <v>26</v>
      </c>
      <c r="AR43" s="13"/>
      <c r="AS43" s="14"/>
      <c r="AT43" s="14"/>
      <c r="AU43" s="14">
        <f t="shared" si="7"/>
        <v>0</v>
      </c>
      <c r="AV43" s="23">
        <v>26</v>
      </c>
      <c r="AW43" s="13"/>
      <c r="AX43" s="14"/>
      <c r="AY43" s="14"/>
      <c r="AZ43" s="14">
        <f t="shared" si="8"/>
        <v>0</v>
      </c>
      <c r="BA43" s="23">
        <v>26</v>
      </c>
      <c r="BB43" s="13"/>
      <c r="BC43" s="14"/>
      <c r="BD43" s="14"/>
      <c r="BE43" s="14">
        <f t="shared" si="9"/>
        <v>0</v>
      </c>
    </row>
    <row r="44" spans="8:57" s="2" customFormat="1" ht="85.15" customHeight="1">
      <c r="H44" s="23">
        <v>27</v>
      </c>
      <c r="I44" s="13"/>
      <c r="J44" s="14"/>
      <c r="K44" s="14"/>
      <c r="L44" s="14">
        <f t="shared" si="0"/>
        <v>0</v>
      </c>
      <c r="M44" s="23">
        <v>27</v>
      </c>
      <c r="N44" s="13"/>
      <c r="O44" s="14"/>
      <c r="P44" s="14"/>
      <c r="Q44" s="14">
        <f t="shared" si="1"/>
        <v>0</v>
      </c>
      <c r="R44" s="23">
        <v>27</v>
      </c>
      <c r="S44" s="13"/>
      <c r="T44" s="14"/>
      <c r="U44" s="14"/>
      <c r="V44" s="14">
        <f t="shared" si="2"/>
        <v>0</v>
      </c>
      <c r="W44" s="23">
        <v>27</v>
      </c>
      <c r="X44" s="13"/>
      <c r="Y44" s="14"/>
      <c r="Z44" s="14"/>
      <c r="AA44" s="14">
        <f t="shared" si="3"/>
        <v>0</v>
      </c>
      <c r="AB44" s="23">
        <v>27</v>
      </c>
      <c r="AC44" s="13"/>
      <c r="AD44" s="14"/>
      <c r="AE44" s="14"/>
      <c r="AF44" s="14">
        <f t="shared" si="4"/>
        <v>0</v>
      </c>
      <c r="AG44" s="23">
        <v>27</v>
      </c>
      <c r="AH44" s="13"/>
      <c r="AI44" s="14"/>
      <c r="AJ44" s="14"/>
      <c r="AK44" s="14">
        <f t="shared" si="5"/>
        <v>0</v>
      </c>
      <c r="AL44" s="23">
        <v>27</v>
      </c>
      <c r="AM44" s="13"/>
      <c r="AN44" s="14"/>
      <c r="AO44" s="14"/>
      <c r="AP44" s="14">
        <f t="shared" si="6"/>
        <v>0</v>
      </c>
      <c r="AQ44" s="23">
        <v>27</v>
      </c>
      <c r="AR44" s="13"/>
      <c r="AS44" s="14"/>
      <c r="AT44" s="14"/>
      <c r="AU44" s="14">
        <f t="shared" si="7"/>
        <v>0</v>
      </c>
      <c r="AV44" s="23">
        <v>27</v>
      </c>
      <c r="AW44" s="13"/>
      <c r="AX44" s="14"/>
      <c r="AY44" s="14"/>
      <c r="AZ44" s="14">
        <f t="shared" si="8"/>
        <v>0</v>
      </c>
      <c r="BA44" s="23">
        <v>27</v>
      </c>
      <c r="BB44" s="13"/>
      <c r="BC44" s="14"/>
      <c r="BD44" s="14"/>
      <c r="BE44" s="14">
        <f t="shared" si="9"/>
        <v>0</v>
      </c>
    </row>
    <row r="45" spans="8:57" s="2" customFormat="1" ht="85.15" customHeight="1">
      <c r="H45" s="23">
        <v>28</v>
      </c>
      <c r="I45" s="13"/>
      <c r="J45" s="14"/>
      <c r="K45" s="14"/>
      <c r="L45" s="14">
        <f t="shared" si="0"/>
        <v>0</v>
      </c>
      <c r="M45" s="23">
        <v>28</v>
      </c>
      <c r="N45" s="13"/>
      <c r="O45" s="14"/>
      <c r="P45" s="14"/>
      <c r="Q45" s="14">
        <f t="shared" si="1"/>
        <v>0</v>
      </c>
      <c r="R45" s="23">
        <v>28</v>
      </c>
      <c r="S45" s="13"/>
      <c r="T45" s="14"/>
      <c r="U45" s="14"/>
      <c r="V45" s="14">
        <f t="shared" si="2"/>
        <v>0</v>
      </c>
      <c r="W45" s="23">
        <v>28</v>
      </c>
      <c r="X45" s="13"/>
      <c r="Y45" s="14"/>
      <c r="Z45" s="14"/>
      <c r="AA45" s="14">
        <f t="shared" si="3"/>
        <v>0</v>
      </c>
      <c r="AB45" s="23">
        <v>28</v>
      </c>
      <c r="AC45" s="13"/>
      <c r="AD45" s="14"/>
      <c r="AE45" s="14"/>
      <c r="AF45" s="14">
        <f t="shared" si="4"/>
        <v>0</v>
      </c>
      <c r="AG45" s="23">
        <v>28</v>
      </c>
      <c r="AH45" s="13"/>
      <c r="AI45" s="14"/>
      <c r="AJ45" s="14"/>
      <c r="AK45" s="14">
        <f t="shared" si="5"/>
        <v>0</v>
      </c>
      <c r="AL45" s="23">
        <v>28</v>
      </c>
      <c r="AM45" s="13"/>
      <c r="AN45" s="14"/>
      <c r="AO45" s="14"/>
      <c r="AP45" s="14">
        <f t="shared" si="6"/>
        <v>0</v>
      </c>
      <c r="AQ45" s="23">
        <v>28</v>
      </c>
      <c r="AR45" s="13"/>
      <c r="AS45" s="14"/>
      <c r="AT45" s="14"/>
      <c r="AU45" s="14">
        <f t="shared" si="7"/>
        <v>0</v>
      </c>
      <c r="AV45" s="23">
        <v>28</v>
      </c>
      <c r="AW45" s="13"/>
      <c r="AX45" s="14"/>
      <c r="AY45" s="14"/>
      <c r="AZ45" s="14">
        <f t="shared" si="8"/>
        <v>0</v>
      </c>
      <c r="BA45" s="23">
        <v>28</v>
      </c>
      <c r="BB45" s="13"/>
      <c r="BC45" s="14"/>
      <c r="BD45" s="14"/>
      <c r="BE45" s="14">
        <f t="shared" si="9"/>
        <v>0</v>
      </c>
    </row>
    <row r="46" spans="8:57" s="2" customFormat="1" ht="85.15" customHeight="1">
      <c r="H46" s="23">
        <v>29</v>
      </c>
      <c r="I46" s="13"/>
      <c r="J46" s="14"/>
      <c r="K46" s="14"/>
      <c r="L46" s="14">
        <f t="shared" si="0"/>
        <v>0</v>
      </c>
      <c r="M46" s="23">
        <v>29</v>
      </c>
      <c r="N46" s="13"/>
      <c r="O46" s="14"/>
      <c r="P46" s="14"/>
      <c r="Q46" s="14">
        <f t="shared" si="1"/>
        <v>0</v>
      </c>
      <c r="R46" s="23">
        <v>29</v>
      </c>
      <c r="S46" s="13"/>
      <c r="T46" s="14"/>
      <c r="U46" s="14"/>
      <c r="V46" s="14">
        <f t="shared" si="2"/>
        <v>0</v>
      </c>
      <c r="W46" s="23">
        <v>29</v>
      </c>
      <c r="X46" s="13"/>
      <c r="Y46" s="14"/>
      <c r="Z46" s="14"/>
      <c r="AA46" s="14">
        <f t="shared" si="3"/>
        <v>0</v>
      </c>
      <c r="AB46" s="23">
        <v>29</v>
      </c>
      <c r="AC46" s="13"/>
      <c r="AD46" s="14"/>
      <c r="AE46" s="14"/>
      <c r="AF46" s="14">
        <f t="shared" si="4"/>
        <v>0</v>
      </c>
      <c r="AG46" s="23">
        <v>29</v>
      </c>
      <c r="AH46" s="13"/>
      <c r="AI46" s="14"/>
      <c r="AJ46" s="14"/>
      <c r="AK46" s="14">
        <f t="shared" si="5"/>
        <v>0</v>
      </c>
      <c r="AL46" s="23">
        <v>29</v>
      </c>
      <c r="AM46" s="13"/>
      <c r="AN46" s="14"/>
      <c r="AO46" s="14"/>
      <c r="AP46" s="14">
        <f t="shared" si="6"/>
        <v>0</v>
      </c>
      <c r="AQ46" s="23">
        <v>29</v>
      </c>
      <c r="AR46" s="13"/>
      <c r="AS46" s="14"/>
      <c r="AT46" s="14"/>
      <c r="AU46" s="14">
        <f t="shared" si="7"/>
        <v>0</v>
      </c>
      <c r="AV46" s="23">
        <v>29</v>
      </c>
      <c r="AW46" s="13"/>
      <c r="AX46" s="14"/>
      <c r="AY46" s="14"/>
      <c r="AZ46" s="14">
        <f t="shared" si="8"/>
        <v>0</v>
      </c>
      <c r="BA46" s="23">
        <v>29</v>
      </c>
      <c r="BB46" s="13"/>
      <c r="BC46" s="14"/>
      <c r="BD46" s="14"/>
      <c r="BE46" s="14">
        <f t="shared" si="9"/>
        <v>0</v>
      </c>
    </row>
    <row r="47" spans="8:57" s="2" customFormat="1" ht="85.15" customHeight="1">
      <c r="H47" s="23">
        <v>30</v>
      </c>
      <c r="I47" s="13"/>
      <c r="J47" s="14"/>
      <c r="K47" s="14"/>
      <c r="L47" s="14">
        <f t="shared" si="0"/>
        <v>0</v>
      </c>
      <c r="M47" s="23">
        <v>30</v>
      </c>
      <c r="N47" s="13"/>
      <c r="O47" s="14"/>
      <c r="P47" s="14"/>
      <c r="Q47" s="14">
        <f t="shared" si="1"/>
        <v>0</v>
      </c>
      <c r="R47" s="23">
        <v>30</v>
      </c>
      <c r="S47" s="13"/>
      <c r="T47" s="14"/>
      <c r="U47" s="14"/>
      <c r="V47" s="14">
        <f t="shared" si="2"/>
        <v>0</v>
      </c>
      <c r="W47" s="23">
        <v>30</v>
      </c>
      <c r="X47" s="13"/>
      <c r="Y47" s="14"/>
      <c r="Z47" s="14"/>
      <c r="AA47" s="14">
        <f t="shared" si="3"/>
        <v>0</v>
      </c>
      <c r="AB47" s="23">
        <v>30</v>
      </c>
      <c r="AC47" s="13"/>
      <c r="AD47" s="14"/>
      <c r="AE47" s="14"/>
      <c r="AF47" s="14">
        <f t="shared" si="4"/>
        <v>0</v>
      </c>
      <c r="AG47" s="23">
        <v>30</v>
      </c>
      <c r="AH47" s="13"/>
      <c r="AI47" s="14"/>
      <c r="AJ47" s="14"/>
      <c r="AK47" s="14">
        <f t="shared" si="5"/>
        <v>0</v>
      </c>
      <c r="AL47" s="23">
        <v>30</v>
      </c>
      <c r="AM47" s="13"/>
      <c r="AN47" s="14"/>
      <c r="AO47" s="14"/>
      <c r="AP47" s="14">
        <f t="shared" si="6"/>
        <v>0</v>
      </c>
      <c r="AQ47" s="23">
        <v>30</v>
      </c>
      <c r="AR47" s="13"/>
      <c r="AS47" s="14"/>
      <c r="AT47" s="14"/>
      <c r="AU47" s="14">
        <f t="shared" si="7"/>
        <v>0</v>
      </c>
      <c r="AV47" s="23">
        <v>30</v>
      </c>
      <c r="AW47" s="13"/>
      <c r="AX47" s="14"/>
      <c r="AY47" s="14"/>
      <c r="AZ47" s="14">
        <f t="shared" si="8"/>
        <v>0</v>
      </c>
      <c r="BA47" s="23">
        <v>30</v>
      </c>
      <c r="BB47" s="13"/>
      <c r="BC47" s="14"/>
      <c r="BD47" s="14"/>
      <c r="BE47" s="14">
        <f t="shared" si="9"/>
        <v>0</v>
      </c>
    </row>
    <row r="48" spans="8:57" s="2" customFormat="1" ht="85.15" customHeight="1">
      <c r="H48" s="23">
        <v>31</v>
      </c>
      <c r="I48" s="13"/>
      <c r="J48" s="14"/>
      <c r="K48" s="14"/>
      <c r="L48" s="14">
        <f t="shared" si="0"/>
        <v>0</v>
      </c>
      <c r="M48" s="23">
        <v>31</v>
      </c>
      <c r="N48" s="13"/>
      <c r="O48" s="14"/>
      <c r="P48" s="14"/>
      <c r="Q48" s="14">
        <f t="shared" si="1"/>
        <v>0</v>
      </c>
      <c r="R48" s="23">
        <v>31</v>
      </c>
      <c r="S48" s="13"/>
      <c r="T48" s="14"/>
      <c r="U48" s="14"/>
      <c r="V48" s="14">
        <f t="shared" si="2"/>
        <v>0</v>
      </c>
      <c r="W48" s="23">
        <v>31</v>
      </c>
      <c r="X48" s="13"/>
      <c r="Y48" s="14"/>
      <c r="Z48" s="14"/>
      <c r="AA48" s="14">
        <f t="shared" si="3"/>
        <v>0</v>
      </c>
      <c r="AB48" s="23">
        <v>31</v>
      </c>
      <c r="AC48" s="13"/>
      <c r="AD48" s="14"/>
      <c r="AE48" s="14"/>
      <c r="AF48" s="14">
        <f t="shared" si="4"/>
        <v>0</v>
      </c>
      <c r="AG48" s="23">
        <v>31</v>
      </c>
      <c r="AH48" s="13"/>
      <c r="AI48" s="14"/>
      <c r="AJ48" s="14"/>
      <c r="AK48" s="14">
        <f t="shared" si="5"/>
        <v>0</v>
      </c>
      <c r="AL48" s="23">
        <v>31</v>
      </c>
      <c r="AM48" s="13"/>
      <c r="AN48" s="14"/>
      <c r="AO48" s="14"/>
      <c r="AP48" s="14">
        <f t="shared" si="6"/>
        <v>0</v>
      </c>
      <c r="AQ48" s="23">
        <v>31</v>
      </c>
      <c r="AR48" s="13"/>
      <c r="AS48" s="14"/>
      <c r="AT48" s="14"/>
      <c r="AU48" s="14">
        <f t="shared" si="7"/>
        <v>0</v>
      </c>
      <c r="AV48" s="23">
        <v>31</v>
      </c>
      <c r="AW48" s="13"/>
      <c r="AX48" s="14"/>
      <c r="AY48" s="14"/>
      <c r="AZ48" s="14">
        <f t="shared" si="8"/>
        <v>0</v>
      </c>
      <c r="BA48" s="23">
        <v>31</v>
      </c>
      <c r="BB48" s="13"/>
      <c r="BC48" s="14"/>
      <c r="BD48" s="14"/>
      <c r="BE48" s="14">
        <f t="shared" si="9"/>
        <v>0</v>
      </c>
    </row>
    <row r="49" spans="8:57" s="2" customFormat="1" ht="85.15" customHeight="1">
      <c r="H49" s="23">
        <v>32</v>
      </c>
      <c r="I49" s="13"/>
      <c r="J49" s="14"/>
      <c r="K49" s="14"/>
      <c r="L49" s="14">
        <f t="shared" si="0"/>
        <v>0</v>
      </c>
      <c r="M49" s="23">
        <v>32</v>
      </c>
      <c r="N49" s="13"/>
      <c r="O49" s="14"/>
      <c r="P49" s="14"/>
      <c r="Q49" s="14">
        <f t="shared" si="1"/>
        <v>0</v>
      </c>
      <c r="R49" s="23">
        <v>32</v>
      </c>
      <c r="S49" s="13"/>
      <c r="T49" s="14"/>
      <c r="U49" s="14"/>
      <c r="V49" s="14">
        <f t="shared" si="2"/>
        <v>0</v>
      </c>
      <c r="W49" s="23">
        <v>32</v>
      </c>
      <c r="X49" s="13"/>
      <c r="Y49" s="14"/>
      <c r="Z49" s="14"/>
      <c r="AA49" s="14">
        <f t="shared" si="3"/>
        <v>0</v>
      </c>
      <c r="AB49" s="23">
        <v>32</v>
      </c>
      <c r="AC49" s="13"/>
      <c r="AD49" s="14"/>
      <c r="AE49" s="14"/>
      <c r="AF49" s="14">
        <f t="shared" si="4"/>
        <v>0</v>
      </c>
      <c r="AG49" s="23">
        <v>32</v>
      </c>
      <c r="AH49" s="13"/>
      <c r="AI49" s="14"/>
      <c r="AJ49" s="14"/>
      <c r="AK49" s="14">
        <f t="shared" si="5"/>
        <v>0</v>
      </c>
      <c r="AL49" s="23">
        <v>32</v>
      </c>
      <c r="AM49" s="13"/>
      <c r="AN49" s="14"/>
      <c r="AO49" s="14"/>
      <c r="AP49" s="14">
        <f t="shared" si="6"/>
        <v>0</v>
      </c>
      <c r="AQ49" s="23">
        <v>32</v>
      </c>
      <c r="AR49" s="13"/>
      <c r="AS49" s="14"/>
      <c r="AT49" s="14"/>
      <c r="AU49" s="14">
        <f t="shared" si="7"/>
        <v>0</v>
      </c>
      <c r="AV49" s="23">
        <v>32</v>
      </c>
      <c r="AW49" s="13"/>
      <c r="AX49" s="14"/>
      <c r="AY49" s="14"/>
      <c r="AZ49" s="14">
        <f t="shared" si="8"/>
        <v>0</v>
      </c>
      <c r="BA49" s="23">
        <v>32</v>
      </c>
      <c r="BB49" s="13"/>
      <c r="BC49" s="14"/>
      <c r="BD49" s="14"/>
      <c r="BE49" s="14">
        <f t="shared" si="9"/>
        <v>0</v>
      </c>
    </row>
    <row r="50" spans="8:57" s="2" customFormat="1" ht="85.15" customHeight="1">
      <c r="H50" s="23">
        <v>33</v>
      </c>
      <c r="I50" s="13"/>
      <c r="J50" s="14"/>
      <c r="K50" s="14"/>
      <c r="L50" s="14">
        <f t="shared" si="0"/>
        <v>0</v>
      </c>
      <c r="M50" s="23">
        <v>33</v>
      </c>
      <c r="N50" s="13"/>
      <c r="O50" s="14"/>
      <c r="P50" s="14"/>
      <c r="Q50" s="14">
        <f t="shared" si="1"/>
        <v>0</v>
      </c>
      <c r="R50" s="23">
        <v>33</v>
      </c>
      <c r="S50" s="13"/>
      <c r="T50" s="14"/>
      <c r="U50" s="14"/>
      <c r="V50" s="14">
        <f t="shared" si="2"/>
        <v>0</v>
      </c>
      <c r="W50" s="23">
        <v>33</v>
      </c>
      <c r="X50" s="13"/>
      <c r="Y50" s="14"/>
      <c r="Z50" s="14"/>
      <c r="AA50" s="14">
        <f t="shared" si="3"/>
        <v>0</v>
      </c>
      <c r="AB50" s="23">
        <v>33</v>
      </c>
      <c r="AC50" s="13"/>
      <c r="AD50" s="14"/>
      <c r="AE50" s="14"/>
      <c r="AF50" s="14">
        <f t="shared" si="4"/>
        <v>0</v>
      </c>
      <c r="AG50" s="23">
        <v>33</v>
      </c>
      <c r="AH50" s="13"/>
      <c r="AI50" s="14"/>
      <c r="AJ50" s="14"/>
      <c r="AK50" s="14">
        <f t="shared" si="5"/>
        <v>0</v>
      </c>
      <c r="AL50" s="23">
        <v>33</v>
      </c>
      <c r="AM50" s="13"/>
      <c r="AN50" s="14"/>
      <c r="AO50" s="14"/>
      <c r="AP50" s="14">
        <f t="shared" si="6"/>
        <v>0</v>
      </c>
      <c r="AQ50" s="23">
        <v>33</v>
      </c>
      <c r="AR50" s="13"/>
      <c r="AS50" s="14"/>
      <c r="AT50" s="14"/>
      <c r="AU50" s="14">
        <f t="shared" si="7"/>
        <v>0</v>
      </c>
      <c r="AV50" s="23">
        <v>33</v>
      </c>
      <c r="AW50" s="13"/>
      <c r="AX50" s="14"/>
      <c r="AY50" s="14"/>
      <c r="AZ50" s="14">
        <f t="shared" si="8"/>
        <v>0</v>
      </c>
      <c r="BA50" s="23">
        <v>33</v>
      </c>
      <c r="BB50" s="13"/>
      <c r="BC50" s="14"/>
      <c r="BD50" s="14"/>
      <c r="BE50" s="14">
        <f t="shared" si="9"/>
        <v>0</v>
      </c>
    </row>
    <row r="51" spans="8:57" s="2" customFormat="1" ht="85.15" customHeight="1">
      <c r="H51" s="23">
        <v>34</v>
      </c>
      <c r="I51" s="13"/>
      <c r="J51" s="14"/>
      <c r="K51" s="14"/>
      <c r="L51" s="14">
        <f t="shared" si="0"/>
        <v>0</v>
      </c>
      <c r="M51" s="23">
        <v>34</v>
      </c>
      <c r="N51" s="13"/>
      <c r="O51" s="14"/>
      <c r="P51" s="14"/>
      <c r="Q51" s="14">
        <f t="shared" si="1"/>
        <v>0</v>
      </c>
      <c r="R51" s="23">
        <v>34</v>
      </c>
      <c r="S51" s="13"/>
      <c r="T51" s="14"/>
      <c r="U51" s="14"/>
      <c r="V51" s="14">
        <f t="shared" si="2"/>
        <v>0</v>
      </c>
      <c r="W51" s="23">
        <v>34</v>
      </c>
      <c r="X51" s="13"/>
      <c r="Y51" s="14"/>
      <c r="Z51" s="14"/>
      <c r="AA51" s="14">
        <f t="shared" si="3"/>
        <v>0</v>
      </c>
      <c r="AB51" s="23">
        <v>34</v>
      </c>
      <c r="AC51" s="13"/>
      <c r="AD51" s="14"/>
      <c r="AE51" s="14"/>
      <c r="AF51" s="14">
        <f t="shared" si="4"/>
        <v>0</v>
      </c>
      <c r="AG51" s="23">
        <v>34</v>
      </c>
      <c r="AH51" s="13"/>
      <c r="AI51" s="14"/>
      <c r="AJ51" s="14"/>
      <c r="AK51" s="14">
        <f t="shared" si="5"/>
        <v>0</v>
      </c>
      <c r="AL51" s="23">
        <v>34</v>
      </c>
      <c r="AM51" s="13"/>
      <c r="AN51" s="14"/>
      <c r="AO51" s="14"/>
      <c r="AP51" s="14">
        <f t="shared" si="6"/>
        <v>0</v>
      </c>
      <c r="AQ51" s="23">
        <v>34</v>
      </c>
      <c r="AR51" s="13"/>
      <c r="AS51" s="14"/>
      <c r="AT51" s="14"/>
      <c r="AU51" s="14">
        <f t="shared" si="7"/>
        <v>0</v>
      </c>
      <c r="AV51" s="23">
        <v>34</v>
      </c>
      <c r="AW51" s="13"/>
      <c r="AX51" s="14"/>
      <c r="AY51" s="14"/>
      <c r="AZ51" s="14">
        <f t="shared" si="8"/>
        <v>0</v>
      </c>
      <c r="BA51" s="23">
        <v>34</v>
      </c>
      <c r="BB51" s="13"/>
      <c r="BC51" s="14"/>
      <c r="BD51" s="14"/>
      <c r="BE51" s="14">
        <f t="shared" si="9"/>
        <v>0</v>
      </c>
    </row>
    <row r="52" spans="8:57" s="2" customFormat="1" ht="85.15" customHeight="1">
      <c r="H52" s="23">
        <v>35</v>
      </c>
      <c r="I52" s="13"/>
      <c r="J52" s="14"/>
      <c r="K52" s="14"/>
      <c r="L52" s="14">
        <f t="shared" si="0"/>
        <v>0</v>
      </c>
      <c r="M52" s="23">
        <v>35</v>
      </c>
      <c r="N52" s="13"/>
      <c r="O52" s="14"/>
      <c r="P52" s="14"/>
      <c r="Q52" s="14">
        <f t="shared" si="1"/>
        <v>0</v>
      </c>
      <c r="R52" s="23">
        <v>35</v>
      </c>
      <c r="S52" s="13"/>
      <c r="T52" s="14"/>
      <c r="U52" s="14"/>
      <c r="V52" s="14">
        <f t="shared" si="2"/>
        <v>0</v>
      </c>
      <c r="W52" s="23">
        <v>35</v>
      </c>
      <c r="X52" s="13"/>
      <c r="Y52" s="14"/>
      <c r="Z52" s="14"/>
      <c r="AA52" s="14">
        <f t="shared" si="3"/>
        <v>0</v>
      </c>
      <c r="AB52" s="23">
        <v>35</v>
      </c>
      <c r="AC52" s="13"/>
      <c r="AD52" s="14"/>
      <c r="AE52" s="14"/>
      <c r="AF52" s="14">
        <f t="shared" si="4"/>
        <v>0</v>
      </c>
      <c r="AG52" s="23">
        <v>35</v>
      </c>
      <c r="AH52" s="13"/>
      <c r="AI52" s="14"/>
      <c r="AJ52" s="14"/>
      <c r="AK52" s="14">
        <f t="shared" si="5"/>
        <v>0</v>
      </c>
      <c r="AL52" s="23">
        <v>35</v>
      </c>
      <c r="AM52" s="13"/>
      <c r="AN52" s="14"/>
      <c r="AO52" s="14"/>
      <c r="AP52" s="14">
        <f t="shared" si="6"/>
        <v>0</v>
      </c>
      <c r="AQ52" s="23">
        <v>35</v>
      </c>
      <c r="AR52" s="13"/>
      <c r="AS52" s="14"/>
      <c r="AT52" s="14"/>
      <c r="AU52" s="14">
        <f t="shared" si="7"/>
        <v>0</v>
      </c>
      <c r="AV52" s="23">
        <v>35</v>
      </c>
      <c r="AW52" s="13"/>
      <c r="AX52" s="14"/>
      <c r="AY52" s="14"/>
      <c r="AZ52" s="14">
        <f t="shared" si="8"/>
        <v>0</v>
      </c>
      <c r="BA52" s="23">
        <v>35</v>
      </c>
      <c r="BB52" s="13"/>
      <c r="BC52" s="14"/>
      <c r="BD52" s="14"/>
      <c r="BE52" s="14">
        <f t="shared" si="9"/>
        <v>0</v>
      </c>
    </row>
    <row r="53" spans="8:57" s="2" customFormat="1" ht="85.15" customHeight="1">
      <c r="H53" s="23">
        <v>36</v>
      </c>
      <c r="I53" s="13"/>
      <c r="J53" s="14"/>
      <c r="K53" s="14"/>
      <c r="L53" s="14">
        <f t="shared" si="0"/>
        <v>0</v>
      </c>
      <c r="M53" s="23">
        <v>36</v>
      </c>
      <c r="N53" s="13"/>
      <c r="O53" s="14"/>
      <c r="P53" s="14"/>
      <c r="Q53" s="14">
        <f t="shared" si="1"/>
        <v>0</v>
      </c>
      <c r="R53" s="23">
        <v>36</v>
      </c>
      <c r="S53" s="13"/>
      <c r="T53" s="14"/>
      <c r="U53" s="14"/>
      <c r="V53" s="14">
        <f t="shared" si="2"/>
        <v>0</v>
      </c>
      <c r="W53" s="23">
        <v>36</v>
      </c>
      <c r="X53" s="13"/>
      <c r="Y53" s="14"/>
      <c r="Z53" s="14"/>
      <c r="AA53" s="14">
        <f t="shared" si="3"/>
        <v>0</v>
      </c>
      <c r="AB53" s="23">
        <v>36</v>
      </c>
      <c r="AC53" s="13"/>
      <c r="AD53" s="14"/>
      <c r="AE53" s="14"/>
      <c r="AF53" s="14">
        <f t="shared" si="4"/>
        <v>0</v>
      </c>
      <c r="AG53" s="23">
        <v>36</v>
      </c>
      <c r="AH53" s="13"/>
      <c r="AI53" s="14"/>
      <c r="AJ53" s="14"/>
      <c r="AK53" s="14">
        <f t="shared" si="5"/>
        <v>0</v>
      </c>
      <c r="AL53" s="23">
        <v>36</v>
      </c>
      <c r="AM53" s="13"/>
      <c r="AN53" s="14"/>
      <c r="AO53" s="14"/>
      <c r="AP53" s="14">
        <f t="shared" si="6"/>
        <v>0</v>
      </c>
      <c r="AQ53" s="23">
        <v>36</v>
      </c>
      <c r="AR53" s="13"/>
      <c r="AS53" s="14"/>
      <c r="AT53" s="14"/>
      <c r="AU53" s="14">
        <f t="shared" si="7"/>
        <v>0</v>
      </c>
      <c r="AV53" s="23">
        <v>36</v>
      </c>
      <c r="AW53" s="13"/>
      <c r="AX53" s="14"/>
      <c r="AY53" s="14"/>
      <c r="AZ53" s="14">
        <f t="shared" si="8"/>
        <v>0</v>
      </c>
      <c r="BA53" s="23">
        <v>36</v>
      </c>
      <c r="BB53" s="13"/>
      <c r="BC53" s="14"/>
      <c r="BD53" s="14"/>
      <c r="BE53" s="14">
        <f t="shared" si="9"/>
        <v>0</v>
      </c>
    </row>
    <row r="54" spans="8:57" s="2" customFormat="1" ht="85.15" customHeight="1">
      <c r="H54" s="23">
        <v>37</v>
      </c>
      <c r="I54" s="13"/>
      <c r="J54" s="14"/>
      <c r="K54" s="14"/>
      <c r="L54" s="14">
        <f t="shared" si="0"/>
        <v>0</v>
      </c>
      <c r="M54" s="23">
        <v>37</v>
      </c>
      <c r="N54" s="13"/>
      <c r="O54" s="14"/>
      <c r="P54" s="14"/>
      <c r="Q54" s="14">
        <f t="shared" si="1"/>
        <v>0</v>
      </c>
      <c r="R54" s="23">
        <v>37</v>
      </c>
      <c r="S54" s="13"/>
      <c r="T54" s="14"/>
      <c r="U54" s="14"/>
      <c r="V54" s="14">
        <f t="shared" si="2"/>
        <v>0</v>
      </c>
      <c r="W54" s="23">
        <v>37</v>
      </c>
      <c r="X54" s="13"/>
      <c r="Y54" s="14"/>
      <c r="Z54" s="14"/>
      <c r="AA54" s="14">
        <f t="shared" si="3"/>
        <v>0</v>
      </c>
      <c r="AB54" s="23">
        <v>37</v>
      </c>
      <c r="AC54" s="13"/>
      <c r="AD54" s="14"/>
      <c r="AE54" s="14"/>
      <c r="AF54" s="14">
        <f t="shared" si="4"/>
        <v>0</v>
      </c>
      <c r="AG54" s="23">
        <v>37</v>
      </c>
      <c r="AH54" s="13"/>
      <c r="AI54" s="14"/>
      <c r="AJ54" s="14"/>
      <c r="AK54" s="14">
        <f t="shared" si="5"/>
        <v>0</v>
      </c>
      <c r="AL54" s="23">
        <v>37</v>
      </c>
      <c r="AM54" s="13"/>
      <c r="AN54" s="14"/>
      <c r="AO54" s="14"/>
      <c r="AP54" s="14">
        <f t="shared" si="6"/>
        <v>0</v>
      </c>
      <c r="AQ54" s="23">
        <v>37</v>
      </c>
      <c r="AR54" s="13"/>
      <c r="AS54" s="14"/>
      <c r="AT54" s="14"/>
      <c r="AU54" s="14">
        <f t="shared" si="7"/>
        <v>0</v>
      </c>
      <c r="AV54" s="23">
        <v>37</v>
      </c>
      <c r="AW54" s="13"/>
      <c r="AX54" s="14"/>
      <c r="AY54" s="14"/>
      <c r="AZ54" s="14">
        <f t="shared" si="8"/>
        <v>0</v>
      </c>
      <c r="BA54" s="23">
        <v>37</v>
      </c>
      <c r="BB54" s="13"/>
      <c r="BC54" s="14"/>
      <c r="BD54" s="14"/>
      <c r="BE54" s="14">
        <f t="shared" si="9"/>
        <v>0</v>
      </c>
    </row>
    <row r="55" spans="8:57" s="2" customFormat="1" ht="85.15" customHeight="1">
      <c r="H55" s="23">
        <v>38</v>
      </c>
      <c r="I55" s="13"/>
      <c r="J55" s="14"/>
      <c r="K55" s="14"/>
      <c r="L55" s="14">
        <f t="shared" si="0"/>
        <v>0</v>
      </c>
      <c r="M55" s="23">
        <v>38</v>
      </c>
      <c r="N55" s="13"/>
      <c r="O55" s="14"/>
      <c r="P55" s="14"/>
      <c r="Q55" s="14">
        <f t="shared" si="1"/>
        <v>0</v>
      </c>
      <c r="R55" s="23">
        <v>38</v>
      </c>
      <c r="S55" s="13"/>
      <c r="T55" s="14"/>
      <c r="U55" s="14"/>
      <c r="V55" s="14">
        <f t="shared" si="2"/>
        <v>0</v>
      </c>
      <c r="W55" s="23">
        <v>38</v>
      </c>
      <c r="X55" s="13"/>
      <c r="Y55" s="14"/>
      <c r="Z55" s="14"/>
      <c r="AA55" s="14">
        <f t="shared" si="3"/>
        <v>0</v>
      </c>
      <c r="AB55" s="23">
        <v>38</v>
      </c>
      <c r="AC55" s="13"/>
      <c r="AD55" s="14"/>
      <c r="AE55" s="14"/>
      <c r="AF55" s="14">
        <f t="shared" si="4"/>
        <v>0</v>
      </c>
      <c r="AG55" s="23">
        <v>38</v>
      </c>
      <c r="AH55" s="13"/>
      <c r="AI55" s="14"/>
      <c r="AJ55" s="14"/>
      <c r="AK55" s="14">
        <f t="shared" si="5"/>
        <v>0</v>
      </c>
      <c r="AL55" s="23">
        <v>38</v>
      </c>
      <c r="AM55" s="13"/>
      <c r="AN55" s="14"/>
      <c r="AO55" s="14"/>
      <c r="AP55" s="14">
        <f t="shared" si="6"/>
        <v>0</v>
      </c>
      <c r="AQ55" s="23">
        <v>38</v>
      </c>
      <c r="AR55" s="13"/>
      <c r="AS55" s="14"/>
      <c r="AT55" s="14"/>
      <c r="AU55" s="14">
        <f t="shared" si="7"/>
        <v>0</v>
      </c>
      <c r="AV55" s="23">
        <v>38</v>
      </c>
      <c r="AW55" s="13"/>
      <c r="AX55" s="14"/>
      <c r="AY55" s="14"/>
      <c r="AZ55" s="14">
        <f t="shared" si="8"/>
        <v>0</v>
      </c>
      <c r="BA55" s="23">
        <v>38</v>
      </c>
      <c r="BB55" s="13"/>
      <c r="BC55" s="14"/>
      <c r="BD55" s="14"/>
      <c r="BE55" s="14">
        <f t="shared" si="9"/>
        <v>0</v>
      </c>
    </row>
    <row r="56" spans="8:57" s="2" customFormat="1" ht="85.15" customHeight="1">
      <c r="H56" s="23">
        <v>39</v>
      </c>
      <c r="I56" s="13"/>
      <c r="J56" s="14"/>
      <c r="K56" s="14"/>
      <c r="L56" s="14">
        <f t="shared" si="0"/>
        <v>0</v>
      </c>
      <c r="M56" s="23">
        <v>39</v>
      </c>
      <c r="N56" s="13"/>
      <c r="O56" s="14"/>
      <c r="P56" s="14"/>
      <c r="Q56" s="14">
        <f t="shared" si="1"/>
        <v>0</v>
      </c>
      <c r="R56" s="23">
        <v>39</v>
      </c>
      <c r="S56" s="13"/>
      <c r="T56" s="14"/>
      <c r="U56" s="14"/>
      <c r="V56" s="14">
        <f t="shared" si="2"/>
        <v>0</v>
      </c>
      <c r="W56" s="23">
        <v>39</v>
      </c>
      <c r="X56" s="13"/>
      <c r="Y56" s="14"/>
      <c r="Z56" s="14"/>
      <c r="AA56" s="14">
        <f t="shared" si="3"/>
        <v>0</v>
      </c>
      <c r="AB56" s="23">
        <v>39</v>
      </c>
      <c r="AC56" s="13"/>
      <c r="AD56" s="14"/>
      <c r="AE56" s="14"/>
      <c r="AF56" s="14">
        <f t="shared" si="4"/>
        <v>0</v>
      </c>
      <c r="AG56" s="23">
        <v>39</v>
      </c>
      <c r="AH56" s="13"/>
      <c r="AI56" s="14"/>
      <c r="AJ56" s="14"/>
      <c r="AK56" s="14">
        <f t="shared" si="5"/>
        <v>0</v>
      </c>
      <c r="AL56" s="23">
        <v>39</v>
      </c>
      <c r="AM56" s="13"/>
      <c r="AN56" s="14"/>
      <c r="AO56" s="14"/>
      <c r="AP56" s="14">
        <f t="shared" si="6"/>
        <v>0</v>
      </c>
      <c r="AQ56" s="23">
        <v>39</v>
      </c>
      <c r="AR56" s="13"/>
      <c r="AS56" s="14"/>
      <c r="AT56" s="14"/>
      <c r="AU56" s="14">
        <f t="shared" si="7"/>
        <v>0</v>
      </c>
      <c r="AV56" s="23">
        <v>39</v>
      </c>
      <c r="AW56" s="13"/>
      <c r="AX56" s="14"/>
      <c r="AY56" s="14"/>
      <c r="AZ56" s="14">
        <f t="shared" si="8"/>
        <v>0</v>
      </c>
      <c r="BA56" s="23">
        <v>39</v>
      </c>
      <c r="BB56" s="13"/>
      <c r="BC56" s="14"/>
      <c r="BD56" s="14"/>
      <c r="BE56" s="14">
        <f t="shared" si="9"/>
        <v>0</v>
      </c>
    </row>
    <row r="57" spans="8:57" s="2" customFormat="1" ht="85.15" customHeight="1">
      <c r="H57" s="23">
        <v>40</v>
      </c>
      <c r="I57" s="13"/>
      <c r="J57" s="14"/>
      <c r="K57" s="14"/>
      <c r="L57" s="14">
        <f t="shared" si="0"/>
        <v>0</v>
      </c>
      <c r="M57" s="23">
        <v>40</v>
      </c>
      <c r="N57" s="13"/>
      <c r="O57" s="14"/>
      <c r="P57" s="14"/>
      <c r="Q57" s="14">
        <f t="shared" si="1"/>
        <v>0</v>
      </c>
      <c r="R57" s="23">
        <v>40</v>
      </c>
      <c r="S57" s="13"/>
      <c r="T57" s="14"/>
      <c r="U57" s="14"/>
      <c r="V57" s="14">
        <f t="shared" si="2"/>
        <v>0</v>
      </c>
      <c r="W57" s="23">
        <v>40</v>
      </c>
      <c r="X57" s="13"/>
      <c r="Y57" s="14"/>
      <c r="Z57" s="14"/>
      <c r="AA57" s="14">
        <f t="shared" si="3"/>
        <v>0</v>
      </c>
      <c r="AB57" s="23">
        <v>40</v>
      </c>
      <c r="AC57" s="13"/>
      <c r="AD57" s="14"/>
      <c r="AE57" s="14"/>
      <c r="AF57" s="14">
        <f t="shared" si="4"/>
        <v>0</v>
      </c>
      <c r="AG57" s="23">
        <v>40</v>
      </c>
      <c r="AH57" s="13"/>
      <c r="AI57" s="14"/>
      <c r="AJ57" s="14"/>
      <c r="AK57" s="14">
        <f t="shared" si="5"/>
        <v>0</v>
      </c>
      <c r="AL57" s="23">
        <v>40</v>
      </c>
      <c r="AM57" s="13"/>
      <c r="AN57" s="14"/>
      <c r="AO57" s="14"/>
      <c r="AP57" s="14">
        <f t="shared" si="6"/>
        <v>0</v>
      </c>
      <c r="AQ57" s="23">
        <v>40</v>
      </c>
      <c r="AR57" s="13"/>
      <c r="AS57" s="14"/>
      <c r="AT57" s="14"/>
      <c r="AU57" s="14">
        <f t="shared" si="7"/>
        <v>0</v>
      </c>
      <c r="AV57" s="23">
        <v>40</v>
      </c>
      <c r="AW57" s="13"/>
      <c r="AX57" s="14"/>
      <c r="AY57" s="14"/>
      <c r="AZ57" s="14">
        <f t="shared" si="8"/>
        <v>0</v>
      </c>
      <c r="BA57" s="23">
        <v>40</v>
      </c>
      <c r="BB57" s="13"/>
      <c r="BC57" s="14"/>
      <c r="BD57" s="14"/>
      <c r="BE57" s="14">
        <f t="shared" si="9"/>
        <v>0</v>
      </c>
    </row>
    <row r="58" spans="8:57" s="2" customFormat="1" ht="85.15" customHeight="1">
      <c r="H58" s="23">
        <v>41</v>
      </c>
      <c r="I58" s="13"/>
      <c r="J58" s="14"/>
      <c r="K58" s="14"/>
      <c r="L58" s="14">
        <f t="shared" si="0"/>
        <v>0</v>
      </c>
      <c r="M58" s="23">
        <v>41</v>
      </c>
      <c r="N58" s="13"/>
      <c r="O58" s="14"/>
      <c r="P58" s="14"/>
      <c r="Q58" s="14">
        <f t="shared" si="1"/>
        <v>0</v>
      </c>
      <c r="R58" s="23">
        <v>41</v>
      </c>
      <c r="S58" s="13"/>
      <c r="T58" s="14"/>
      <c r="U58" s="14"/>
      <c r="V58" s="14">
        <f t="shared" si="2"/>
        <v>0</v>
      </c>
      <c r="W58" s="23">
        <v>41</v>
      </c>
      <c r="X58" s="13"/>
      <c r="Y58" s="14"/>
      <c r="Z58" s="14"/>
      <c r="AA58" s="14">
        <f t="shared" si="3"/>
        <v>0</v>
      </c>
      <c r="AB58" s="23">
        <v>41</v>
      </c>
      <c r="AC58" s="13"/>
      <c r="AD58" s="14"/>
      <c r="AE58" s="14"/>
      <c r="AF58" s="14">
        <f t="shared" si="4"/>
        <v>0</v>
      </c>
      <c r="AG58" s="23">
        <v>41</v>
      </c>
      <c r="AH58" s="13"/>
      <c r="AI58" s="14"/>
      <c r="AJ58" s="14"/>
      <c r="AK58" s="14">
        <f t="shared" si="5"/>
        <v>0</v>
      </c>
      <c r="AL58" s="23">
        <v>41</v>
      </c>
      <c r="AM58" s="13"/>
      <c r="AN58" s="14"/>
      <c r="AO58" s="14"/>
      <c r="AP58" s="14">
        <f t="shared" si="6"/>
        <v>0</v>
      </c>
      <c r="AQ58" s="23">
        <v>41</v>
      </c>
      <c r="AR58" s="13"/>
      <c r="AS58" s="14"/>
      <c r="AT58" s="14"/>
      <c r="AU58" s="14">
        <f t="shared" si="7"/>
        <v>0</v>
      </c>
      <c r="AV58" s="23">
        <v>41</v>
      </c>
      <c r="AW58" s="13"/>
      <c r="AX58" s="14"/>
      <c r="AY58" s="14"/>
      <c r="AZ58" s="14">
        <f t="shared" si="8"/>
        <v>0</v>
      </c>
      <c r="BA58" s="23">
        <v>41</v>
      </c>
      <c r="BB58" s="13"/>
      <c r="BC58" s="14"/>
      <c r="BD58" s="14"/>
      <c r="BE58" s="14">
        <f t="shared" si="9"/>
        <v>0</v>
      </c>
    </row>
    <row r="59" spans="8:57" s="2" customFormat="1" ht="85.15" customHeight="1">
      <c r="H59" s="23">
        <v>42</v>
      </c>
      <c r="I59" s="13"/>
      <c r="J59" s="14"/>
      <c r="K59" s="14"/>
      <c r="L59" s="14">
        <f t="shared" si="0"/>
        <v>0</v>
      </c>
      <c r="M59" s="23">
        <v>42</v>
      </c>
      <c r="N59" s="13"/>
      <c r="O59" s="14"/>
      <c r="P59" s="14"/>
      <c r="Q59" s="14">
        <f t="shared" si="1"/>
        <v>0</v>
      </c>
      <c r="R59" s="23">
        <v>42</v>
      </c>
      <c r="S59" s="13"/>
      <c r="T59" s="14"/>
      <c r="U59" s="14"/>
      <c r="V59" s="14">
        <f t="shared" si="2"/>
        <v>0</v>
      </c>
      <c r="W59" s="23">
        <v>42</v>
      </c>
      <c r="X59" s="13"/>
      <c r="Y59" s="14"/>
      <c r="Z59" s="14"/>
      <c r="AA59" s="14">
        <f t="shared" si="3"/>
        <v>0</v>
      </c>
      <c r="AB59" s="23">
        <v>42</v>
      </c>
      <c r="AC59" s="13"/>
      <c r="AD59" s="14"/>
      <c r="AE59" s="14"/>
      <c r="AF59" s="14">
        <f t="shared" si="4"/>
        <v>0</v>
      </c>
      <c r="AG59" s="23">
        <v>42</v>
      </c>
      <c r="AH59" s="13"/>
      <c r="AI59" s="14"/>
      <c r="AJ59" s="14"/>
      <c r="AK59" s="14">
        <f t="shared" si="5"/>
        <v>0</v>
      </c>
      <c r="AL59" s="23">
        <v>42</v>
      </c>
      <c r="AM59" s="13"/>
      <c r="AN59" s="14"/>
      <c r="AO59" s="14"/>
      <c r="AP59" s="14">
        <f t="shared" si="6"/>
        <v>0</v>
      </c>
      <c r="AQ59" s="23">
        <v>42</v>
      </c>
      <c r="AR59" s="13"/>
      <c r="AS59" s="14"/>
      <c r="AT59" s="14"/>
      <c r="AU59" s="14">
        <f t="shared" si="7"/>
        <v>0</v>
      </c>
      <c r="AV59" s="23">
        <v>42</v>
      </c>
      <c r="AW59" s="13"/>
      <c r="AX59" s="14"/>
      <c r="AY59" s="14"/>
      <c r="AZ59" s="14">
        <f t="shared" si="8"/>
        <v>0</v>
      </c>
      <c r="BA59" s="23">
        <v>42</v>
      </c>
      <c r="BB59" s="13"/>
      <c r="BC59" s="14"/>
      <c r="BD59" s="14"/>
      <c r="BE59" s="14">
        <f t="shared" si="9"/>
        <v>0</v>
      </c>
    </row>
    <row r="60" spans="8:57" s="2" customFormat="1" ht="85.15" customHeight="1">
      <c r="H60" s="23">
        <v>43</v>
      </c>
      <c r="I60" s="13"/>
      <c r="J60" s="14"/>
      <c r="K60" s="14"/>
      <c r="L60" s="14">
        <f t="shared" si="0"/>
        <v>0</v>
      </c>
      <c r="M60" s="23">
        <v>43</v>
      </c>
      <c r="N60" s="13"/>
      <c r="O60" s="14"/>
      <c r="P60" s="14"/>
      <c r="Q60" s="14">
        <f t="shared" si="1"/>
        <v>0</v>
      </c>
      <c r="R60" s="23">
        <v>43</v>
      </c>
      <c r="S60" s="13"/>
      <c r="T60" s="14"/>
      <c r="U60" s="14"/>
      <c r="V60" s="14">
        <f t="shared" si="2"/>
        <v>0</v>
      </c>
      <c r="W60" s="23">
        <v>43</v>
      </c>
      <c r="X60" s="13"/>
      <c r="Y60" s="14"/>
      <c r="Z60" s="14"/>
      <c r="AA60" s="14">
        <f t="shared" si="3"/>
        <v>0</v>
      </c>
      <c r="AB60" s="23">
        <v>43</v>
      </c>
      <c r="AC60" s="13"/>
      <c r="AD60" s="14"/>
      <c r="AE60" s="14"/>
      <c r="AF60" s="14">
        <f t="shared" si="4"/>
        <v>0</v>
      </c>
      <c r="AG60" s="23">
        <v>43</v>
      </c>
      <c r="AH60" s="13"/>
      <c r="AI60" s="14"/>
      <c r="AJ60" s="14"/>
      <c r="AK60" s="14">
        <f t="shared" si="5"/>
        <v>0</v>
      </c>
      <c r="AL60" s="23">
        <v>43</v>
      </c>
      <c r="AM60" s="13"/>
      <c r="AN60" s="14"/>
      <c r="AO60" s="14"/>
      <c r="AP60" s="14">
        <f t="shared" si="6"/>
        <v>0</v>
      </c>
      <c r="AQ60" s="23">
        <v>43</v>
      </c>
      <c r="AR60" s="13"/>
      <c r="AS60" s="14"/>
      <c r="AT60" s="14"/>
      <c r="AU60" s="14">
        <f t="shared" si="7"/>
        <v>0</v>
      </c>
      <c r="AV60" s="23">
        <v>43</v>
      </c>
      <c r="AW60" s="13"/>
      <c r="AX60" s="14"/>
      <c r="AY60" s="14"/>
      <c r="AZ60" s="14">
        <f t="shared" si="8"/>
        <v>0</v>
      </c>
      <c r="BA60" s="23">
        <v>43</v>
      </c>
      <c r="BB60" s="13"/>
      <c r="BC60" s="14"/>
      <c r="BD60" s="14"/>
      <c r="BE60" s="14">
        <f t="shared" si="9"/>
        <v>0</v>
      </c>
    </row>
    <row r="61" spans="8:57" s="2" customFormat="1" ht="85.15" customHeight="1">
      <c r="H61" s="23">
        <v>44</v>
      </c>
      <c r="I61" s="13"/>
      <c r="J61" s="14"/>
      <c r="K61" s="14"/>
      <c r="L61" s="14">
        <f t="shared" si="0"/>
        <v>0</v>
      </c>
      <c r="M61" s="23">
        <v>44</v>
      </c>
      <c r="N61" s="13"/>
      <c r="O61" s="14"/>
      <c r="P61" s="14"/>
      <c r="Q61" s="14">
        <f t="shared" si="1"/>
        <v>0</v>
      </c>
      <c r="R61" s="23">
        <v>44</v>
      </c>
      <c r="S61" s="13"/>
      <c r="T61" s="14"/>
      <c r="U61" s="14"/>
      <c r="V61" s="14">
        <f t="shared" si="2"/>
        <v>0</v>
      </c>
      <c r="W61" s="23">
        <v>44</v>
      </c>
      <c r="X61" s="13"/>
      <c r="Y61" s="14"/>
      <c r="Z61" s="14"/>
      <c r="AA61" s="14">
        <f t="shared" si="3"/>
        <v>0</v>
      </c>
      <c r="AB61" s="23">
        <v>44</v>
      </c>
      <c r="AC61" s="13"/>
      <c r="AD61" s="14"/>
      <c r="AE61" s="14"/>
      <c r="AF61" s="14">
        <f t="shared" si="4"/>
        <v>0</v>
      </c>
      <c r="AG61" s="23">
        <v>44</v>
      </c>
      <c r="AH61" s="13"/>
      <c r="AI61" s="14"/>
      <c r="AJ61" s="14"/>
      <c r="AK61" s="14">
        <f t="shared" si="5"/>
        <v>0</v>
      </c>
      <c r="AL61" s="23">
        <v>44</v>
      </c>
      <c r="AM61" s="13"/>
      <c r="AN61" s="14"/>
      <c r="AO61" s="14"/>
      <c r="AP61" s="14">
        <f t="shared" si="6"/>
        <v>0</v>
      </c>
      <c r="AQ61" s="23">
        <v>44</v>
      </c>
      <c r="AR61" s="13"/>
      <c r="AS61" s="14"/>
      <c r="AT61" s="14"/>
      <c r="AU61" s="14">
        <f t="shared" si="7"/>
        <v>0</v>
      </c>
      <c r="AV61" s="23">
        <v>44</v>
      </c>
      <c r="AW61" s="13"/>
      <c r="AX61" s="14"/>
      <c r="AY61" s="14"/>
      <c r="AZ61" s="14">
        <f t="shared" si="8"/>
        <v>0</v>
      </c>
      <c r="BA61" s="23">
        <v>44</v>
      </c>
      <c r="BB61" s="13"/>
      <c r="BC61" s="14"/>
      <c r="BD61" s="14"/>
      <c r="BE61" s="14">
        <f t="shared" si="9"/>
        <v>0</v>
      </c>
    </row>
    <row r="62" spans="8:57" s="2" customFormat="1" ht="85.15" customHeight="1">
      <c r="H62" s="23">
        <v>45</v>
      </c>
      <c r="I62" s="13"/>
      <c r="J62" s="14"/>
      <c r="K62" s="14"/>
      <c r="L62" s="14">
        <f t="shared" si="0"/>
        <v>0</v>
      </c>
      <c r="M62" s="23">
        <v>45</v>
      </c>
      <c r="N62" s="13"/>
      <c r="O62" s="14"/>
      <c r="P62" s="14"/>
      <c r="Q62" s="14">
        <f t="shared" si="1"/>
        <v>0</v>
      </c>
      <c r="R62" s="23">
        <v>45</v>
      </c>
      <c r="S62" s="13"/>
      <c r="T62" s="14"/>
      <c r="U62" s="14"/>
      <c r="V62" s="14">
        <f t="shared" si="2"/>
        <v>0</v>
      </c>
      <c r="W62" s="23">
        <v>45</v>
      </c>
      <c r="X62" s="13"/>
      <c r="Y62" s="14"/>
      <c r="Z62" s="14"/>
      <c r="AA62" s="14">
        <f t="shared" si="3"/>
        <v>0</v>
      </c>
      <c r="AB62" s="23">
        <v>45</v>
      </c>
      <c r="AC62" s="13"/>
      <c r="AD62" s="14"/>
      <c r="AE62" s="14"/>
      <c r="AF62" s="14">
        <f t="shared" si="4"/>
        <v>0</v>
      </c>
      <c r="AG62" s="23">
        <v>45</v>
      </c>
      <c r="AH62" s="13"/>
      <c r="AI62" s="14"/>
      <c r="AJ62" s="14"/>
      <c r="AK62" s="14">
        <f t="shared" si="5"/>
        <v>0</v>
      </c>
      <c r="AL62" s="23">
        <v>45</v>
      </c>
      <c r="AM62" s="13"/>
      <c r="AN62" s="14"/>
      <c r="AO62" s="14"/>
      <c r="AP62" s="14">
        <f t="shared" si="6"/>
        <v>0</v>
      </c>
      <c r="AQ62" s="23">
        <v>45</v>
      </c>
      <c r="AR62" s="13"/>
      <c r="AS62" s="14"/>
      <c r="AT62" s="14"/>
      <c r="AU62" s="14">
        <f t="shared" si="7"/>
        <v>0</v>
      </c>
      <c r="AV62" s="23">
        <v>45</v>
      </c>
      <c r="AW62" s="13"/>
      <c r="AX62" s="14"/>
      <c r="AY62" s="14"/>
      <c r="AZ62" s="14">
        <f t="shared" si="8"/>
        <v>0</v>
      </c>
      <c r="BA62" s="23">
        <v>45</v>
      </c>
      <c r="BB62" s="13"/>
      <c r="BC62" s="14"/>
      <c r="BD62" s="14"/>
      <c r="BE62" s="14">
        <f t="shared" si="9"/>
        <v>0</v>
      </c>
    </row>
    <row r="63" spans="8:57" s="2" customFormat="1" ht="85.15" customHeight="1">
      <c r="H63" s="23">
        <v>46</v>
      </c>
      <c r="I63" s="13"/>
      <c r="J63" s="14"/>
      <c r="K63" s="14"/>
      <c r="L63" s="14">
        <f t="shared" si="0"/>
        <v>0</v>
      </c>
      <c r="M63" s="23">
        <v>46</v>
      </c>
      <c r="N63" s="13"/>
      <c r="O63" s="14"/>
      <c r="P63" s="14"/>
      <c r="Q63" s="14">
        <f t="shared" si="1"/>
        <v>0</v>
      </c>
      <c r="R63" s="23">
        <v>46</v>
      </c>
      <c r="S63" s="13"/>
      <c r="T63" s="14"/>
      <c r="U63" s="14"/>
      <c r="V63" s="14">
        <f t="shared" si="2"/>
        <v>0</v>
      </c>
      <c r="W63" s="23">
        <v>46</v>
      </c>
      <c r="X63" s="13"/>
      <c r="Y63" s="14"/>
      <c r="Z63" s="14"/>
      <c r="AA63" s="14">
        <f t="shared" si="3"/>
        <v>0</v>
      </c>
      <c r="AB63" s="23">
        <v>46</v>
      </c>
      <c r="AC63" s="13"/>
      <c r="AD63" s="14"/>
      <c r="AE63" s="14"/>
      <c r="AF63" s="14">
        <f t="shared" si="4"/>
        <v>0</v>
      </c>
      <c r="AG63" s="23">
        <v>46</v>
      </c>
      <c r="AH63" s="13"/>
      <c r="AI63" s="14"/>
      <c r="AJ63" s="14"/>
      <c r="AK63" s="14">
        <f t="shared" si="5"/>
        <v>0</v>
      </c>
      <c r="AL63" s="23">
        <v>46</v>
      </c>
      <c r="AM63" s="13"/>
      <c r="AN63" s="14"/>
      <c r="AO63" s="14"/>
      <c r="AP63" s="14">
        <f t="shared" si="6"/>
        <v>0</v>
      </c>
      <c r="AQ63" s="23">
        <v>46</v>
      </c>
      <c r="AR63" s="13"/>
      <c r="AS63" s="14"/>
      <c r="AT63" s="14"/>
      <c r="AU63" s="14">
        <f t="shared" si="7"/>
        <v>0</v>
      </c>
      <c r="AV63" s="23">
        <v>46</v>
      </c>
      <c r="AW63" s="13"/>
      <c r="AX63" s="14"/>
      <c r="AY63" s="14"/>
      <c r="AZ63" s="14">
        <f t="shared" si="8"/>
        <v>0</v>
      </c>
      <c r="BA63" s="23">
        <v>46</v>
      </c>
      <c r="BB63" s="13"/>
      <c r="BC63" s="14"/>
      <c r="BD63" s="14"/>
      <c r="BE63" s="14">
        <f t="shared" si="9"/>
        <v>0</v>
      </c>
    </row>
    <row r="64" spans="8:57" s="2" customFormat="1" ht="85.15" customHeight="1">
      <c r="H64" s="23">
        <v>47</v>
      </c>
      <c r="I64" s="13"/>
      <c r="J64" s="14"/>
      <c r="K64" s="14"/>
      <c r="L64" s="14">
        <f t="shared" si="0"/>
        <v>0</v>
      </c>
      <c r="M64" s="23">
        <v>47</v>
      </c>
      <c r="N64" s="13"/>
      <c r="O64" s="14"/>
      <c r="P64" s="14"/>
      <c r="Q64" s="14">
        <f t="shared" si="1"/>
        <v>0</v>
      </c>
      <c r="R64" s="23">
        <v>47</v>
      </c>
      <c r="S64" s="13"/>
      <c r="T64" s="14"/>
      <c r="U64" s="14"/>
      <c r="V64" s="14">
        <f t="shared" si="2"/>
        <v>0</v>
      </c>
      <c r="W64" s="23">
        <v>47</v>
      </c>
      <c r="X64" s="13"/>
      <c r="Y64" s="14"/>
      <c r="Z64" s="14"/>
      <c r="AA64" s="14">
        <f t="shared" si="3"/>
        <v>0</v>
      </c>
      <c r="AB64" s="23">
        <v>47</v>
      </c>
      <c r="AC64" s="13"/>
      <c r="AD64" s="14"/>
      <c r="AE64" s="14"/>
      <c r="AF64" s="14">
        <f t="shared" si="4"/>
        <v>0</v>
      </c>
      <c r="AG64" s="23">
        <v>47</v>
      </c>
      <c r="AH64" s="13"/>
      <c r="AI64" s="14"/>
      <c r="AJ64" s="14"/>
      <c r="AK64" s="14">
        <f t="shared" si="5"/>
        <v>0</v>
      </c>
      <c r="AL64" s="23">
        <v>47</v>
      </c>
      <c r="AM64" s="13"/>
      <c r="AN64" s="14"/>
      <c r="AO64" s="14"/>
      <c r="AP64" s="14">
        <f t="shared" si="6"/>
        <v>0</v>
      </c>
      <c r="AQ64" s="23">
        <v>47</v>
      </c>
      <c r="AR64" s="13"/>
      <c r="AS64" s="14"/>
      <c r="AT64" s="14"/>
      <c r="AU64" s="14">
        <f t="shared" si="7"/>
        <v>0</v>
      </c>
      <c r="AV64" s="23">
        <v>47</v>
      </c>
      <c r="AW64" s="13"/>
      <c r="AX64" s="14"/>
      <c r="AY64" s="14"/>
      <c r="AZ64" s="14">
        <f t="shared" si="8"/>
        <v>0</v>
      </c>
      <c r="BA64" s="23">
        <v>47</v>
      </c>
      <c r="BB64" s="13"/>
      <c r="BC64" s="14"/>
      <c r="BD64" s="14"/>
      <c r="BE64" s="14">
        <f t="shared" si="9"/>
        <v>0</v>
      </c>
    </row>
    <row r="65" spans="8:57" s="2" customFormat="1" ht="85.15" customHeight="1">
      <c r="H65" s="23">
        <v>48</v>
      </c>
      <c r="I65" s="13"/>
      <c r="J65" s="14"/>
      <c r="K65" s="14"/>
      <c r="L65" s="14">
        <f t="shared" si="0"/>
        <v>0</v>
      </c>
      <c r="M65" s="23">
        <v>48</v>
      </c>
      <c r="N65" s="13"/>
      <c r="O65" s="14"/>
      <c r="P65" s="14"/>
      <c r="Q65" s="14">
        <f t="shared" si="1"/>
        <v>0</v>
      </c>
      <c r="R65" s="23">
        <v>48</v>
      </c>
      <c r="S65" s="13"/>
      <c r="T65" s="14"/>
      <c r="U65" s="14"/>
      <c r="V65" s="14">
        <f t="shared" si="2"/>
        <v>0</v>
      </c>
      <c r="W65" s="23">
        <v>48</v>
      </c>
      <c r="X65" s="13"/>
      <c r="Y65" s="14"/>
      <c r="Z65" s="14"/>
      <c r="AA65" s="14">
        <f t="shared" si="3"/>
        <v>0</v>
      </c>
      <c r="AB65" s="23">
        <v>48</v>
      </c>
      <c r="AC65" s="13"/>
      <c r="AD65" s="14"/>
      <c r="AE65" s="14"/>
      <c r="AF65" s="14">
        <f t="shared" si="4"/>
        <v>0</v>
      </c>
      <c r="AG65" s="23">
        <v>48</v>
      </c>
      <c r="AH65" s="13"/>
      <c r="AI65" s="14"/>
      <c r="AJ65" s="14"/>
      <c r="AK65" s="14">
        <f t="shared" si="5"/>
        <v>0</v>
      </c>
      <c r="AL65" s="23">
        <v>48</v>
      </c>
      <c r="AM65" s="13"/>
      <c r="AN65" s="14"/>
      <c r="AO65" s="14"/>
      <c r="AP65" s="14">
        <f t="shared" si="6"/>
        <v>0</v>
      </c>
      <c r="AQ65" s="23">
        <v>48</v>
      </c>
      <c r="AR65" s="13"/>
      <c r="AS65" s="14"/>
      <c r="AT65" s="14"/>
      <c r="AU65" s="14">
        <f t="shared" si="7"/>
        <v>0</v>
      </c>
      <c r="AV65" s="23">
        <v>48</v>
      </c>
      <c r="AW65" s="13"/>
      <c r="AX65" s="14"/>
      <c r="AY65" s="14"/>
      <c r="AZ65" s="14">
        <f t="shared" si="8"/>
        <v>0</v>
      </c>
      <c r="BA65" s="23">
        <v>48</v>
      </c>
      <c r="BB65" s="13"/>
      <c r="BC65" s="14"/>
      <c r="BD65" s="14"/>
      <c r="BE65" s="14">
        <f t="shared" si="9"/>
        <v>0</v>
      </c>
    </row>
    <row r="66" spans="8:57" s="2" customFormat="1" ht="85.15" customHeight="1">
      <c r="H66" s="23">
        <v>49</v>
      </c>
      <c r="I66" s="13"/>
      <c r="J66" s="14"/>
      <c r="K66" s="14"/>
      <c r="L66" s="14">
        <f t="shared" si="0"/>
        <v>0</v>
      </c>
      <c r="M66" s="23">
        <v>49</v>
      </c>
      <c r="N66" s="13"/>
      <c r="O66" s="14"/>
      <c r="P66" s="14"/>
      <c r="Q66" s="14">
        <f t="shared" si="1"/>
        <v>0</v>
      </c>
      <c r="R66" s="23">
        <v>49</v>
      </c>
      <c r="S66" s="13"/>
      <c r="T66" s="14"/>
      <c r="U66" s="14"/>
      <c r="V66" s="14">
        <f t="shared" si="2"/>
        <v>0</v>
      </c>
      <c r="W66" s="23">
        <v>49</v>
      </c>
      <c r="X66" s="13"/>
      <c r="Y66" s="14"/>
      <c r="Z66" s="14"/>
      <c r="AA66" s="14">
        <f t="shared" si="3"/>
        <v>0</v>
      </c>
      <c r="AB66" s="23">
        <v>49</v>
      </c>
      <c r="AC66" s="13"/>
      <c r="AD66" s="14"/>
      <c r="AE66" s="14"/>
      <c r="AF66" s="14">
        <f t="shared" si="4"/>
        <v>0</v>
      </c>
      <c r="AG66" s="23">
        <v>49</v>
      </c>
      <c r="AH66" s="13"/>
      <c r="AI66" s="14"/>
      <c r="AJ66" s="14"/>
      <c r="AK66" s="14">
        <f t="shared" si="5"/>
        <v>0</v>
      </c>
      <c r="AL66" s="23">
        <v>49</v>
      </c>
      <c r="AM66" s="13"/>
      <c r="AN66" s="14"/>
      <c r="AO66" s="14"/>
      <c r="AP66" s="14">
        <f t="shared" si="6"/>
        <v>0</v>
      </c>
      <c r="AQ66" s="23">
        <v>49</v>
      </c>
      <c r="AR66" s="13"/>
      <c r="AS66" s="14"/>
      <c r="AT66" s="14"/>
      <c r="AU66" s="14">
        <f t="shared" si="7"/>
        <v>0</v>
      </c>
      <c r="AV66" s="23">
        <v>49</v>
      </c>
      <c r="AW66" s="13"/>
      <c r="AX66" s="14"/>
      <c r="AY66" s="14"/>
      <c r="AZ66" s="14">
        <f t="shared" si="8"/>
        <v>0</v>
      </c>
      <c r="BA66" s="23">
        <v>49</v>
      </c>
      <c r="BB66" s="13"/>
      <c r="BC66" s="14"/>
      <c r="BD66" s="14"/>
      <c r="BE66" s="14">
        <f t="shared" si="9"/>
        <v>0</v>
      </c>
    </row>
    <row r="67" spans="8:57" s="2" customFormat="1" ht="85.15" customHeight="1">
      <c r="H67" s="23">
        <v>50</v>
      </c>
      <c r="I67" s="13"/>
      <c r="J67" s="14"/>
      <c r="K67" s="14"/>
      <c r="L67" s="14">
        <f t="shared" si="0"/>
        <v>0</v>
      </c>
      <c r="M67" s="23">
        <v>50</v>
      </c>
      <c r="N67" s="13"/>
      <c r="O67" s="14"/>
      <c r="P67" s="14"/>
      <c r="Q67" s="14">
        <f t="shared" si="1"/>
        <v>0</v>
      </c>
      <c r="R67" s="23">
        <v>50</v>
      </c>
      <c r="S67" s="13"/>
      <c r="T67" s="14"/>
      <c r="U67" s="14"/>
      <c r="V67" s="14">
        <f t="shared" si="2"/>
        <v>0</v>
      </c>
      <c r="W67" s="23">
        <v>50</v>
      </c>
      <c r="X67" s="13"/>
      <c r="Y67" s="14"/>
      <c r="Z67" s="14"/>
      <c r="AA67" s="14">
        <f t="shared" si="3"/>
        <v>0</v>
      </c>
      <c r="AB67" s="23">
        <v>50</v>
      </c>
      <c r="AC67" s="13"/>
      <c r="AD67" s="14"/>
      <c r="AE67" s="14"/>
      <c r="AF67" s="14">
        <f t="shared" si="4"/>
        <v>0</v>
      </c>
      <c r="AG67" s="23">
        <v>50</v>
      </c>
      <c r="AH67" s="13"/>
      <c r="AI67" s="14"/>
      <c r="AJ67" s="14"/>
      <c r="AK67" s="14">
        <f t="shared" si="5"/>
        <v>0</v>
      </c>
      <c r="AL67" s="23">
        <v>50</v>
      </c>
      <c r="AM67" s="13"/>
      <c r="AN67" s="14"/>
      <c r="AO67" s="14"/>
      <c r="AP67" s="14">
        <f t="shared" si="6"/>
        <v>0</v>
      </c>
      <c r="AQ67" s="23">
        <v>50</v>
      </c>
      <c r="AR67" s="13"/>
      <c r="AS67" s="14"/>
      <c r="AT67" s="14"/>
      <c r="AU67" s="14">
        <f t="shared" si="7"/>
        <v>0</v>
      </c>
      <c r="AV67" s="23">
        <v>50</v>
      </c>
      <c r="AW67" s="13"/>
      <c r="AX67" s="14"/>
      <c r="AY67" s="14"/>
      <c r="AZ67" s="14">
        <f t="shared" si="8"/>
        <v>0</v>
      </c>
      <c r="BA67" s="23">
        <v>50</v>
      </c>
      <c r="BB67" s="13"/>
      <c r="BC67" s="14"/>
      <c r="BD67" s="14"/>
      <c r="BE67" s="14">
        <f t="shared" si="9"/>
        <v>0</v>
      </c>
    </row>
    <row r="68" spans="8:57" s="2" customFormat="1" ht="85.15" customHeight="1">
      <c r="H68" s="23">
        <v>51</v>
      </c>
      <c r="I68" s="13"/>
      <c r="J68" s="14"/>
      <c r="K68" s="14"/>
      <c r="L68" s="14">
        <f t="shared" si="0"/>
        <v>0</v>
      </c>
      <c r="M68" s="23">
        <v>51</v>
      </c>
      <c r="N68" s="13"/>
      <c r="O68" s="14"/>
      <c r="P68" s="14"/>
      <c r="Q68" s="14">
        <f t="shared" si="1"/>
        <v>0</v>
      </c>
      <c r="R68" s="23">
        <v>51</v>
      </c>
      <c r="S68" s="13"/>
      <c r="T68" s="14"/>
      <c r="U68" s="14"/>
      <c r="V68" s="14">
        <f t="shared" si="2"/>
        <v>0</v>
      </c>
      <c r="W68" s="23">
        <v>51</v>
      </c>
      <c r="X68" s="13"/>
      <c r="Y68" s="14"/>
      <c r="Z68" s="14"/>
      <c r="AA68" s="14">
        <f t="shared" si="3"/>
        <v>0</v>
      </c>
      <c r="AB68" s="23">
        <v>51</v>
      </c>
      <c r="AC68" s="13"/>
      <c r="AD68" s="14"/>
      <c r="AE68" s="14"/>
      <c r="AF68" s="14">
        <f t="shared" si="4"/>
        <v>0</v>
      </c>
      <c r="AG68" s="23">
        <v>51</v>
      </c>
      <c r="AH68" s="13"/>
      <c r="AI68" s="14"/>
      <c r="AJ68" s="14"/>
      <c r="AK68" s="14">
        <f t="shared" si="5"/>
        <v>0</v>
      </c>
      <c r="AL68" s="23">
        <v>51</v>
      </c>
      <c r="AM68" s="13"/>
      <c r="AN68" s="14"/>
      <c r="AO68" s="14"/>
      <c r="AP68" s="14">
        <f t="shared" si="6"/>
        <v>0</v>
      </c>
      <c r="AQ68" s="23">
        <v>51</v>
      </c>
      <c r="AR68" s="13"/>
      <c r="AS68" s="14"/>
      <c r="AT68" s="14"/>
      <c r="AU68" s="14">
        <f t="shared" si="7"/>
        <v>0</v>
      </c>
      <c r="AV68" s="23">
        <v>51</v>
      </c>
      <c r="AW68" s="13"/>
      <c r="AX68" s="14"/>
      <c r="AY68" s="14"/>
      <c r="AZ68" s="14">
        <f t="shared" si="8"/>
        <v>0</v>
      </c>
      <c r="BA68" s="23">
        <v>51</v>
      </c>
      <c r="BB68" s="13"/>
      <c r="BC68" s="14"/>
      <c r="BD68" s="14"/>
      <c r="BE68" s="14">
        <f t="shared" si="9"/>
        <v>0</v>
      </c>
    </row>
    <row r="69" spans="8:57" s="2" customFormat="1" ht="85.15" customHeight="1">
      <c r="H69" s="23">
        <v>52</v>
      </c>
      <c r="I69" s="13"/>
      <c r="J69" s="14"/>
      <c r="K69" s="14"/>
      <c r="L69" s="14">
        <f t="shared" si="0"/>
        <v>0</v>
      </c>
      <c r="M69" s="23">
        <v>52</v>
      </c>
      <c r="N69" s="13"/>
      <c r="O69" s="14"/>
      <c r="P69" s="14"/>
      <c r="Q69" s="14">
        <f t="shared" si="1"/>
        <v>0</v>
      </c>
      <c r="R69" s="23">
        <v>52</v>
      </c>
      <c r="S69" s="13"/>
      <c r="T69" s="14"/>
      <c r="U69" s="14"/>
      <c r="V69" s="14">
        <f t="shared" si="2"/>
        <v>0</v>
      </c>
      <c r="W69" s="23">
        <v>52</v>
      </c>
      <c r="X69" s="13"/>
      <c r="Y69" s="14"/>
      <c r="Z69" s="14"/>
      <c r="AA69" s="14">
        <f t="shared" si="3"/>
        <v>0</v>
      </c>
      <c r="AB69" s="23">
        <v>52</v>
      </c>
      <c r="AC69" s="13"/>
      <c r="AD69" s="14"/>
      <c r="AE69" s="14"/>
      <c r="AF69" s="14">
        <f t="shared" si="4"/>
        <v>0</v>
      </c>
      <c r="AG69" s="23">
        <v>52</v>
      </c>
      <c r="AH69" s="13"/>
      <c r="AI69" s="14"/>
      <c r="AJ69" s="14"/>
      <c r="AK69" s="14">
        <f t="shared" si="5"/>
        <v>0</v>
      </c>
      <c r="AL69" s="23">
        <v>52</v>
      </c>
      <c r="AM69" s="13"/>
      <c r="AN69" s="14"/>
      <c r="AO69" s="14"/>
      <c r="AP69" s="14">
        <f t="shared" si="6"/>
        <v>0</v>
      </c>
      <c r="AQ69" s="23">
        <v>52</v>
      </c>
      <c r="AR69" s="13"/>
      <c r="AS69" s="14"/>
      <c r="AT69" s="14"/>
      <c r="AU69" s="14">
        <f t="shared" si="7"/>
        <v>0</v>
      </c>
      <c r="AV69" s="23">
        <v>52</v>
      </c>
      <c r="AW69" s="13"/>
      <c r="AX69" s="14"/>
      <c r="AY69" s="14"/>
      <c r="AZ69" s="14">
        <f t="shared" si="8"/>
        <v>0</v>
      </c>
      <c r="BA69" s="23">
        <v>52</v>
      </c>
      <c r="BB69" s="13"/>
      <c r="BC69" s="14"/>
      <c r="BD69" s="14"/>
      <c r="BE69" s="14">
        <f t="shared" si="9"/>
        <v>0</v>
      </c>
    </row>
    <row r="70" spans="8:57" s="2" customFormat="1" ht="85.15" customHeight="1">
      <c r="H70" s="23">
        <v>53</v>
      </c>
      <c r="I70" s="13"/>
      <c r="J70" s="14"/>
      <c r="K70" s="14"/>
      <c r="L70" s="14">
        <f t="shared" si="0"/>
        <v>0</v>
      </c>
      <c r="M70" s="23">
        <v>53</v>
      </c>
      <c r="N70" s="13"/>
      <c r="O70" s="14"/>
      <c r="P70" s="14"/>
      <c r="Q70" s="14">
        <f t="shared" si="1"/>
        <v>0</v>
      </c>
      <c r="R70" s="23">
        <v>53</v>
      </c>
      <c r="S70" s="13"/>
      <c r="T70" s="14"/>
      <c r="U70" s="14"/>
      <c r="V70" s="14">
        <f t="shared" si="2"/>
        <v>0</v>
      </c>
      <c r="W70" s="23">
        <v>53</v>
      </c>
      <c r="X70" s="13"/>
      <c r="Y70" s="14"/>
      <c r="Z70" s="14"/>
      <c r="AA70" s="14">
        <f t="shared" si="3"/>
        <v>0</v>
      </c>
      <c r="AB70" s="23">
        <v>53</v>
      </c>
      <c r="AC70" s="13"/>
      <c r="AD70" s="14"/>
      <c r="AE70" s="14"/>
      <c r="AF70" s="14">
        <f t="shared" si="4"/>
        <v>0</v>
      </c>
      <c r="AG70" s="23">
        <v>53</v>
      </c>
      <c r="AH70" s="13"/>
      <c r="AI70" s="14"/>
      <c r="AJ70" s="14"/>
      <c r="AK70" s="14">
        <f t="shared" si="5"/>
        <v>0</v>
      </c>
      <c r="AL70" s="23">
        <v>53</v>
      </c>
      <c r="AM70" s="13"/>
      <c r="AN70" s="14"/>
      <c r="AO70" s="14"/>
      <c r="AP70" s="14">
        <f t="shared" si="6"/>
        <v>0</v>
      </c>
      <c r="AQ70" s="23">
        <v>53</v>
      </c>
      <c r="AR70" s="13"/>
      <c r="AS70" s="14"/>
      <c r="AT70" s="14"/>
      <c r="AU70" s="14">
        <f t="shared" si="7"/>
        <v>0</v>
      </c>
      <c r="AV70" s="23">
        <v>53</v>
      </c>
      <c r="AW70" s="13"/>
      <c r="AX70" s="14"/>
      <c r="AY70" s="14"/>
      <c r="AZ70" s="14">
        <f t="shared" si="8"/>
        <v>0</v>
      </c>
      <c r="BA70" s="23">
        <v>53</v>
      </c>
      <c r="BB70" s="13"/>
      <c r="BC70" s="14"/>
      <c r="BD70" s="14"/>
      <c r="BE70" s="14">
        <f t="shared" si="9"/>
        <v>0</v>
      </c>
    </row>
    <row r="71" spans="8:57" s="2" customFormat="1" ht="85.15" customHeight="1">
      <c r="H71" s="23">
        <v>54</v>
      </c>
      <c r="I71" s="13"/>
      <c r="J71" s="14"/>
      <c r="K71" s="14"/>
      <c r="L71" s="14">
        <f t="shared" si="0"/>
        <v>0</v>
      </c>
      <c r="M71" s="23">
        <v>54</v>
      </c>
      <c r="N71" s="13"/>
      <c r="O71" s="14"/>
      <c r="P71" s="14"/>
      <c r="Q71" s="14">
        <f t="shared" si="1"/>
        <v>0</v>
      </c>
      <c r="R71" s="23">
        <v>54</v>
      </c>
      <c r="S71" s="13"/>
      <c r="T71" s="14"/>
      <c r="U71" s="14"/>
      <c r="V71" s="14">
        <f t="shared" si="2"/>
        <v>0</v>
      </c>
      <c r="W71" s="23">
        <v>54</v>
      </c>
      <c r="X71" s="13"/>
      <c r="Y71" s="14"/>
      <c r="Z71" s="14"/>
      <c r="AA71" s="14">
        <f t="shared" si="3"/>
        <v>0</v>
      </c>
      <c r="AB71" s="23">
        <v>54</v>
      </c>
      <c r="AC71" s="13"/>
      <c r="AD71" s="14"/>
      <c r="AE71" s="14"/>
      <c r="AF71" s="14">
        <f t="shared" si="4"/>
        <v>0</v>
      </c>
      <c r="AG71" s="23">
        <v>54</v>
      </c>
      <c r="AH71" s="13"/>
      <c r="AI71" s="14"/>
      <c r="AJ71" s="14"/>
      <c r="AK71" s="14">
        <f t="shared" si="5"/>
        <v>0</v>
      </c>
      <c r="AL71" s="23">
        <v>54</v>
      </c>
      <c r="AM71" s="13"/>
      <c r="AN71" s="14"/>
      <c r="AO71" s="14"/>
      <c r="AP71" s="14">
        <f t="shared" si="6"/>
        <v>0</v>
      </c>
      <c r="AQ71" s="23">
        <v>54</v>
      </c>
      <c r="AR71" s="13"/>
      <c r="AS71" s="14"/>
      <c r="AT71" s="14"/>
      <c r="AU71" s="14">
        <f t="shared" si="7"/>
        <v>0</v>
      </c>
      <c r="AV71" s="23">
        <v>54</v>
      </c>
      <c r="AW71" s="13"/>
      <c r="AX71" s="14"/>
      <c r="AY71" s="14"/>
      <c r="AZ71" s="14">
        <f t="shared" si="8"/>
        <v>0</v>
      </c>
      <c r="BA71" s="23">
        <v>54</v>
      </c>
      <c r="BB71" s="13"/>
      <c r="BC71" s="14"/>
      <c r="BD71" s="14"/>
      <c r="BE71" s="14">
        <f t="shared" si="9"/>
        <v>0</v>
      </c>
    </row>
    <row r="72" spans="8:57" s="2" customFormat="1" ht="85.15" customHeight="1">
      <c r="H72" s="23">
        <v>55</v>
      </c>
      <c r="I72" s="13"/>
      <c r="J72" s="14"/>
      <c r="K72" s="14"/>
      <c r="L72" s="14">
        <f t="shared" si="0"/>
        <v>0</v>
      </c>
      <c r="M72" s="23">
        <v>55</v>
      </c>
      <c r="N72" s="13"/>
      <c r="O72" s="14"/>
      <c r="P72" s="14"/>
      <c r="Q72" s="14">
        <f t="shared" si="1"/>
        <v>0</v>
      </c>
      <c r="R72" s="23">
        <v>55</v>
      </c>
      <c r="S72" s="13"/>
      <c r="T72" s="14"/>
      <c r="U72" s="14"/>
      <c r="V72" s="14">
        <f t="shared" si="2"/>
        <v>0</v>
      </c>
      <c r="W72" s="23">
        <v>55</v>
      </c>
      <c r="X72" s="13"/>
      <c r="Y72" s="14"/>
      <c r="Z72" s="14"/>
      <c r="AA72" s="14">
        <f t="shared" si="3"/>
        <v>0</v>
      </c>
      <c r="AB72" s="23">
        <v>55</v>
      </c>
      <c r="AC72" s="13"/>
      <c r="AD72" s="14"/>
      <c r="AE72" s="14"/>
      <c r="AF72" s="14">
        <f t="shared" si="4"/>
        <v>0</v>
      </c>
      <c r="AG72" s="23">
        <v>55</v>
      </c>
      <c r="AH72" s="13"/>
      <c r="AI72" s="14"/>
      <c r="AJ72" s="14"/>
      <c r="AK72" s="14">
        <f t="shared" si="5"/>
        <v>0</v>
      </c>
      <c r="AL72" s="23">
        <v>55</v>
      </c>
      <c r="AM72" s="13"/>
      <c r="AN72" s="14"/>
      <c r="AO72" s="14"/>
      <c r="AP72" s="14">
        <f t="shared" si="6"/>
        <v>0</v>
      </c>
      <c r="AQ72" s="23">
        <v>55</v>
      </c>
      <c r="AR72" s="13"/>
      <c r="AS72" s="14"/>
      <c r="AT72" s="14"/>
      <c r="AU72" s="14">
        <f t="shared" si="7"/>
        <v>0</v>
      </c>
      <c r="AV72" s="23">
        <v>55</v>
      </c>
      <c r="AW72" s="13"/>
      <c r="AX72" s="14"/>
      <c r="AY72" s="14"/>
      <c r="AZ72" s="14">
        <f t="shared" si="8"/>
        <v>0</v>
      </c>
      <c r="BA72" s="23">
        <v>55</v>
      </c>
      <c r="BB72" s="13"/>
      <c r="BC72" s="14"/>
      <c r="BD72" s="14"/>
      <c r="BE72" s="14">
        <f t="shared" si="9"/>
        <v>0</v>
      </c>
    </row>
    <row r="73" spans="8:57" s="2" customFormat="1" ht="85.15" customHeight="1">
      <c r="H73" s="23">
        <v>56</v>
      </c>
      <c r="I73" s="13"/>
      <c r="J73" s="14"/>
      <c r="K73" s="14"/>
      <c r="L73" s="14">
        <f t="shared" si="0"/>
        <v>0</v>
      </c>
      <c r="M73" s="23">
        <v>56</v>
      </c>
      <c r="N73" s="13"/>
      <c r="O73" s="14"/>
      <c r="P73" s="14"/>
      <c r="Q73" s="14">
        <f t="shared" si="1"/>
        <v>0</v>
      </c>
      <c r="R73" s="23">
        <v>56</v>
      </c>
      <c r="S73" s="13"/>
      <c r="T73" s="14"/>
      <c r="U73" s="14"/>
      <c r="V73" s="14">
        <f t="shared" si="2"/>
        <v>0</v>
      </c>
      <c r="W73" s="23">
        <v>56</v>
      </c>
      <c r="X73" s="13"/>
      <c r="Y73" s="14"/>
      <c r="Z73" s="14"/>
      <c r="AA73" s="14">
        <f t="shared" si="3"/>
        <v>0</v>
      </c>
      <c r="AB73" s="23">
        <v>56</v>
      </c>
      <c r="AC73" s="13"/>
      <c r="AD73" s="14"/>
      <c r="AE73" s="14"/>
      <c r="AF73" s="14">
        <f t="shared" si="4"/>
        <v>0</v>
      </c>
      <c r="AG73" s="23">
        <v>56</v>
      </c>
      <c r="AH73" s="13"/>
      <c r="AI73" s="14"/>
      <c r="AJ73" s="14"/>
      <c r="AK73" s="14">
        <f t="shared" si="5"/>
        <v>0</v>
      </c>
      <c r="AL73" s="23">
        <v>56</v>
      </c>
      <c r="AM73" s="13"/>
      <c r="AN73" s="14"/>
      <c r="AO73" s="14"/>
      <c r="AP73" s="14">
        <f t="shared" si="6"/>
        <v>0</v>
      </c>
      <c r="AQ73" s="23">
        <v>56</v>
      </c>
      <c r="AR73" s="13"/>
      <c r="AS73" s="14"/>
      <c r="AT73" s="14"/>
      <c r="AU73" s="14">
        <f t="shared" si="7"/>
        <v>0</v>
      </c>
      <c r="AV73" s="23">
        <v>56</v>
      </c>
      <c r="AW73" s="13"/>
      <c r="AX73" s="14"/>
      <c r="AY73" s="14"/>
      <c r="AZ73" s="14">
        <f t="shared" si="8"/>
        <v>0</v>
      </c>
      <c r="BA73" s="23">
        <v>56</v>
      </c>
      <c r="BB73" s="13"/>
      <c r="BC73" s="14"/>
      <c r="BD73" s="14"/>
      <c r="BE73" s="14">
        <f t="shared" si="9"/>
        <v>0</v>
      </c>
    </row>
    <row r="74" spans="8:57" s="1" customFormat="1" ht="85.15" customHeight="1">
      <c r="H74" s="4"/>
      <c r="M74" s="4"/>
      <c r="R74" s="4"/>
      <c r="W74" s="4"/>
      <c r="AB74" s="4"/>
      <c r="AG74" s="4"/>
      <c r="AL74" s="4"/>
      <c r="AQ74" s="4"/>
      <c r="AV74" s="4"/>
      <c r="BA74" s="4"/>
    </row>
    <row r="75" spans="8:57" s="1" customFormat="1" ht="85.15" customHeight="1">
      <c r="H75" s="4"/>
      <c r="M75" s="4"/>
      <c r="R75" s="4"/>
      <c r="W75" s="4"/>
      <c r="AB75" s="4"/>
      <c r="AG75" s="4"/>
      <c r="AL75" s="4"/>
      <c r="AQ75" s="4"/>
      <c r="AV75" s="4"/>
      <c r="BA75" s="4"/>
    </row>
    <row r="76" spans="8:57" s="1" customFormat="1" ht="85.15" customHeight="1">
      <c r="H76" s="4"/>
      <c r="M76" s="4"/>
      <c r="R76" s="4"/>
      <c r="W76" s="4"/>
      <c r="AB76" s="4"/>
      <c r="AG76" s="4"/>
      <c r="AL76" s="4"/>
      <c r="AQ76" s="4"/>
      <c r="AV76" s="4"/>
      <c r="BA76" s="4"/>
    </row>
    <row r="77" spans="8:57" s="1" customFormat="1" ht="85.15" customHeight="1">
      <c r="H77" s="4"/>
      <c r="M77" s="4"/>
      <c r="R77" s="4"/>
      <c r="W77" s="4"/>
      <c r="AB77" s="4"/>
      <c r="AG77" s="4"/>
      <c r="AL77" s="4"/>
      <c r="AQ77" s="4"/>
      <c r="AV77" s="4"/>
      <c r="BA77" s="4"/>
    </row>
    <row r="78" spans="8:57" s="1" customFormat="1" ht="85.15" customHeight="1">
      <c r="H78" s="4"/>
      <c r="M78" s="4"/>
      <c r="R78" s="4"/>
      <c r="W78" s="4"/>
      <c r="AB78" s="4"/>
      <c r="AG78" s="4"/>
      <c r="AL78" s="4"/>
      <c r="AQ78" s="4"/>
      <c r="AV78" s="4"/>
      <c r="BA78" s="4"/>
    </row>
    <row r="79" spans="8:57" s="1" customFormat="1" ht="85.15" customHeight="1">
      <c r="H79" s="4"/>
      <c r="M79" s="4"/>
      <c r="R79" s="4"/>
      <c r="W79" s="4"/>
      <c r="AB79" s="4"/>
      <c r="AG79" s="4"/>
      <c r="AL79" s="4"/>
      <c r="AQ79" s="4"/>
      <c r="AV79" s="4"/>
      <c r="BA79" s="4"/>
    </row>
    <row r="80" spans="8:57" s="1" customFormat="1" ht="85.15" customHeight="1">
      <c r="H80" s="4"/>
      <c r="M80" s="4"/>
      <c r="R80" s="4"/>
      <c r="W80" s="4"/>
      <c r="AB80" s="4"/>
      <c r="AG80" s="4"/>
      <c r="AL80" s="4"/>
      <c r="AQ80" s="4"/>
      <c r="AV80" s="4"/>
      <c r="BA80" s="4"/>
    </row>
    <row r="81" spans="8:53" s="1" customFormat="1" ht="85.15" customHeight="1">
      <c r="H81" s="4"/>
      <c r="M81" s="4"/>
      <c r="R81" s="4"/>
      <c r="W81" s="4"/>
      <c r="AB81" s="4"/>
      <c r="AG81" s="4"/>
      <c r="AL81" s="4"/>
      <c r="AQ81" s="4"/>
      <c r="AV81" s="4"/>
      <c r="BA81" s="4"/>
    </row>
    <row r="82" spans="8:53" s="1" customFormat="1" ht="85.15" customHeight="1">
      <c r="H82" s="4"/>
      <c r="M82" s="4"/>
      <c r="R82" s="4"/>
      <c r="W82" s="4"/>
      <c r="AB82" s="4"/>
      <c r="AG82" s="4"/>
      <c r="AL82" s="4"/>
      <c r="AQ82" s="4"/>
      <c r="AV82" s="4"/>
      <c r="BA82" s="4"/>
    </row>
    <row r="83" spans="8:53" s="1" customFormat="1" ht="85.15" customHeight="1">
      <c r="H83" s="4"/>
      <c r="M83" s="4"/>
      <c r="R83" s="4"/>
      <c r="W83" s="4"/>
      <c r="AB83" s="4"/>
      <c r="AG83" s="4"/>
      <c r="AL83" s="4"/>
      <c r="AQ83" s="4"/>
      <c r="AV83" s="4"/>
      <c r="BA83" s="4"/>
    </row>
    <row r="84" spans="8:53" s="1" customFormat="1" ht="85.15" customHeight="1">
      <c r="H84" s="4"/>
      <c r="M84" s="4"/>
      <c r="R84" s="4"/>
      <c r="W84" s="4"/>
      <c r="AB84" s="4"/>
      <c r="AG84" s="4"/>
      <c r="AL84" s="4"/>
      <c r="AQ84" s="4"/>
      <c r="AV84" s="4"/>
      <c r="BA84" s="4"/>
    </row>
    <row r="85" spans="8:53" s="1" customFormat="1" ht="85.15" customHeight="1">
      <c r="H85" s="4"/>
      <c r="M85" s="4"/>
      <c r="R85" s="4"/>
      <c r="W85" s="4"/>
      <c r="AB85" s="4"/>
      <c r="AG85" s="4"/>
      <c r="AL85" s="4"/>
      <c r="AQ85" s="4"/>
      <c r="AV85" s="4"/>
      <c r="BA85" s="4"/>
    </row>
    <row r="86" spans="8:53" s="1" customFormat="1" ht="85.15" customHeight="1">
      <c r="H86" s="4"/>
      <c r="M86" s="4"/>
      <c r="R86" s="4"/>
      <c r="W86" s="4"/>
      <c r="AB86" s="4"/>
      <c r="AG86" s="4"/>
      <c r="AL86" s="4"/>
      <c r="AQ86" s="4"/>
      <c r="AV86" s="4"/>
      <c r="BA86" s="4"/>
    </row>
    <row r="87" spans="8:53" s="1" customFormat="1" ht="85.15" customHeight="1">
      <c r="H87" s="4"/>
      <c r="M87" s="4"/>
      <c r="R87" s="4"/>
      <c r="W87" s="4"/>
      <c r="AB87" s="4"/>
      <c r="AG87" s="4"/>
      <c r="AL87" s="4"/>
      <c r="AQ87" s="4"/>
      <c r="AV87" s="4"/>
      <c r="BA87" s="4"/>
    </row>
    <row r="88" spans="8:53" s="1" customFormat="1" ht="85.15" customHeight="1">
      <c r="H88" s="4"/>
      <c r="M88" s="4"/>
      <c r="R88" s="4"/>
      <c r="W88" s="4"/>
      <c r="AB88" s="4"/>
      <c r="AG88" s="4"/>
      <c r="AL88" s="4"/>
      <c r="AQ88" s="4"/>
      <c r="AV88" s="4"/>
      <c r="BA88" s="4"/>
    </row>
    <row r="89" spans="8:53" s="1" customFormat="1" ht="85.15" customHeight="1">
      <c r="H89" s="4"/>
      <c r="M89" s="4"/>
      <c r="R89" s="4"/>
      <c r="W89" s="4"/>
      <c r="AB89" s="4"/>
      <c r="AG89" s="4"/>
      <c r="AL89" s="4"/>
      <c r="AQ89" s="4"/>
      <c r="AV89" s="4"/>
      <c r="BA89" s="4"/>
    </row>
    <row r="90" spans="8:53" s="1" customFormat="1" ht="85.15" customHeight="1">
      <c r="H90" s="4"/>
      <c r="M90" s="4"/>
      <c r="R90" s="4"/>
      <c r="W90" s="4"/>
      <c r="AB90" s="4"/>
      <c r="AG90" s="4"/>
      <c r="AL90" s="4"/>
      <c r="AQ90" s="4"/>
      <c r="AV90" s="4"/>
      <c r="BA90" s="4"/>
    </row>
    <row r="91" spans="8:53" s="1" customFormat="1" ht="85.15" customHeight="1">
      <c r="H91" s="4"/>
      <c r="M91" s="4"/>
      <c r="R91" s="4"/>
      <c r="W91" s="4"/>
      <c r="AB91" s="4"/>
      <c r="AG91" s="4"/>
      <c r="AL91" s="4"/>
      <c r="AQ91" s="4"/>
      <c r="AV91" s="4"/>
      <c r="BA91" s="4"/>
    </row>
    <row r="92" spans="8:53" s="1" customFormat="1" ht="85.15" customHeight="1">
      <c r="H92" s="4"/>
      <c r="M92" s="4"/>
      <c r="R92" s="4"/>
      <c r="W92" s="4"/>
      <c r="AB92" s="4"/>
      <c r="AG92" s="4"/>
      <c r="AL92" s="4"/>
      <c r="AQ92" s="4"/>
      <c r="AV92" s="4"/>
      <c r="BA92" s="4"/>
    </row>
    <row r="93" spans="8:53" s="1" customFormat="1" ht="85.15" customHeight="1">
      <c r="H93" s="4"/>
      <c r="M93" s="4"/>
      <c r="R93" s="4"/>
      <c r="W93" s="4"/>
      <c r="AB93" s="4"/>
      <c r="AG93" s="4"/>
      <c r="AL93" s="4"/>
      <c r="AQ93" s="4"/>
      <c r="AV93" s="4"/>
      <c r="BA93" s="4"/>
    </row>
    <row r="94" spans="8:53" s="1" customFormat="1" ht="85.15" customHeight="1">
      <c r="H94" s="4"/>
      <c r="M94" s="4"/>
      <c r="R94" s="4"/>
      <c r="W94" s="4"/>
      <c r="AB94" s="4"/>
      <c r="AG94" s="4"/>
      <c r="AL94" s="4"/>
      <c r="AQ94" s="4"/>
      <c r="AV94" s="4"/>
      <c r="BA94" s="4"/>
    </row>
    <row r="95" spans="8:53" s="1" customFormat="1" ht="85.15" customHeight="1">
      <c r="H95" s="4"/>
      <c r="M95" s="4"/>
      <c r="R95" s="4"/>
      <c r="W95" s="4"/>
      <c r="AB95" s="4"/>
      <c r="AG95" s="4"/>
      <c r="AL95" s="4"/>
      <c r="AQ95" s="4"/>
      <c r="AV95" s="4"/>
      <c r="BA95" s="4"/>
    </row>
    <row r="96" spans="8:53" s="1" customFormat="1" ht="85.15" customHeight="1">
      <c r="H96" s="4"/>
      <c r="M96" s="4"/>
      <c r="R96" s="4"/>
      <c r="W96" s="4"/>
      <c r="AB96" s="4"/>
      <c r="AG96" s="4"/>
      <c r="AL96" s="4"/>
      <c r="AQ96" s="4"/>
      <c r="AV96" s="4"/>
      <c r="BA96" s="4"/>
    </row>
    <row r="97" spans="8:53" s="1" customFormat="1" ht="85.15" customHeight="1">
      <c r="H97" s="4"/>
      <c r="M97" s="4"/>
      <c r="R97" s="4"/>
      <c r="W97" s="4"/>
      <c r="AB97" s="4"/>
      <c r="AG97" s="4"/>
      <c r="AL97" s="4"/>
      <c r="AQ97" s="4"/>
      <c r="AV97" s="4"/>
      <c r="BA97" s="4"/>
    </row>
    <row r="98" spans="8:53" s="1" customFormat="1" ht="85.15" customHeight="1">
      <c r="H98" s="4"/>
      <c r="M98" s="4"/>
      <c r="R98" s="4"/>
      <c r="W98" s="4"/>
      <c r="AB98" s="4"/>
      <c r="AG98" s="4"/>
      <c r="AL98" s="4"/>
      <c r="AQ98" s="4"/>
      <c r="AV98" s="4"/>
      <c r="BA98" s="4"/>
    </row>
    <row r="99" spans="8:53" s="1" customFormat="1" ht="85.15" customHeight="1">
      <c r="H99" s="4"/>
      <c r="M99" s="4"/>
      <c r="R99" s="4"/>
      <c r="W99" s="4"/>
      <c r="AB99" s="4"/>
      <c r="AG99" s="4"/>
      <c r="AL99" s="4"/>
      <c r="AQ99" s="4"/>
      <c r="AV99" s="4"/>
      <c r="BA99" s="4"/>
    </row>
    <row r="100" spans="8:53" s="1" customFormat="1" ht="85.15" customHeight="1">
      <c r="H100" s="4"/>
      <c r="M100" s="4"/>
      <c r="R100" s="4"/>
      <c r="W100" s="4"/>
      <c r="AB100" s="4"/>
      <c r="AG100" s="4"/>
      <c r="AL100" s="4"/>
      <c r="AQ100" s="4"/>
      <c r="AV100" s="4"/>
      <c r="BA100" s="4"/>
    </row>
    <row r="101" spans="8:53" s="1" customFormat="1" ht="85.15" customHeight="1">
      <c r="H101" s="4"/>
      <c r="M101" s="4"/>
      <c r="R101" s="4"/>
      <c r="W101" s="4"/>
      <c r="AB101" s="4"/>
      <c r="AG101" s="4"/>
      <c r="AL101" s="4"/>
      <c r="AQ101" s="4"/>
      <c r="AV101" s="4"/>
      <c r="BA101" s="4"/>
    </row>
    <row r="102" spans="8:53" s="1" customFormat="1" ht="85.15" customHeight="1">
      <c r="H102" s="4"/>
      <c r="M102" s="4"/>
      <c r="R102" s="4"/>
      <c r="W102" s="4"/>
      <c r="AB102" s="4"/>
      <c r="AG102" s="4"/>
      <c r="AL102" s="4"/>
      <c r="AQ102" s="4"/>
      <c r="AV102" s="4"/>
      <c r="BA102" s="4"/>
    </row>
    <row r="103" spans="8:53" s="1" customFormat="1" ht="85.15" customHeight="1">
      <c r="H103" s="4"/>
      <c r="M103" s="4"/>
      <c r="R103" s="4"/>
      <c r="W103" s="4"/>
      <c r="AB103" s="4"/>
      <c r="AG103" s="4"/>
      <c r="AL103" s="4"/>
      <c r="AQ103" s="4"/>
      <c r="AV103" s="4"/>
      <c r="BA103" s="4"/>
    </row>
    <row r="104" spans="8:53" s="1" customFormat="1" ht="85.15" customHeight="1">
      <c r="H104" s="4"/>
      <c r="M104" s="4"/>
      <c r="R104" s="4"/>
      <c r="W104" s="4"/>
      <c r="AB104" s="4"/>
      <c r="AG104" s="4"/>
      <c r="AL104" s="4"/>
      <c r="AQ104" s="4"/>
      <c r="AV104" s="4"/>
      <c r="BA104" s="4"/>
    </row>
    <row r="105" spans="8:53" s="1" customFormat="1" ht="85.15" customHeight="1">
      <c r="H105" s="4"/>
      <c r="M105" s="4"/>
      <c r="R105" s="4"/>
      <c r="W105" s="4"/>
      <c r="AB105" s="4"/>
      <c r="AG105" s="4"/>
      <c r="AL105" s="4"/>
      <c r="AQ105" s="4"/>
      <c r="AV105" s="4"/>
      <c r="BA105" s="4"/>
    </row>
    <row r="106" spans="8:53" s="1" customFormat="1" ht="85.15" customHeight="1">
      <c r="H106" s="4"/>
      <c r="M106" s="4"/>
      <c r="R106" s="4"/>
      <c r="W106" s="4"/>
      <c r="AB106" s="4"/>
      <c r="AG106" s="4"/>
      <c r="AL106" s="4"/>
      <c r="AQ106" s="4"/>
      <c r="AV106" s="4"/>
      <c r="BA106" s="4"/>
    </row>
    <row r="107" spans="8:53" s="1" customFormat="1" ht="85.15" customHeight="1">
      <c r="H107" s="4"/>
      <c r="M107" s="4"/>
      <c r="R107" s="4"/>
      <c r="W107" s="4"/>
      <c r="AB107" s="4"/>
      <c r="AG107" s="4"/>
      <c r="AL107" s="4"/>
      <c r="AQ107" s="4"/>
      <c r="AV107" s="4"/>
      <c r="BA107" s="4"/>
    </row>
    <row r="108" spans="8:53" s="1" customFormat="1" ht="85.15" customHeight="1">
      <c r="H108" s="4"/>
      <c r="M108" s="4"/>
      <c r="R108" s="4"/>
      <c r="W108" s="4"/>
      <c r="AB108" s="4"/>
      <c r="AG108" s="4"/>
      <c r="AL108" s="4"/>
      <c r="AQ108" s="4"/>
      <c r="AV108" s="4"/>
      <c r="BA108" s="4"/>
    </row>
    <row r="109" spans="8:53" s="1" customFormat="1" ht="85.15" customHeight="1">
      <c r="H109" s="4"/>
      <c r="M109" s="4"/>
      <c r="R109" s="4"/>
      <c r="W109" s="4"/>
      <c r="AB109" s="4"/>
      <c r="AG109" s="4"/>
      <c r="AL109" s="4"/>
      <c r="AQ109" s="4"/>
      <c r="AV109" s="4"/>
      <c r="BA109" s="4"/>
    </row>
    <row r="110" spans="8:53" s="1" customFormat="1" ht="85.15" customHeight="1">
      <c r="H110" s="4"/>
      <c r="M110" s="4"/>
      <c r="R110" s="4"/>
      <c r="W110" s="4"/>
      <c r="AB110" s="4"/>
      <c r="AG110" s="4"/>
      <c r="AL110" s="4"/>
      <c r="AQ110" s="4"/>
      <c r="AV110" s="4"/>
      <c r="BA110" s="4"/>
    </row>
    <row r="111" spans="8:53" s="1" customFormat="1" ht="85.15" customHeight="1">
      <c r="H111" s="4"/>
      <c r="M111" s="4"/>
      <c r="R111" s="4"/>
      <c r="W111" s="4"/>
      <c r="AB111" s="4"/>
      <c r="AG111" s="4"/>
      <c r="AL111" s="4"/>
      <c r="AQ111" s="4"/>
      <c r="AV111" s="4"/>
      <c r="BA111" s="4"/>
    </row>
    <row r="112" spans="8:53" s="1" customFormat="1" ht="85.15" customHeight="1">
      <c r="H112" s="4"/>
      <c r="M112" s="4"/>
      <c r="R112" s="4"/>
      <c r="W112" s="4"/>
      <c r="AB112" s="4"/>
      <c r="AG112" s="4"/>
      <c r="AL112" s="4"/>
      <c r="AQ112" s="4"/>
      <c r="AV112" s="4"/>
      <c r="BA112" s="4"/>
    </row>
    <row r="113" spans="8:53" s="1" customFormat="1" ht="85.15" customHeight="1">
      <c r="H113" s="4"/>
      <c r="M113" s="4"/>
      <c r="R113" s="4"/>
      <c r="W113" s="4"/>
      <c r="AB113" s="4"/>
      <c r="AG113" s="4"/>
      <c r="AL113" s="4"/>
      <c r="AQ113" s="4"/>
      <c r="AV113" s="4"/>
      <c r="BA113" s="4"/>
    </row>
    <row r="114" spans="8:53" s="1" customFormat="1" ht="85.15" customHeight="1">
      <c r="H114" s="4"/>
      <c r="M114" s="4"/>
      <c r="R114" s="4"/>
      <c r="W114" s="4"/>
      <c r="AB114" s="4"/>
      <c r="AG114" s="4"/>
      <c r="AL114" s="4"/>
      <c r="AQ114" s="4"/>
      <c r="AV114" s="4"/>
      <c r="BA114" s="4"/>
    </row>
    <row r="115" spans="8:53" s="1" customFormat="1" ht="85.15" customHeight="1">
      <c r="H115" s="4"/>
      <c r="M115" s="4"/>
      <c r="R115" s="4"/>
      <c r="W115" s="4"/>
      <c r="AB115" s="4"/>
      <c r="AG115" s="4"/>
      <c r="AL115" s="4"/>
      <c r="AQ115" s="4"/>
      <c r="AV115" s="4"/>
      <c r="BA115" s="4"/>
    </row>
    <row r="116" spans="8:53" s="1" customFormat="1" ht="85.15" customHeight="1">
      <c r="H116" s="4"/>
      <c r="M116" s="4"/>
      <c r="R116" s="4"/>
      <c r="W116" s="4"/>
      <c r="AB116" s="4"/>
      <c r="AG116" s="4"/>
      <c r="AL116" s="4"/>
      <c r="AQ116" s="4"/>
      <c r="AV116" s="4"/>
      <c r="BA116" s="4"/>
    </row>
    <row r="117" spans="8:53" s="1" customFormat="1" ht="85.15" customHeight="1">
      <c r="H117" s="4"/>
      <c r="M117" s="4"/>
      <c r="R117" s="4"/>
      <c r="W117" s="4"/>
      <c r="AB117" s="4"/>
      <c r="AG117" s="4"/>
      <c r="AL117" s="4"/>
      <c r="AQ117" s="4"/>
      <c r="AV117" s="4"/>
      <c r="BA117" s="4"/>
    </row>
    <row r="118" spans="8:53" s="1" customFormat="1" ht="85.15" customHeight="1">
      <c r="H118" s="4"/>
      <c r="M118" s="4"/>
      <c r="R118" s="4"/>
      <c r="W118" s="4"/>
      <c r="AB118" s="4"/>
      <c r="AG118" s="4"/>
      <c r="AL118" s="4"/>
      <c r="AQ118" s="4"/>
      <c r="AV118" s="4"/>
      <c r="BA118" s="4"/>
    </row>
    <row r="119" spans="8:53" s="1" customFormat="1" ht="85.15" customHeight="1">
      <c r="H119" s="4"/>
      <c r="M119" s="4"/>
      <c r="R119" s="4"/>
      <c r="W119" s="4"/>
      <c r="AB119" s="4"/>
      <c r="AG119" s="4"/>
      <c r="AL119" s="4"/>
      <c r="AQ119" s="4"/>
      <c r="AV119" s="4"/>
      <c r="BA119" s="4"/>
    </row>
    <row r="120" spans="8:53" s="1" customFormat="1" ht="85.15" customHeight="1">
      <c r="H120" s="4"/>
      <c r="M120" s="4"/>
      <c r="R120" s="4"/>
      <c r="W120" s="4"/>
      <c r="AB120" s="4"/>
      <c r="AG120" s="4"/>
      <c r="AL120" s="4"/>
      <c r="AQ120" s="4"/>
      <c r="AV120" s="4"/>
      <c r="BA120" s="4"/>
    </row>
    <row r="121" spans="8:53" s="1" customFormat="1" ht="85.15" customHeight="1">
      <c r="H121" s="4"/>
      <c r="M121" s="4"/>
      <c r="R121" s="4"/>
      <c r="W121" s="4"/>
      <c r="AB121" s="4"/>
      <c r="AG121" s="4"/>
      <c r="AL121" s="4"/>
      <c r="AQ121" s="4"/>
      <c r="AV121" s="4"/>
      <c r="BA121" s="4"/>
    </row>
    <row r="122" spans="8:53" s="1" customFormat="1" ht="85.15" customHeight="1">
      <c r="H122" s="4"/>
      <c r="M122" s="4"/>
      <c r="R122" s="4"/>
      <c r="W122" s="4"/>
      <c r="AB122" s="4"/>
      <c r="AG122" s="4"/>
      <c r="AL122" s="4"/>
      <c r="AQ122" s="4"/>
      <c r="AV122" s="4"/>
      <c r="BA122" s="4"/>
    </row>
    <row r="123" spans="8:53" s="1" customFormat="1" ht="85.15" customHeight="1">
      <c r="H123" s="4"/>
      <c r="M123" s="4"/>
      <c r="R123" s="4"/>
      <c r="W123" s="4"/>
      <c r="AB123" s="4"/>
      <c r="AG123" s="4"/>
      <c r="AL123" s="4"/>
      <c r="AQ123" s="4"/>
      <c r="AV123" s="4"/>
      <c r="BA123" s="4"/>
    </row>
    <row r="124" spans="8:53" s="1" customFormat="1" ht="85.15" customHeight="1">
      <c r="H124" s="4"/>
      <c r="M124" s="4"/>
      <c r="R124" s="4"/>
      <c r="W124" s="4"/>
      <c r="AB124" s="4"/>
      <c r="AG124" s="4"/>
      <c r="AL124" s="4"/>
      <c r="AQ124" s="4"/>
      <c r="AV124" s="4"/>
      <c r="BA124" s="4"/>
    </row>
    <row r="125" spans="8:53" s="1" customFormat="1" ht="85.15" customHeight="1">
      <c r="H125" s="4"/>
      <c r="M125" s="4"/>
      <c r="R125" s="4"/>
      <c r="W125" s="4"/>
      <c r="AB125" s="4"/>
      <c r="AG125" s="4"/>
      <c r="AL125" s="4"/>
      <c r="AQ125" s="4"/>
      <c r="AV125" s="4"/>
      <c r="BA125" s="4"/>
    </row>
    <row r="126" spans="8:53" s="1" customFormat="1" ht="85.15" customHeight="1">
      <c r="H126" s="4"/>
      <c r="M126" s="4"/>
      <c r="R126" s="4"/>
      <c r="W126" s="4"/>
      <c r="AB126" s="4"/>
      <c r="AG126" s="4"/>
      <c r="AL126" s="4"/>
      <c r="AQ126" s="4"/>
      <c r="AV126" s="4"/>
      <c r="BA126" s="4"/>
    </row>
    <row r="127" spans="8:53" s="1" customFormat="1" ht="85.15" customHeight="1">
      <c r="H127" s="4"/>
      <c r="M127" s="4"/>
      <c r="R127" s="4"/>
      <c r="W127" s="4"/>
      <c r="AB127" s="4"/>
      <c r="AG127" s="4"/>
      <c r="AL127" s="4"/>
      <c r="AQ127" s="4"/>
      <c r="AV127" s="4"/>
      <c r="BA127" s="4"/>
    </row>
    <row r="128" spans="8:53" s="1" customFormat="1" ht="85.15" customHeight="1">
      <c r="H128" s="4"/>
      <c r="M128" s="4"/>
      <c r="R128" s="4"/>
      <c r="W128" s="4"/>
      <c r="AB128" s="4"/>
      <c r="AG128" s="4"/>
      <c r="AL128" s="4"/>
      <c r="AQ128" s="4"/>
      <c r="AV128" s="4"/>
      <c r="BA128" s="4"/>
    </row>
    <row r="129" spans="8:53" s="1" customFormat="1" ht="85.15" customHeight="1">
      <c r="H129" s="4"/>
      <c r="M129" s="4"/>
      <c r="R129" s="4"/>
      <c r="W129" s="4"/>
      <c r="AB129" s="4"/>
      <c r="AG129" s="4"/>
      <c r="AL129" s="4"/>
      <c r="AQ129" s="4"/>
      <c r="AV129" s="4"/>
      <c r="BA129" s="4"/>
    </row>
    <row r="130" spans="8:53" s="1" customFormat="1" ht="85.15" customHeight="1">
      <c r="H130" s="4"/>
      <c r="M130" s="4"/>
      <c r="R130" s="4"/>
      <c r="W130" s="4"/>
      <c r="AB130" s="4"/>
      <c r="AG130" s="4"/>
      <c r="AL130" s="4"/>
      <c r="AQ130" s="4"/>
      <c r="AV130" s="4"/>
      <c r="BA130" s="4"/>
    </row>
    <row r="131" spans="8:53" s="1" customFormat="1" ht="85.15" customHeight="1">
      <c r="H131" s="4"/>
      <c r="M131" s="4"/>
      <c r="R131" s="4"/>
      <c r="W131" s="4"/>
      <c r="AB131" s="4"/>
      <c r="AG131" s="4"/>
      <c r="AL131" s="4"/>
      <c r="AQ131" s="4"/>
      <c r="AV131" s="4"/>
      <c r="BA131" s="4"/>
    </row>
    <row r="132" spans="8:53" s="1" customFormat="1" ht="85.15" customHeight="1">
      <c r="H132" s="4"/>
      <c r="M132" s="4"/>
      <c r="R132" s="4"/>
      <c r="W132" s="4"/>
      <c r="AB132" s="4"/>
      <c r="AG132" s="4"/>
      <c r="AL132" s="4"/>
      <c r="AQ132" s="4"/>
      <c r="AV132" s="4"/>
      <c r="BA132" s="4"/>
    </row>
    <row r="133" spans="8:53" s="1" customFormat="1" ht="85.15" customHeight="1">
      <c r="H133" s="4"/>
      <c r="M133" s="4"/>
      <c r="R133" s="4"/>
      <c r="W133" s="4"/>
      <c r="AB133" s="4"/>
      <c r="AG133" s="4"/>
      <c r="AL133" s="4"/>
      <c r="AQ133" s="4"/>
      <c r="AV133" s="4"/>
      <c r="BA133" s="4"/>
    </row>
    <row r="134" spans="8:53" s="1" customFormat="1" ht="85.15" customHeight="1">
      <c r="H134" s="4"/>
      <c r="M134" s="4"/>
      <c r="R134" s="4"/>
      <c r="W134" s="4"/>
      <c r="AB134" s="4"/>
      <c r="AG134" s="4"/>
      <c r="AL134" s="4"/>
      <c r="AQ134" s="4"/>
      <c r="AV134" s="4"/>
      <c r="BA134" s="4"/>
    </row>
    <row r="135" spans="8:53" s="1" customFormat="1" ht="85.15" customHeight="1">
      <c r="H135" s="4"/>
      <c r="M135" s="4"/>
      <c r="R135" s="4"/>
      <c r="W135" s="4"/>
      <c r="AB135" s="4"/>
      <c r="AG135" s="4"/>
      <c r="AL135" s="4"/>
      <c r="AQ135" s="4"/>
      <c r="AV135" s="4"/>
      <c r="BA135" s="4"/>
    </row>
    <row r="136" spans="8:53" s="1" customFormat="1" ht="85.15" customHeight="1">
      <c r="H136" s="4"/>
      <c r="M136" s="4"/>
      <c r="R136" s="4"/>
      <c r="W136" s="4"/>
      <c r="AB136" s="4"/>
      <c r="AG136" s="4"/>
      <c r="AL136" s="4"/>
      <c r="AQ136" s="4"/>
      <c r="AV136" s="4"/>
      <c r="BA136" s="4"/>
    </row>
    <row r="137" spans="8:53" s="1" customFormat="1" ht="85.15" customHeight="1">
      <c r="H137" s="4"/>
      <c r="M137" s="4"/>
      <c r="R137" s="4"/>
      <c r="W137" s="4"/>
      <c r="AB137" s="4"/>
      <c r="AG137" s="4"/>
      <c r="AL137" s="4"/>
      <c r="AQ137" s="4"/>
      <c r="AV137" s="4"/>
      <c r="BA137" s="4"/>
    </row>
    <row r="138" spans="8:53" s="1" customFormat="1" ht="85.15" customHeight="1">
      <c r="H138" s="4"/>
      <c r="M138" s="4"/>
      <c r="R138" s="4"/>
      <c r="W138" s="4"/>
      <c r="AB138" s="4"/>
      <c r="AG138" s="4"/>
      <c r="AL138" s="4"/>
      <c r="AQ138" s="4"/>
      <c r="AV138" s="4"/>
      <c r="BA138" s="4"/>
    </row>
    <row r="139" spans="8:53" s="1" customFormat="1" ht="85.15" customHeight="1">
      <c r="H139" s="4"/>
      <c r="M139" s="4"/>
      <c r="R139" s="4"/>
      <c r="W139" s="4"/>
      <c r="AB139" s="4"/>
      <c r="AG139" s="4"/>
      <c r="AL139" s="4"/>
      <c r="AQ139" s="4"/>
      <c r="AV139" s="4"/>
      <c r="BA139" s="4"/>
    </row>
    <row r="140" spans="8:53" s="1" customFormat="1" ht="85.15" customHeight="1">
      <c r="H140" s="4"/>
      <c r="M140" s="4"/>
      <c r="R140" s="4"/>
      <c r="W140" s="4"/>
      <c r="AB140" s="4"/>
      <c r="AG140" s="4"/>
      <c r="AL140" s="4"/>
      <c r="AQ140" s="4"/>
      <c r="AV140" s="4"/>
      <c r="BA140" s="4"/>
    </row>
    <row r="141" spans="8:53" s="1" customFormat="1" ht="85.15" customHeight="1">
      <c r="H141" s="4"/>
      <c r="M141" s="4"/>
      <c r="R141" s="4"/>
      <c r="W141" s="4"/>
      <c r="AB141" s="4"/>
      <c r="AG141" s="4"/>
      <c r="AL141" s="4"/>
      <c r="AQ141" s="4"/>
      <c r="AV141" s="4"/>
      <c r="BA141" s="4"/>
    </row>
    <row r="142" spans="8:53" s="1" customFormat="1" ht="85.15" customHeight="1">
      <c r="H142" s="4"/>
      <c r="M142" s="4"/>
      <c r="R142" s="4"/>
      <c r="W142" s="4"/>
      <c r="AB142" s="4"/>
      <c r="AG142" s="4"/>
      <c r="AL142" s="4"/>
      <c r="AQ142" s="4"/>
      <c r="AV142" s="4"/>
      <c r="BA142" s="4"/>
    </row>
    <row r="143" spans="8:53" s="1" customFormat="1" ht="85.15" customHeight="1">
      <c r="H143" s="4"/>
      <c r="M143" s="4"/>
      <c r="R143" s="4"/>
      <c r="W143" s="4"/>
      <c r="AB143" s="4"/>
      <c r="AG143" s="4"/>
      <c r="AL143" s="4"/>
      <c r="AQ143" s="4"/>
      <c r="AV143" s="4"/>
      <c r="BA143" s="4"/>
    </row>
    <row r="144" spans="8:53" s="1" customFormat="1" ht="85.15" customHeight="1">
      <c r="H144" s="4"/>
      <c r="M144" s="4"/>
      <c r="R144" s="4"/>
      <c r="W144" s="4"/>
      <c r="AB144" s="4"/>
      <c r="AG144" s="4"/>
      <c r="AL144" s="4"/>
      <c r="AQ144" s="4"/>
      <c r="AV144" s="4"/>
      <c r="BA144" s="4"/>
    </row>
    <row r="145" spans="8:53" s="1" customFormat="1" ht="85.15" customHeight="1">
      <c r="H145" s="4"/>
      <c r="M145" s="4"/>
      <c r="R145" s="4"/>
      <c r="W145" s="4"/>
      <c r="AB145" s="4"/>
      <c r="AG145" s="4"/>
      <c r="AL145" s="4"/>
      <c r="AQ145" s="4"/>
      <c r="AV145" s="4"/>
      <c r="BA145" s="4"/>
    </row>
    <row r="146" spans="8:53" s="1" customFormat="1" ht="85.15" customHeight="1">
      <c r="H146" s="4"/>
      <c r="M146" s="4"/>
      <c r="R146" s="4"/>
      <c r="W146" s="4"/>
      <c r="AB146" s="4"/>
      <c r="AG146" s="4"/>
      <c r="AL146" s="4"/>
      <c r="AQ146" s="4"/>
      <c r="AV146" s="4"/>
      <c r="BA146" s="4"/>
    </row>
    <row r="147" spans="8:53" s="1" customFormat="1" ht="85.15" customHeight="1">
      <c r="H147" s="4"/>
      <c r="M147" s="4"/>
      <c r="R147" s="4"/>
      <c r="W147" s="4"/>
      <c r="AB147" s="4"/>
      <c r="AG147" s="4"/>
      <c r="AL147" s="4"/>
      <c r="AQ147" s="4"/>
      <c r="AV147" s="4"/>
      <c r="BA147" s="4"/>
    </row>
    <row r="148" spans="8:53" s="1" customFormat="1" ht="85.15" customHeight="1">
      <c r="H148" s="4"/>
      <c r="M148" s="4"/>
      <c r="R148" s="4"/>
      <c r="W148" s="4"/>
      <c r="AB148" s="4"/>
      <c r="AG148" s="4"/>
      <c r="AL148" s="4"/>
      <c r="AQ148" s="4"/>
      <c r="AV148" s="4"/>
      <c r="BA148" s="4"/>
    </row>
    <row r="149" spans="8:53" s="1" customFormat="1" ht="85.15" customHeight="1">
      <c r="H149" s="4"/>
      <c r="M149" s="4"/>
      <c r="R149" s="4"/>
      <c r="W149" s="4"/>
      <c r="AB149" s="4"/>
      <c r="AG149" s="4"/>
      <c r="AL149" s="4"/>
      <c r="AQ149" s="4"/>
      <c r="AV149" s="4"/>
      <c r="BA149" s="4"/>
    </row>
    <row r="150" spans="8:53" s="1" customFormat="1" ht="85.15" customHeight="1">
      <c r="H150" s="4"/>
      <c r="M150" s="4"/>
      <c r="R150" s="4"/>
      <c r="W150" s="4"/>
      <c r="AB150" s="4"/>
      <c r="AG150" s="4"/>
      <c r="AL150" s="4"/>
      <c r="AQ150" s="4"/>
      <c r="AV150" s="4"/>
      <c r="BA150" s="4"/>
    </row>
    <row r="151" spans="8:53" s="1" customFormat="1" ht="85.15" customHeight="1">
      <c r="H151" s="4"/>
      <c r="M151" s="4"/>
      <c r="R151" s="4"/>
      <c r="W151" s="4"/>
      <c r="AB151" s="4"/>
      <c r="AG151" s="4"/>
      <c r="AL151" s="4"/>
      <c r="AQ151" s="4"/>
      <c r="AV151" s="4"/>
      <c r="BA151" s="4"/>
    </row>
    <row r="152" spans="8:53" s="1" customFormat="1" ht="85.15" customHeight="1">
      <c r="H152" s="4"/>
      <c r="M152" s="4"/>
      <c r="R152" s="4"/>
      <c r="W152" s="4"/>
      <c r="AB152" s="4"/>
      <c r="AG152" s="4"/>
      <c r="AL152" s="4"/>
      <c r="AQ152" s="4"/>
      <c r="AV152" s="4"/>
      <c r="BA152" s="4"/>
    </row>
    <row r="153" spans="8:53" s="1" customFormat="1" ht="85.15" customHeight="1">
      <c r="H153" s="4"/>
      <c r="M153" s="4"/>
      <c r="R153" s="4"/>
      <c r="W153" s="4"/>
      <c r="AB153" s="4"/>
      <c r="AG153" s="4"/>
      <c r="AL153" s="4"/>
      <c r="AQ153" s="4"/>
      <c r="AV153" s="4"/>
      <c r="BA153" s="4"/>
    </row>
    <row r="154" spans="8:53" s="1" customFormat="1" ht="85.15" customHeight="1">
      <c r="H154" s="4"/>
      <c r="M154" s="4"/>
      <c r="R154" s="4"/>
      <c r="W154" s="4"/>
      <c r="AB154" s="4"/>
      <c r="AG154" s="4"/>
      <c r="AL154" s="4"/>
      <c r="AQ154" s="4"/>
      <c r="AV154" s="4"/>
      <c r="BA154" s="4"/>
    </row>
    <row r="155" spans="8:53" s="1" customFormat="1" ht="85.15" customHeight="1">
      <c r="H155" s="4"/>
      <c r="M155" s="4"/>
      <c r="R155" s="4"/>
      <c r="W155" s="4"/>
      <c r="AB155" s="4"/>
      <c r="AG155" s="4"/>
      <c r="AL155" s="4"/>
      <c r="AQ155" s="4"/>
      <c r="AV155" s="4"/>
      <c r="BA155" s="4"/>
    </row>
    <row r="156" spans="8:53" s="1" customFormat="1" ht="85.15" customHeight="1">
      <c r="H156" s="4"/>
      <c r="M156" s="4"/>
      <c r="R156" s="4"/>
      <c r="W156" s="4"/>
      <c r="AB156" s="4"/>
      <c r="AG156" s="4"/>
      <c r="AL156" s="4"/>
      <c r="AQ156" s="4"/>
      <c r="AV156" s="4"/>
      <c r="BA156" s="4"/>
    </row>
    <row r="157" spans="8:53" s="1" customFormat="1" ht="85.15" customHeight="1">
      <c r="H157" s="4"/>
      <c r="M157" s="4"/>
      <c r="R157" s="4"/>
      <c r="W157" s="4"/>
      <c r="AB157" s="4"/>
      <c r="AG157" s="4"/>
      <c r="AL157" s="4"/>
      <c r="AQ157" s="4"/>
      <c r="AV157" s="4"/>
      <c r="BA157" s="4"/>
    </row>
    <row r="158" spans="8:53" s="1" customFormat="1" ht="85.15" customHeight="1">
      <c r="H158" s="4"/>
      <c r="M158" s="4"/>
      <c r="R158" s="4"/>
      <c r="W158" s="4"/>
      <c r="AB158" s="4"/>
      <c r="AG158" s="4"/>
      <c r="AL158" s="4"/>
      <c r="AQ158" s="4"/>
      <c r="AV158" s="4"/>
      <c r="BA158" s="4"/>
    </row>
    <row r="159" spans="8:53" s="1" customFormat="1" ht="85.15" customHeight="1">
      <c r="H159" s="4"/>
      <c r="M159" s="4"/>
      <c r="R159" s="4"/>
      <c r="W159" s="4"/>
      <c r="AB159" s="4"/>
      <c r="AG159" s="4"/>
      <c r="AL159" s="4"/>
      <c r="AQ159" s="4"/>
      <c r="AV159" s="4"/>
      <c r="BA159" s="4"/>
    </row>
    <row r="160" spans="8:53" s="1" customFormat="1" ht="85.15" customHeight="1">
      <c r="H160" s="4"/>
      <c r="M160" s="4"/>
      <c r="R160" s="4"/>
      <c r="W160" s="4"/>
      <c r="AB160" s="4"/>
      <c r="AG160" s="4"/>
      <c r="AL160" s="4"/>
      <c r="AQ160" s="4"/>
      <c r="AV160" s="4"/>
      <c r="BA160" s="4"/>
    </row>
    <row r="161" spans="8:53" s="1" customFormat="1" ht="85.15" customHeight="1">
      <c r="H161" s="4"/>
      <c r="M161" s="4"/>
      <c r="R161" s="4"/>
      <c r="W161" s="4"/>
      <c r="AB161" s="4"/>
      <c r="AG161" s="4"/>
      <c r="AL161" s="4"/>
      <c r="AQ161" s="4"/>
      <c r="AV161" s="4"/>
      <c r="BA161" s="4"/>
    </row>
    <row r="162" spans="8:53" s="1" customFormat="1" ht="85.15" customHeight="1">
      <c r="H162" s="4"/>
      <c r="M162" s="4"/>
      <c r="R162" s="4"/>
      <c r="W162" s="4"/>
      <c r="AB162" s="4"/>
      <c r="AG162" s="4"/>
      <c r="AL162" s="4"/>
      <c r="AQ162" s="4"/>
      <c r="AV162" s="4"/>
      <c r="BA162" s="4"/>
    </row>
    <row r="163" spans="8:53" s="1" customFormat="1" ht="85.15" customHeight="1">
      <c r="H163" s="4"/>
      <c r="M163" s="4"/>
      <c r="R163" s="4"/>
      <c r="W163" s="4"/>
      <c r="AB163" s="4"/>
      <c r="AG163" s="4"/>
      <c r="AL163" s="4"/>
      <c r="AQ163" s="4"/>
      <c r="AV163" s="4"/>
      <c r="BA163" s="4"/>
    </row>
    <row r="164" spans="8:53" s="1" customFormat="1" ht="85.15" customHeight="1">
      <c r="H164" s="4"/>
      <c r="M164" s="4"/>
      <c r="R164" s="4"/>
      <c r="W164" s="4"/>
      <c r="AB164" s="4"/>
      <c r="AG164" s="4"/>
      <c r="AL164" s="4"/>
      <c r="AQ164" s="4"/>
      <c r="AV164" s="4"/>
      <c r="BA164" s="4"/>
    </row>
    <row r="165" spans="8:53" s="1" customFormat="1" ht="85.15" customHeight="1">
      <c r="H165" s="4"/>
      <c r="M165" s="4"/>
      <c r="R165" s="4"/>
      <c r="W165" s="4"/>
      <c r="AB165" s="4"/>
      <c r="AG165" s="4"/>
      <c r="AL165" s="4"/>
      <c r="AQ165" s="4"/>
      <c r="AV165" s="4"/>
      <c r="BA165" s="4"/>
    </row>
    <row r="166" spans="8:53" s="1" customFormat="1" ht="85.15" customHeight="1">
      <c r="H166" s="4"/>
      <c r="M166" s="4"/>
      <c r="R166" s="4"/>
      <c r="W166" s="4"/>
      <c r="AB166" s="4"/>
      <c r="AG166" s="4"/>
      <c r="AL166" s="4"/>
      <c r="AQ166" s="4"/>
      <c r="AV166" s="4"/>
      <c r="BA166" s="4"/>
    </row>
    <row r="167" spans="8:53" s="1" customFormat="1" ht="85.15" customHeight="1">
      <c r="H167" s="4"/>
      <c r="M167" s="4"/>
      <c r="R167" s="4"/>
      <c r="W167" s="4"/>
      <c r="AB167" s="4"/>
      <c r="AG167" s="4"/>
      <c r="AL167" s="4"/>
      <c r="AQ167" s="4"/>
      <c r="AV167" s="4"/>
      <c r="BA167" s="4"/>
    </row>
    <row r="168" spans="8:53" s="1" customFormat="1" ht="85.15" customHeight="1">
      <c r="H168" s="4"/>
      <c r="M168" s="4"/>
      <c r="R168" s="4"/>
      <c r="W168" s="4"/>
      <c r="AB168" s="4"/>
      <c r="AG168" s="4"/>
      <c r="AL168" s="4"/>
      <c r="AQ168" s="4"/>
      <c r="AV168" s="4"/>
      <c r="BA168" s="4"/>
    </row>
    <row r="169" spans="8:53" s="1" customFormat="1" ht="85.15" customHeight="1">
      <c r="H169" s="4"/>
      <c r="M169" s="4"/>
      <c r="R169" s="4"/>
      <c r="W169" s="4"/>
      <c r="AB169" s="4"/>
      <c r="AG169" s="4"/>
      <c r="AL169" s="4"/>
      <c r="AQ169" s="4"/>
      <c r="AV169" s="4"/>
      <c r="BA169" s="4"/>
    </row>
    <row r="170" spans="8:53" s="1" customFormat="1" ht="85.15" customHeight="1">
      <c r="H170" s="4"/>
      <c r="M170" s="4"/>
      <c r="R170" s="4"/>
      <c r="W170" s="4"/>
      <c r="AB170" s="4"/>
      <c r="AG170" s="4"/>
      <c r="AL170" s="4"/>
      <c r="AQ170" s="4"/>
      <c r="AV170" s="4"/>
      <c r="BA170" s="4"/>
    </row>
    <row r="171" spans="8:53" s="1" customFormat="1" ht="85.15" customHeight="1">
      <c r="H171" s="4"/>
      <c r="M171" s="4"/>
      <c r="R171" s="4"/>
      <c r="W171" s="4"/>
      <c r="AB171" s="4"/>
      <c r="AG171" s="4"/>
      <c r="AL171" s="4"/>
      <c r="AQ171" s="4"/>
      <c r="AV171" s="4"/>
      <c r="BA171" s="4"/>
    </row>
    <row r="172" spans="8:53" s="1" customFormat="1" ht="85.15" customHeight="1">
      <c r="H172" s="4"/>
      <c r="M172" s="4"/>
      <c r="R172" s="4"/>
      <c r="W172" s="4"/>
      <c r="AB172" s="4"/>
      <c r="AG172" s="4"/>
      <c r="AL172" s="4"/>
      <c r="AQ172" s="4"/>
      <c r="AV172" s="4"/>
      <c r="BA172" s="4"/>
    </row>
    <row r="173" spans="8:53" s="1" customFormat="1" ht="85.15" customHeight="1">
      <c r="H173" s="4"/>
      <c r="M173" s="4"/>
      <c r="R173" s="4"/>
      <c r="W173" s="4"/>
      <c r="AB173" s="4"/>
      <c r="AG173" s="4"/>
      <c r="AL173" s="4"/>
      <c r="AQ173" s="4"/>
      <c r="AV173" s="4"/>
      <c r="BA173" s="4"/>
    </row>
    <row r="174" spans="8:53" s="1" customFormat="1" ht="85.15" customHeight="1">
      <c r="H174" s="4"/>
      <c r="M174" s="4"/>
      <c r="R174" s="4"/>
      <c r="W174" s="4"/>
      <c r="AB174" s="4"/>
      <c r="AG174" s="4"/>
      <c r="AL174" s="4"/>
      <c r="AQ174" s="4"/>
      <c r="AV174" s="4"/>
      <c r="BA174" s="4"/>
    </row>
    <row r="175" spans="8:53" s="1" customFormat="1" ht="85.15" customHeight="1">
      <c r="H175" s="4"/>
      <c r="M175" s="4"/>
      <c r="R175" s="4"/>
      <c r="W175" s="4"/>
      <c r="AB175" s="4"/>
      <c r="AG175" s="4"/>
      <c r="AL175" s="4"/>
      <c r="AQ175" s="4"/>
      <c r="AV175" s="4"/>
      <c r="BA175" s="4"/>
    </row>
    <row r="176" spans="8:53" s="1" customFormat="1" ht="85.15" customHeight="1">
      <c r="H176" s="4"/>
      <c r="M176" s="4"/>
      <c r="R176" s="4"/>
      <c r="W176" s="4"/>
      <c r="AB176" s="4"/>
      <c r="AG176" s="4"/>
      <c r="AL176" s="4"/>
      <c r="AQ176" s="4"/>
      <c r="AV176" s="4"/>
      <c r="BA176" s="4"/>
    </row>
    <row r="177" spans="8:53" s="1" customFormat="1" ht="85.15" customHeight="1">
      <c r="H177" s="4"/>
      <c r="M177" s="4"/>
      <c r="R177" s="4"/>
      <c r="W177" s="4"/>
      <c r="AB177" s="4"/>
      <c r="AG177" s="4"/>
      <c r="AL177" s="4"/>
      <c r="AQ177" s="4"/>
      <c r="AV177" s="4"/>
      <c r="BA177" s="4"/>
    </row>
    <row r="178" spans="8:53" s="1" customFormat="1" ht="85.15" customHeight="1">
      <c r="H178" s="4"/>
      <c r="M178" s="4"/>
      <c r="R178" s="4"/>
      <c r="W178" s="4"/>
      <c r="AB178" s="4"/>
      <c r="AG178" s="4"/>
      <c r="AL178" s="4"/>
      <c r="AQ178" s="4"/>
      <c r="AV178" s="4"/>
      <c r="BA178" s="4"/>
    </row>
    <row r="179" spans="8:53" s="1" customFormat="1" ht="85.15" customHeight="1">
      <c r="H179" s="4"/>
      <c r="M179" s="4"/>
      <c r="R179" s="4"/>
      <c r="W179" s="4"/>
      <c r="AB179" s="4"/>
      <c r="AG179" s="4"/>
      <c r="AL179" s="4"/>
      <c r="AQ179" s="4"/>
      <c r="AV179" s="4"/>
      <c r="BA179" s="4"/>
    </row>
    <row r="180" spans="8:53" s="1" customFormat="1" ht="85.15" customHeight="1">
      <c r="H180" s="4"/>
      <c r="M180" s="4"/>
      <c r="R180" s="4"/>
      <c r="W180" s="4"/>
      <c r="AB180" s="4"/>
      <c r="AG180" s="4"/>
      <c r="AL180" s="4"/>
      <c r="AQ180" s="4"/>
      <c r="AV180" s="4"/>
      <c r="BA180" s="4"/>
    </row>
    <row r="181" spans="8:53" s="1" customFormat="1" ht="85.15" customHeight="1">
      <c r="H181" s="4"/>
      <c r="M181" s="4"/>
      <c r="R181" s="4"/>
      <c r="W181" s="4"/>
      <c r="AB181" s="4"/>
      <c r="AG181" s="4"/>
      <c r="AL181" s="4"/>
      <c r="AQ181" s="4"/>
      <c r="AV181" s="4"/>
      <c r="BA181" s="4"/>
    </row>
    <row r="182" spans="8:53" s="1" customFormat="1" ht="85.15" customHeight="1">
      <c r="H182" s="4"/>
      <c r="M182" s="4"/>
      <c r="R182" s="4"/>
      <c r="W182" s="4"/>
      <c r="AB182" s="4"/>
      <c r="AG182" s="4"/>
      <c r="AL182" s="4"/>
      <c r="AQ182" s="4"/>
      <c r="AV182" s="4"/>
      <c r="BA182" s="4"/>
    </row>
    <row r="183" spans="8:53" s="1" customFormat="1" ht="85.15" customHeight="1">
      <c r="H183" s="4"/>
      <c r="M183" s="4"/>
      <c r="R183" s="4"/>
      <c r="W183" s="4"/>
      <c r="AB183" s="4"/>
      <c r="AG183" s="4"/>
      <c r="AL183" s="4"/>
      <c r="AQ183" s="4"/>
      <c r="AV183" s="4"/>
      <c r="BA183" s="4"/>
    </row>
    <row r="184" spans="8:53" s="1" customFormat="1" ht="85.15" customHeight="1">
      <c r="H184" s="4"/>
      <c r="M184" s="4"/>
      <c r="R184" s="4"/>
      <c r="W184" s="4"/>
      <c r="AB184" s="4"/>
      <c r="AG184" s="4"/>
      <c r="AL184" s="4"/>
      <c r="AQ184" s="4"/>
      <c r="AV184" s="4"/>
      <c r="BA184" s="4"/>
    </row>
    <row r="185" spans="8:53" s="1" customFormat="1" ht="53.45" customHeight="1">
      <c r="H185" s="4"/>
      <c r="M185" s="4"/>
      <c r="R185" s="4"/>
      <c r="W185" s="4"/>
      <c r="AB185" s="4"/>
      <c r="AG185" s="4"/>
      <c r="AL185" s="4"/>
      <c r="AQ185" s="4"/>
      <c r="AV185" s="4"/>
      <c r="BA185" s="4"/>
    </row>
    <row r="186" spans="8:53" s="1" customFormat="1" ht="53.45" customHeight="1">
      <c r="H186" s="4"/>
      <c r="M186" s="4"/>
      <c r="R186" s="4"/>
      <c r="W186" s="4"/>
      <c r="AB186" s="4"/>
      <c r="AG186" s="4"/>
      <c r="AL186" s="4"/>
      <c r="AQ186" s="4"/>
      <c r="AV186" s="4"/>
      <c r="BA186" s="4"/>
    </row>
    <row r="187" spans="8:53" s="1" customFormat="1" ht="53.45" customHeight="1">
      <c r="H187" s="4"/>
      <c r="M187" s="4"/>
      <c r="R187" s="4"/>
      <c r="W187" s="4"/>
      <c r="AB187" s="4"/>
      <c r="AG187" s="4"/>
      <c r="AL187" s="4"/>
      <c r="AQ187" s="4"/>
      <c r="AV187" s="4"/>
      <c r="BA187" s="4"/>
    </row>
    <row r="188" spans="8:53" s="1" customFormat="1" ht="53.45" customHeight="1">
      <c r="H188" s="4"/>
      <c r="M188" s="4"/>
      <c r="R188" s="4"/>
      <c r="W188" s="4"/>
      <c r="AB188" s="4"/>
      <c r="AG188" s="4"/>
      <c r="AL188" s="4"/>
      <c r="AQ188" s="4"/>
      <c r="AV188" s="4"/>
      <c r="BA188" s="4"/>
    </row>
    <row r="189" spans="8:53" s="1" customFormat="1" ht="53.45" customHeight="1">
      <c r="H189" s="4"/>
      <c r="M189" s="4"/>
      <c r="R189" s="4"/>
      <c r="W189" s="4"/>
      <c r="AB189" s="4"/>
      <c r="AG189" s="4"/>
      <c r="AL189" s="4"/>
      <c r="AQ189" s="4"/>
      <c r="AV189" s="4"/>
      <c r="BA189" s="4"/>
    </row>
    <row r="190" spans="8:53" s="1" customFormat="1" ht="53.45" customHeight="1">
      <c r="H190" s="4"/>
      <c r="M190" s="4"/>
      <c r="R190" s="4"/>
      <c r="W190" s="4"/>
      <c r="AB190" s="4"/>
      <c r="AG190" s="4"/>
      <c r="AL190" s="4"/>
      <c r="AQ190" s="4"/>
      <c r="AV190" s="4"/>
      <c r="BA190" s="4"/>
    </row>
    <row r="191" spans="8:53" s="1" customFormat="1" ht="53.45" customHeight="1">
      <c r="H191" s="4"/>
      <c r="M191" s="4"/>
      <c r="R191" s="4"/>
      <c r="W191" s="4"/>
      <c r="AB191" s="4"/>
      <c r="AG191" s="4"/>
      <c r="AL191" s="4"/>
      <c r="AQ191" s="4"/>
      <c r="AV191" s="4"/>
      <c r="BA191" s="4"/>
    </row>
    <row r="192" spans="8:53" s="1" customFormat="1" ht="53.45" customHeight="1">
      <c r="H192" s="4"/>
      <c r="M192" s="4"/>
      <c r="R192" s="4"/>
      <c r="W192" s="4"/>
      <c r="AB192" s="4"/>
      <c r="AG192" s="4"/>
      <c r="AL192" s="4"/>
      <c r="AQ192" s="4"/>
      <c r="AV192" s="4"/>
      <c r="BA192" s="4"/>
    </row>
    <row r="193" spans="8:53" s="1" customFormat="1" ht="53.45" customHeight="1">
      <c r="H193" s="4"/>
      <c r="M193" s="4"/>
      <c r="R193" s="4"/>
      <c r="W193" s="4"/>
      <c r="AB193" s="4"/>
      <c r="AG193" s="4"/>
      <c r="AL193" s="4"/>
      <c r="AQ193" s="4"/>
      <c r="AV193" s="4"/>
      <c r="BA193" s="4"/>
    </row>
    <row r="194" spans="8:53" s="1" customFormat="1" ht="53.45" customHeight="1">
      <c r="H194" s="4"/>
      <c r="M194" s="4"/>
      <c r="R194" s="4"/>
      <c r="W194" s="4"/>
      <c r="AB194" s="4"/>
      <c r="AG194" s="4"/>
      <c r="AL194" s="4"/>
      <c r="AQ194" s="4"/>
      <c r="AV194" s="4"/>
      <c r="BA194" s="4"/>
    </row>
    <row r="195" spans="8:53" s="1" customFormat="1" ht="53.45" customHeight="1">
      <c r="H195" s="4"/>
      <c r="M195" s="4"/>
      <c r="R195" s="4"/>
      <c r="W195" s="4"/>
      <c r="AB195" s="4"/>
      <c r="AG195" s="4"/>
      <c r="AL195" s="4"/>
      <c r="AQ195" s="4"/>
      <c r="AV195" s="4"/>
      <c r="BA195" s="4"/>
    </row>
    <row r="196" spans="8:53" s="1" customFormat="1" ht="53.45" customHeight="1">
      <c r="H196" s="4"/>
      <c r="M196" s="4"/>
      <c r="R196" s="4"/>
      <c r="W196" s="4"/>
      <c r="AB196" s="4"/>
      <c r="AG196" s="4"/>
      <c r="AL196" s="4"/>
      <c r="AQ196" s="4"/>
      <c r="AV196" s="4"/>
      <c r="BA196" s="4"/>
    </row>
    <row r="197" spans="8:53" s="1" customFormat="1" ht="53.45" customHeight="1">
      <c r="H197" s="4"/>
      <c r="M197" s="4"/>
      <c r="R197" s="4"/>
      <c r="W197" s="4"/>
      <c r="AB197" s="4"/>
      <c r="AG197" s="4"/>
      <c r="AL197" s="4"/>
      <c r="AQ197" s="4"/>
      <c r="AV197" s="4"/>
      <c r="BA197" s="4"/>
    </row>
    <row r="198" spans="8:53" s="1" customFormat="1" ht="53.45" customHeight="1">
      <c r="H198" s="4"/>
      <c r="M198" s="4"/>
      <c r="R198" s="4"/>
      <c r="W198" s="4"/>
      <c r="AB198" s="4"/>
      <c r="AG198" s="4"/>
      <c r="AL198" s="4"/>
      <c r="AQ198" s="4"/>
      <c r="AV198" s="4"/>
      <c r="BA198" s="4"/>
    </row>
    <row r="199" spans="8:53" s="1" customFormat="1" ht="53.45" customHeight="1">
      <c r="H199" s="4"/>
      <c r="M199" s="4"/>
      <c r="R199" s="4"/>
      <c r="W199" s="4"/>
      <c r="AB199" s="4"/>
      <c r="AG199" s="4"/>
      <c r="AL199" s="4"/>
      <c r="AQ199" s="4"/>
      <c r="AV199" s="4"/>
      <c r="BA199" s="4"/>
    </row>
    <row r="200" spans="8:53" s="1" customFormat="1" ht="53.45" customHeight="1">
      <c r="H200" s="4"/>
      <c r="M200" s="4"/>
      <c r="R200" s="4"/>
      <c r="W200" s="4"/>
      <c r="AB200" s="4"/>
      <c r="AG200" s="4"/>
      <c r="AL200" s="4"/>
      <c r="AQ200" s="4"/>
      <c r="AV200" s="4"/>
      <c r="BA200" s="4"/>
    </row>
    <row r="201" spans="8:53" s="1" customFormat="1" ht="53.45" customHeight="1">
      <c r="H201" s="4"/>
      <c r="M201" s="4"/>
      <c r="R201" s="4"/>
      <c r="W201" s="4"/>
      <c r="AB201" s="4"/>
      <c r="AG201" s="4"/>
      <c r="AL201" s="4"/>
      <c r="AQ201" s="4"/>
      <c r="AV201" s="4"/>
      <c r="BA201" s="4"/>
    </row>
    <row r="202" spans="8:53" s="1" customFormat="1" ht="53.45" customHeight="1">
      <c r="H202" s="4"/>
      <c r="M202" s="4"/>
      <c r="R202" s="4"/>
      <c r="W202" s="4"/>
      <c r="AB202" s="4"/>
      <c r="AG202" s="4"/>
      <c r="AL202" s="4"/>
      <c r="AQ202" s="4"/>
      <c r="AV202" s="4"/>
      <c r="BA202" s="4"/>
    </row>
    <row r="203" spans="8:53" s="1" customFormat="1" ht="53.45" customHeight="1">
      <c r="H203" s="4"/>
      <c r="M203" s="4"/>
      <c r="R203" s="4"/>
      <c r="W203" s="4"/>
      <c r="AB203" s="4"/>
      <c r="AG203" s="4"/>
      <c r="AL203" s="4"/>
      <c r="AQ203" s="4"/>
      <c r="AV203" s="4"/>
      <c r="BA203" s="4"/>
    </row>
    <row r="204" spans="8:53" s="1" customFormat="1" ht="53.45" customHeight="1">
      <c r="H204" s="4"/>
      <c r="M204" s="4"/>
      <c r="R204" s="4"/>
      <c r="W204" s="4"/>
      <c r="AB204" s="4"/>
      <c r="AG204" s="4"/>
      <c r="AL204" s="4"/>
      <c r="AQ204" s="4"/>
      <c r="AV204" s="4"/>
      <c r="BA204" s="4"/>
    </row>
    <row r="205" spans="8:53" s="1" customFormat="1" ht="53.45" customHeight="1">
      <c r="H205" s="4"/>
      <c r="M205" s="4"/>
      <c r="R205" s="4"/>
      <c r="W205" s="4"/>
      <c r="AB205" s="4"/>
      <c r="AG205" s="4"/>
      <c r="AL205" s="4"/>
      <c r="AQ205" s="4"/>
      <c r="AV205" s="4"/>
      <c r="BA205" s="4"/>
    </row>
    <row r="206" spans="8:53" s="1" customFormat="1" ht="53.45" customHeight="1">
      <c r="H206" s="4"/>
      <c r="M206" s="4"/>
      <c r="R206" s="4"/>
      <c r="W206" s="4"/>
      <c r="AB206" s="4"/>
      <c r="AG206" s="4"/>
      <c r="AL206" s="4"/>
      <c r="AQ206" s="4"/>
      <c r="AV206" s="4"/>
      <c r="BA206" s="4"/>
    </row>
    <row r="207" spans="8:53" s="1" customFormat="1" ht="53.45" customHeight="1">
      <c r="H207" s="4"/>
      <c r="M207" s="4"/>
      <c r="R207" s="4"/>
      <c r="W207" s="4"/>
      <c r="AB207" s="4"/>
      <c r="AG207" s="4"/>
      <c r="AL207" s="4"/>
      <c r="AQ207" s="4"/>
      <c r="AV207" s="4"/>
      <c r="BA207" s="4"/>
    </row>
    <row r="208" spans="8:53" s="1" customFormat="1" ht="53.45" customHeight="1">
      <c r="H208" s="4"/>
      <c r="M208" s="4"/>
      <c r="R208" s="4"/>
      <c r="W208" s="4"/>
      <c r="AB208" s="4"/>
      <c r="AG208" s="4"/>
      <c r="AL208" s="4"/>
      <c r="AQ208" s="4"/>
      <c r="AV208" s="4"/>
      <c r="BA208" s="4"/>
    </row>
    <row r="209" spans="8:53" s="1" customFormat="1" ht="53.45" customHeight="1">
      <c r="H209" s="4"/>
      <c r="M209" s="4"/>
      <c r="R209" s="4"/>
      <c r="W209" s="4"/>
      <c r="AB209" s="4"/>
      <c r="AG209" s="4"/>
      <c r="AL209" s="4"/>
      <c r="AQ209" s="4"/>
      <c r="AV209" s="4"/>
      <c r="BA209" s="4"/>
    </row>
    <row r="210" spans="8:53" s="1" customFormat="1" ht="53.45" customHeight="1">
      <c r="H210" s="4"/>
      <c r="M210" s="4"/>
      <c r="R210" s="4"/>
      <c r="W210" s="4"/>
      <c r="AB210" s="4"/>
      <c r="AG210" s="4"/>
      <c r="AL210" s="4"/>
      <c r="AQ210" s="4"/>
      <c r="AV210" s="4"/>
      <c r="BA210" s="4"/>
    </row>
    <row r="211" spans="8:53" s="1" customFormat="1" ht="53.45" customHeight="1">
      <c r="H211" s="4"/>
      <c r="M211" s="4"/>
      <c r="R211" s="4"/>
      <c r="W211" s="4"/>
      <c r="AB211" s="4"/>
      <c r="AG211" s="4"/>
      <c r="AL211" s="4"/>
      <c r="AQ211" s="4"/>
      <c r="AV211" s="4"/>
      <c r="BA211" s="4"/>
    </row>
    <row r="212" spans="8:53" s="1" customFormat="1" ht="53.45" customHeight="1">
      <c r="H212" s="4"/>
      <c r="M212" s="4"/>
      <c r="R212" s="4"/>
      <c r="W212" s="4"/>
      <c r="AB212" s="4"/>
      <c r="AG212" s="4"/>
      <c r="AL212" s="4"/>
      <c r="AQ212" s="4"/>
      <c r="AV212" s="4"/>
      <c r="BA212" s="4"/>
    </row>
    <row r="213" spans="8:53" s="1" customFormat="1" ht="53.45" customHeight="1">
      <c r="H213" s="4"/>
      <c r="M213" s="4"/>
      <c r="R213" s="4"/>
      <c r="W213" s="4"/>
      <c r="AB213" s="4"/>
      <c r="AG213" s="4"/>
      <c r="AL213" s="4"/>
      <c r="AQ213" s="4"/>
      <c r="AV213" s="4"/>
      <c r="BA213" s="4"/>
    </row>
    <row r="214" spans="8:53" s="1" customFormat="1" ht="53.45" customHeight="1">
      <c r="H214" s="4"/>
      <c r="M214" s="4"/>
      <c r="R214" s="4"/>
      <c r="W214" s="4"/>
      <c r="AB214" s="4"/>
      <c r="AG214" s="4"/>
      <c r="AL214" s="4"/>
      <c r="AQ214" s="4"/>
      <c r="AV214" s="4"/>
      <c r="BA214" s="4"/>
    </row>
    <row r="215" spans="8:53" s="1" customFormat="1" ht="53.45" customHeight="1">
      <c r="H215" s="4"/>
      <c r="M215" s="4"/>
      <c r="R215" s="4"/>
      <c r="W215" s="4"/>
      <c r="AB215" s="4"/>
      <c r="AG215" s="4"/>
      <c r="AL215" s="4"/>
      <c r="AQ215" s="4"/>
      <c r="AV215" s="4"/>
      <c r="BA215" s="4"/>
    </row>
    <row r="216" spans="8:53" s="1" customFormat="1" ht="53.45" customHeight="1">
      <c r="H216" s="4"/>
      <c r="M216" s="4"/>
      <c r="R216" s="4"/>
      <c r="W216" s="4"/>
      <c r="AB216" s="4"/>
      <c r="AG216" s="4"/>
      <c r="AL216" s="4"/>
      <c r="AQ216" s="4"/>
      <c r="AV216" s="4"/>
      <c r="BA216" s="4"/>
    </row>
    <row r="217" spans="8:53" s="1" customFormat="1" ht="53.45" customHeight="1">
      <c r="H217" s="4"/>
      <c r="M217" s="4"/>
      <c r="R217" s="4"/>
      <c r="W217" s="4"/>
      <c r="AB217" s="4"/>
      <c r="AG217" s="4"/>
      <c r="AL217" s="4"/>
      <c r="AQ217" s="4"/>
      <c r="AV217" s="4"/>
      <c r="BA217" s="4"/>
    </row>
    <row r="218" spans="8:53" s="1" customFormat="1" ht="53.45" customHeight="1">
      <c r="H218" s="4"/>
      <c r="M218" s="4"/>
      <c r="R218" s="4"/>
      <c r="W218" s="4"/>
      <c r="AB218" s="4"/>
      <c r="AG218" s="4"/>
      <c r="AL218" s="4"/>
      <c r="AQ218" s="4"/>
      <c r="AV218" s="4"/>
      <c r="BA218" s="4"/>
    </row>
    <row r="219" spans="8:53" s="1" customFormat="1" ht="53.45" customHeight="1">
      <c r="H219" s="4"/>
      <c r="M219" s="4"/>
      <c r="R219" s="4"/>
      <c r="W219" s="4"/>
      <c r="AB219" s="4"/>
      <c r="AG219" s="4"/>
      <c r="AL219" s="4"/>
      <c r="AQ219" s="4"/>
      <c r="AV219" s="4"/>
      <c r="BA219" s="4"/>
    </row>
    <row r="220" spans="8:53" s="1" customFormat="1" ht="53.45" customHeight="1">
      <c r="H220" s="4"/>
      <c r="M220" s="4"/>
      <c r="R220" s="4"/>
      <c r="W220" s="4"/>
      <c r="AB220" s="4"/>
      <c r="AG220" s="4"/>
      <c r="AL220" s="4"/>
      <c r="AQ220" s="4"/>
      <c r="AV220" s="4"/>
      <c r="BA220" s="4"/>
    </row>
    <row r="221" spans="8:53" s="1" customFormat="1" ht="53.45" customHeight="1">
      <c r="H221" s="4"/>
      <c r="M221" s="4"/>
      <c r="R221" s="4"/>
      <c r="W221" s="4"/>
      <c r="AB221" s="4"/>
      <c r="AG221" s="4"/>
      <c r="AL221" s="4"/>
      <c r="AQ221" s="4"/>
      <c r="AV221" s="4"/>
      <c r="BA221" s="4"/>
    </row>
    <row r="222" spans="8:53" s="1" customFormat="1" ht="53.45" customHeight="1">
      <c r="H222" s="4"/>
      <c r="M222" s="4"/>
      <c r="R222" s="4"/>
      <c r="W222" s="4"/>
      <c r="AB222" s="4"/>
      <c r="AG222" s="4"/>
      <c r="AL222" s="4"/>
      <c r="AQ222" s="4"/>
      <c r="AV222" s="4"/>
      <c r="BA222" s="4"/>
    </row>
    <row r="223" spans="8:53" s="1" customFormat="1" ht="53.45" customHeight="1">
      <c r="H223" s="4"/>
      <c r="M223" s="4"/>
      <c r="R223" s="4"/>
      <c r="W223" s="4"/>
      <c r="AB223" s="4"/>
      <c r="AG223" s="4"/>
      <c r="AL223" s="4"/>
      <c r="AQ223" s="4"/>
      <c r="AV223" s="4"/>
      <c r="BA223" s="4"/>
    </row>
    <row r="224" spans="8:53" s="1" customFormat="1" ht="53.45" customHeight="1">
      <c r="H224" s="4"/>
      <c r="M224" s="4"/>
      <c r="R224" s="4"/>
      <c r="W224" s="4"/>
      <c r="AB224" s="4"/>
      <c r="AG224" s="4"/>
      <c r="AL224" s="4"/>
      <c r="AQ224" s="4"/>
      <c r="AV224" s="4"/>
      <c r="BA224" s="4"/>
    </row>
    <row r="225" spans="8:53" s="1" customFormat="1" ht="53.45" customHeight="1">
      <c r="H225" s="4"/>
      <c r="M225" s="4"/>
      <c r="R225" s="4"/>
      <c r="W225" s="4"/>
      <c r="AB225" s="4"/>
      <c r="AG225" s="4"/>
      <c r="AL225" s="4"/>
      <c r="AQ225" s="4"/>
      <c r="AV225" s="4"/>
      <c r="BA225" s="4"/>
    </row>
    <row r="226" spans="8:53" s="1" customFormat="1" ht="53.45" customHeight="1">
      <c r="H226" s="4"/>
      <c r="M226" s="4"/>
      <c r="R226" s="4"/>
      <c r="W226" s="4"/>
      <c r="AB226" s="4"/>
      <c r="AG226" s="4"/>
      <c r="AL226" s="4"/>
      <c r="AQ226" s="4"/>
      <c r="AV226" s="4"/>
      <c r="BA226" s="4"/>
    </row>
    <row r="227" spans="8:53" s="1" customFormat="1" ht="53.45" customHeight="1">
      <c r="H227" s="4"/>
      <c r="M227" s="4"/>
      <c r="R227" s="4"/>
      <c r="W227" s="4"/>
      <c r="AB227" s="4"/>
      <c r="AG227" s="4"/>
      <c r="AL227" s="4"/>
      <c r="AQ227" s="4"/>
      <c r="AV227" s="4"/>
      <c r="BA227" s="4"/>
    </row>
    <row r="228" spans="8:53" s="1" customFormat="1" ht="53.45" customHeight="1">
      <c r="H228" s="4"/>
      <c r="M228" s="4"/>
      <c r="R228" s="4"/>
      <c r="W228" s="4"/>
      <c r="AB228" s="4"/>
      <c r="AG228" s="4"/>
      <c r="AL228" s="4"/>
      <c r="AQ228" s="4"/>
      <c r="AV228" s="4"/>
      <c r="BA228" s="4"/>
    </row>
    <row r="229" spans="8:53" s="1" customFormat="1" ht="53.45" customHeight="1">
      <c r="H229" s="4"/>
      <c r="M229" s="4"/>
      <c r="R229" s="4"/>
      <c r="W229" s="4"/>
      <c r="AB229" s="4"/>
      <c r="AG229" s="4"/>
      <c r="AL229" s="4"/>
      <c r="AQ229" s="4"/>
      <c r="AV229" s="4"/>
      <c r="BA229" s="4"/>
    </row>
    <row r="230" spans="8:53" s="1" customFormat="1" ht="53.45" customHeight="1">
      <c r="H230" s="4"/>
      <c r="M230" s="4"/>
      <c r="R230" s="4"/>
      <c r="W230" s="4"/>
      <c r="AB230" s="4"/>
      <c r="AG230" s="4"/>
      <c r="AL230" s="4"/>
      <c r="AQ230" s="4"/>
      <c r="AV230" s="4"/>
      <c r="BA230" s="4"/>
    </row>
    <row r="231" spans="8:53" s="1" customFormat="1" ht="53.45" customHeight="1">
      <c r="H231" s="4"/>
      <c r="M231" s="4"/>
      <c r="R231" s="4"/>
      <c r="W231" s="4"/>
      <c r="AB231" s="4"/>
      <c r="AG231" s="4"/>
      <c r="AL231" s="4"/>
      <c r="AQ231" s="4"/>
      <c r="AV231" s="4"/>
      <c r="BA231" s="4"/>
    </row>
    <row r="232" spans="8:53" s="1" customFormat="1" ht="53.45" customHeight="1">
      <c r="H232" s="4"/>
      <c r="M232" s="4"/>
      <c r="R232" s="4"/>
      <c r="W232" s="4"/>
      <c r="AB232" s="4"/>
      <c r="AG232" s="4"/>
      <c r="AL232" s="4"/>
      <c r="AQ232" s="4"/>
      <c r="AV232" s="4"/>
      <c r="BA232" s="4"/>
    </row>
    <row r="233" spans="8:53" s="1" customFormat="1" ht="53.45" customHeight="1">
      <c r="H233" s="4"/>
      <c r="M233" s="4"/>
      <c r="R233" s="4"/>
      <c r="W233" s="4"/>
      <c r="AB233" s="4"/>
      <c r="AG233" s="4"/>
      <c r="AL233" s="4"/>
      <c r="AQ233" s="4"/>
      <c r="AV233" s="4"/>
      <c r="BA233" s="4"/>
    </row>
    <row r="234" spans="8:53" s="1" customFormat="1" ht="53.45" customHeight="1">
      <c r="H234" s="4"/>
      <c r="M234" s="4"/>
      <c r="R234" s="4"/>
      <c r="W234" s="4"/>
      <c r="AB234" s="4"/>
      <c r="AG234" s="4"/>
      <c r="AL234" s="4"/>
      <c r="AQ234" s="4"/>
      <c r="AV234" s="4"/>
      <c r="BA234" s="4"/>
    </row>
    <row r="235" spans="8:53" s="1" customFormat="1" ht="53.45" customHeight="1">
      <c r="H235" s="4"/>
      <c r="M235" s="4"/>
      <c r="R235" s="4"/>
      <c r="W235" s="4"/>
      <c r="AB235" s="4"/>
      <c r="AG235" s="4"/>
      <c r="AL235" s="4"/>
      <c r="AQ235" s="4"/>
      <c r="AV235" s="4"/>
      <c r="BA235" s="4"/>
    </row>
    <row r="236" spans="8:53" s="1" customFormat="1" ht="53.45" customHeight="1">
      <c r="H236" s="4"/>
      <c r="M236" s="4"/>
      <c r="R236" s="4"/>
      <c r="W236" s="4"/>
      <c r="AB236" s="4"/>
      <c r="AG236" s="4"/>
      <c r="AL236" s="4"/>
      <c r="AQ236" s="4"/>
      <c r="AV236" s="4"/>
      <c r="BA236" s="4"/>
    </row>
    <row r="237" spans="8:53" s="1" customFormat="1" ht="53.45" customHeight="1">
      <c r="H237" s="4"/>
      <c r="M237" s="4"/>
      <c r="R237" s="4"/>
      <c r="W237" s="4"/>
      <c r="AB237" s="4"/>
      <c r="AG237" s="4"/>
      <c r="AL237" s="4"/>
      <c r="AQ237" s="4"/>
      <c r="AV237" s="4"/>
      <c r="BA237" s="4"/>
    </row>
    <row r="238" spans="8:53" s="1" customFormat="1" ht="53.45" customHeight="1">
      <c r="H238" s="4"/>
      <c r="M238" s="4"/>
      <c r="R238" s="4"/>
      <c r="W238" s="4"/>
      <c r="AB238" s="4"/>
      <c r="AG238" s="4"/>
      <c r="AL238" s="4"/>
      <c r="AQ238" s="4"/>
      <c r="AV238" s="4"/>
      <c r="BA238" s="4"/>
    </row>
    <row r="239" spans="8:53" s="1" customFormat="1" ht="53.45" customHeight="1">
      <c r="H239" s="4"/>
      <c r="M239" s="4"/>
      <c r="R239" s="4"/>
      <c r="W239" s="4"/>
      <c r="AB239" s="4"/>
      <c r="AG239" s="4"/>
      <c r="AL239" s="4"/>
      <c r="AQ239" s="4"/>
      <c r="AV239" s="4"/>
      <c r="BA239" s="4"/>
    </row>
    <row r="240" spans="8:53" s="1" customFormat="1" ht="53.45" customHeight="1">
      <c r="H240" s="4"/>
      <c r="M240" s="4"/>
      <c r="R240" s="4"/>
      <c r="W240" s="4"/>
      <c r="AB240" s="4"/>
      <c r="AG240" s="4"/>
      <c r="AL240" s="4"/>
      <c r="AQ240" s="4"/>
      <c r="AV240" s="4"/>
      <c r="BA240" s="4"/>
    </row>
    <row r="241" spans="8:53" s="1" customFormat="1" ht="53.45" customHeight="1">
      <c r="H241" s="4"/>
      <c r="M241" s="4"/>
      <c r="R241" s="4"/>
      <c r="W241" s="4"/>
      <c r="AB241" s="4"/>
      <c r="AG241" s="4"/>
      <c r="AL241" s="4"/>
      <c r="AQ241" s="4"/>
      <c r="AV241" s="4"/>
      <c r="BA241" s="4"/>
    </row>
    <row r="242" spans="8:53" s="1" customFormat="1" ht="53.45" customHeight="1">
      <c r="H242" s="4"/>
      <c r="M242" s="4"/>
      <c r="R242" s="4"/>
      <c r="W242" s="4"/>
      <c r="AB242" s="4"/>
      <c r="AG242" s="4"/>
      <c r="AL242" s="4"/>
      <c r="AQ242" s="4"/>
      <c r="AV242" s="4"/>
      <c r="BA242" s="4"/>
    </row>
    <row r="243" spans="8:53" s="1" customFormat="1" ht="53.45" customHeight="1">
      <c r="H243" s="4"/>
      <c r="M243" s="4"/>
      <c r="R243" s="4"/>
      <c r="W243" s="4"/>
      <c r="AB243" s="4"/>
      <c r="AG243" s="4"/>
      <c r="AL243" s="4"/>
      <c r="AQ243" s="4"/>
      <c r="AV243" s="4"/>
      <c r="BA243" s="4"/>
    </row>
    <row r="244" spans="8:53" s="1" customFormat="1" ht="53.45" customHeight="1">
      <c r="H244" s="4"/>
      <c r="M244" s="4"/>
      <c r="R244" s="4"/>
      <c r="W244" s="4"/>
      <c r="AB244" s="4"/>
      <c r="AG244" s="4"/>
      <c r="AL244" s="4"/>
      <c r="AQ244" s="4"/>
      <c r="AV244" s="4"/>
      <c r="BA244" s="4"/>
    </row>
    <row r="245" spans="8:53" s="1" customFormat="1" ht="53.45" customHeight="1">
      <c r="H245" s="4"/>
      <c r="M245" s="4"/>
      <c r="R245" s="4"/>
      <c r="W245" s="4"/>
      <c r="AB245" s="4"/>
      <c r="AG245" s="4"/>
      <c r="AL245" s="4"/>
      <c r="AQ245" s="4"/>
      <c r="AV245" s="4"/>
      <c r="BA245" s="4"/>
    </row>
    <row r="246" spans="8:53" s="1" customFormat="1" ht="53.45" customHeight="1">
      <c r="H246" s="4"/>
      <c r="M246" s="4"/>
      <c r="R246" s="4"/>
      <c r="W246" s="4"/>
      <c r="AB246" s="4"/>
      <c r="AG246" s="4"/>
      <c r="AL246" s="4"/>
      <c r="AQ246" s="4"/>
      <c r="AV246" s="4"/>
      <c r="BA246" s="4"/>
    </row>
    <row r="247" spans="8:53" s="1" customFormat="1" ht="53.45" customHeight="1">
      <c r="H247" s="4"/>
      <c r="M247" s="4"/>
      <c r="R247" s="4"/>
      <c r="W247" s="4"/>
      <c r="AB247" s="4"/>
      <c r="AG247" s="4"/>
      <c r="AL247" s="4"/>
      <c r="AQ247" s="4"/>
      <c r="AV247" s="4"/>
      <c r="BA247" s="4"/>
    </row>
    <row r="248" spans="8:53" s="1" customFormat="1" ht="53.45" customHeight="1">
      <c r="H248" s="4"/>
      <c r="M248" s="4"/>
      <c r="R248" s="4"/>
      <c r="W248" s="4"/>
      <c r="AB248" s="4"/>
      <c r="AG248" s="4"/>
      <c r="AL248" s="4"/>
      <c r="AQ248" s="4"/>
      <c r="AV248" s="4"/>
      <c r="BA248" s="4"/>
    </row>
    <row r="249" spans="8:53" s="1" customFormat="1" ht="53.45" customHeight="1">
      <c r="H249" s="4"/>
      <c r="M249" s="4"/>
      <c r="R249" s="4"/>
      <c r="W249" s="4"/>
      <c r="AB249" s="4"/>
      <c r="AG249" s="4"/>
      <c r="AL249" s="4"/>
      <c r="AQ249" s="4"/>
      <c r="AV249" s="4"/>
      <c r="BA249" s="4"/>
    </row>
    <row r="250" spans="8:53" s="1" customFormat="1" ht="53.45" customHeight="1">
      <c r="H250" s="4"/>
      <c r="M250" s="4"/>
      <c r="R250" s="4"/>
      <c r="W250" s="4"/>
      <c r="AB250" s="4"/>
      <c r="AG250" s="4"/>
      <c r="AL250" s="4"/>
      <c r="AQ250" s="4"/>
      <c r="AV250" s="4"/>
      <c r="BA250" s="4"/>
    </row>
    <row r="251" spans="8:53" s="1" customFormat="1" ht="53.45" customHeight="1">
      <c r="H251" s="4"/>
      <c r="M251" s="4"/>
      <c r="R251" s="4"/>
      <c r="W251" s="4"/>
      <c r="AB251" s="4"/>
      <c r="AG251" s="4"/>
      <c r="AL251" s="4"/>
      <c r="AQ251" s="4"/>
      <c r="AV251" s="4"/>
      <c r="BA251" s="4"/>
    </row>
    <row r="252" spans="8:53" s="1" customFormat="1" ht="53.45" customHeight="1">
      <c r="H252" s="4"/>
      <c r="M252" s="4"/>
      <c r="R252" s="4"/>
      <c r="W252" s="4"/>
      <c r="AB252" s="4"/>
      <c r="AG252" s="4"/>
      <c r="AL252" s="4"/>
      <c r="AQ252" s="4"/>
      <c r="AV252" s="4"/>
      <c r="BA252" s="4"/>
    </row>
    <row r="253" spans="8:53" s="1" customFormat="1" ht="53.45" customHeight="1">
      <c r="H253" s="4"/>
      <c r="M253" s="4"/>
      <c r="R253" s="4"/>
      <c r="W253" s="4"/>
      <c r="AB253" s="4"/>
      <c r="AG253" s="4"/>
      <c r="AL253" s="4"/>
      <c r="AQ253" s="4"/>
      <c r="AV253" s="4"/>
      <c r="BA253" s="4"/>
    </row>
    <row r="254" spans="8:53" s="1" customFormat="1" ht="53.45" customHeight="1">
      <c r="H254" s="4"/>
      <c r="M254" s="4"/>
      <c r="R254" s="4"/>
      <c r="W254" s="4"/>
      <c r="AB254" s="4"/>
      <c r="AG254" s="4"/>
      <c r="AL254" s="4"/>
      <c r="AQ254" s="4"/>
      <c r="AV254" s="4"/>
      <c r="BA254" s="4"/>
    </row>
    <row r="255" spans="8:53" s="1" customFormat="1" ht="53.45" customHeight="1">
      <c r="H255" s="4"/>
      <c r="M255" s="4"/>
      <c r="R255" s="4"/>
      <c r="W255" s="4"/>
      <c r="AB255" s="4"/>
      <c r="AG255" s="4"/>
      <c r="AL255" s="4"/>
      <c r="AQ255" s="4"/>
      <c r="AV255" s="4"/>
      <c r="BA255" s="4"/>
    </row>
    <row r="256" spans="8:53" s="1" customFormat="1" ht="53.45" customHeight="1">
      <c r="H256" s="4"/>
      <c r="M256" s="4"/>
      <c r="R256" s="4"/>
      <c r="W256" s="4"/>
      <c r="AB256" s="4"/>
      <c r="AG256" s="4"/>
      <c r="AL256" s="4"/>
      <c r="AQ256" s="4"/>
      <c r="AV256" s="4"/>
      <c r="BA256" s="4"/>
    </row>
    <row r="257" spans="8:53" s="1" customFormat="1" ht="53.45" customHeight="1">
      <c r="H257" s="4"/>
      <c r="M257" s="4"/>
      <c r="R257" s="4"/>
      <c r="W257" s="4"/>
      <c r="AB257" s="4"/>
      <c r="AG257" s="4"/>
      <c r="AL257" s="4"/>
      <c r="AQ257" s="4"/>
      <c r="AV257" s="4"/>
      <c r="BA257" s="4"/>
    </row>
    <row r="258" spans="8:53" s="1" customFormat="1" ht="53.45" customHeight="1">
      <c r="H258" s="4"/>
      <c r="M258" s="4"/>
      <c r="R258" s="4"/>
      <c r="W258" s="4"/>
      <c r="AB258" s="4"/>
      <c r="AG258" s="4"/>
      <c r="AL258" s="4"/>
      <c r="AQ258" s="4"/>
      <c r="AV258" s="4"/>
      <c r="BA258" s="4"/>
    </row>
    <row r="259" spans="8:53" s="1" customFormat="1" ht="53.45" customHeight="1">
      <c r="H259" s="4"/>
      <c r="M259" s="4"/>
      <c r="R259" s="4"/>
      <c r="W259" s="4"/>
      <c r="AB259" s="4"/>
      <c r="AG259" s="4"/>
      <c r="AL259" s="4"/>
      <c r="AQ259" s="4"/>
      <c r="AV259" s="4"/>
      <c r="BA259" s="4"/>
    </row>
    <row r="260" spans="8:53" s="1" customFormat="1" ht="53.45" customHeight="1">
      <c r="H260" s="4"/>
      <c r="M260" s="4"/>
      <c r="R260" s="4"/>
      <c r="W260" s="4"/>
      <c r="AB260" s="4"/>
      <c r="AG260" s="4"/>
      <c r="AL260" s="4"/>
      <c r="AQ260" s="4"/>
      <c r="AV260" s="4"/>
      <c r="BA260" s="4"/>
    </row>
    <row r="261" spans="8:53" s="1" customFormat="1" ht="53.45" customHeight="1">
      <c r="H261" s="4"/>
      <c r="M261" s="4"/>
      <c r="R261" s="4"/>
      <c r="W261" s="4"/>
      <c r="AB261" s="4"/>
      <c r="AG261" s="4"/>
      <c r="AL261" s="4"/>
      <c r="AQ261" s="4"/>
      <c r="AV261" s="4"/>
      <c r="BA261" s="4"/>
    </row>
    <row r="262" spans="8:53" s="1" customFormat="1" ht="53.45" customHeight="1">
      <c r="H262" s="4"/>
      <c r="M262" s="4"/>
      <c r="R262" s="4"/>
      <c r="W262" s="4"/>
      <c r="AB262" s="4"/>
      <c r="AG262" s="4"/>
      <c r="AL262" s="4"/>
      <c r="AQ262" s="4"/>
      <c r="AV262" s="4"/>
      <c r="BA262" s="4"/>
    </row>
    <row r="263" spans="8:53" s="1" customFormat="1" ht="53.45" customHeight="1">
      <c r="H263" s="4"/>
      <c r="M263" s="4"/>
      <c r="R263" s="4"/>
      <c r="W263" s="4"/>
      <c r="AB263" s="4"/>
      <c r="AG263" s="4"/>
      <c r="AL263" s="4"/>
      <c r="AQ263" s="4"/>
      <c r="AV263" s="4"/>
      <c r="BA263" s="4"/>
    </row>
    <row r="264" spans="8:53" s="1" customFormat="1" ht="53.45" customHeight="1">
      <c r="H264" s="4"/>
      <c r="M264" s="4"/>
      <c r="R264" s="4"/>
      <c r="W264" s="4"/>
      <c r="AB264" s="4"/>
      <c r="AG264" s="4"/>
      <c r="AL264" s="4"/>
      <c r="AQ264" s="4"/>
      <c r="AV264" s="4"/>
      <c r="BA264" s="4"/>
    </row>
    <row r="265" spans="8:53" s="1" customFormat="1" ht="53.45" customHeight="1">
      <c r="H265" s="4"/>
      <c r="M265" s="4"/>
      <c r="R265" s="4"/>
      <c r="W265" s="4"/>
      <c r="AB265" s="4"/>
      <c r="AG265" s="4"/>
      <c r="AL265" s="4"/>
      <c r="AQ265" s="4"/>
      <c r="AV265" s="4"/>
      <c r="BA265" s="4"/>
    </row>
    <row r="266" spans="8:53" s="1" customFormat="1" ht="53.45" customHeight="1">
      <c r="H266" s="4"/>
      <c r="M266" s="4"/>
      <c r="R266" s="4"/>
      <c r="W266" s="4"/>
      <c r="AB266" s="4"/>
      <c r="AG266" s="4"/>
      <c r="AL266" s="4"/>
      <c r="AQ266" s="4"/>
      <c r="AV266" s="4"/>
      <c r="BA266" s="4"/>
    </row>
    <row r="267" spans="8:53" s="1" customFormat="1" ht="53.45" customHeight="1">
      <c r="H267" s="4"/>
      <c r="M267" s="4"/>
      <c r="R267" s="4"/>
      <c r="W267" s="4"/>
      <c r="AB267" s="4"/>
      <c r="AG267" s="4"/>
      <c r="AL267" s="4"/>
      <c r="AQ267" s="4"/>
      <c r="AV267" s="4"/>
      <c r="BA267" s="4"/>
    </row>
    <row r="268" spans="8:53" s="1" customFormat="1" ht="53.45" customHeight="1">
      <c r="H268" s="4"/>
      <c r="M268" s="4"/>
      <c r="R268" s="4"/>
      <c r="W268" s="4"/>
      <c r="AB268" s="4"/>
      <c r="AG268" s="4"/>
      <c r="AL268" s="4"/>
      <c r="AQ268" s="4"/>
      <c r="AV268" s="4"/>
      <c r="BA268" s="4"/>
    </row>
    <row r="269" spans="8:53" s="1" customFormat="1" ht="53.45" customHeight="1">
      <c r="H269" s="4"/>
      <c r="M269" s="4"/>
      <c r="R269" s="4"/>
      <c r="W269" s="4"/>
      <c r="AB269" s="4"/>
      <c r="AG269" s="4"/>
      <c r="AL269" s="4"/>
      <c r="AQ269" s="4"/>
      <c r="AV269" s="4"/>
      <c r="BA269" s="4"/>
    </row>
    <row r="270" spans="8:53" s="1" customFormat="1" ht="53.45" customHeight="1">
      <c r="H270" s="4"/>
      <c r="M270" s="4"/>
      <c r="R270" s="4"/>
      <c r="W270" s="4"/>
      <c r="AB270" s="4"/>
      <c r="AG270" s="4"/>
      <c r="AL270" s="4"/>
      <c r="AQ270" s="4"/>
      <c r="AV270" s="4"/>
      <c r="BA270" s="4"/>
    </row>
    <row r="271" spans="8:53" s="1" customFormat="1" ht="53.45" customHeight="1">
      <c r="H271" s="4"/>
      <c r="M271" s="4"/>
      <c r="R271" s="4"/>
      <c r="W271" s="4"/>
      <c r="AB271" s="4"/>
      <c r="AG271" s="4"/>
      <c r="AL271" s="4"/>
      <c r="AQ271" s="4"/>
      <c r="AV271" s="4"/>
      <c r="BA271" s="4"/>
    </row>
    <row r="272" spans="8:53" s="1" customFormat="1" ht="53.45" customHeight="1">
      <c r="H272" s="4"/>
      <c r="M272" s="4"/>
      <c r="R272" s="4"/>
      <c r="W272" s="4"/>
      <c r="AB272" s="4"/>
      <c r="AG272" s="4"/>
      <c r="AL272" s="4"/>
      <c r="AQ272" s="4"/>
      <c r="AV272" s="4"/>
      <c r="BA272" s="4"/>
    </row>
    <row r="273" spans="8:53" s="1" customFormat="1" ht="53.45" customHeight="1">
      <c r="H273" s="4"/>
      <c r="M273" s="4"/>
      <c r="R273" s="4"/>
      <c r="W273" s="4"/>
      <c r="AB273" s="4"/>
      <c r="AG273" s="4"/>
      <c r="AL273" s="4"/>
      <c r="AQ273" s="4"/>
      <c r="AV273" s="4"/>
      <c r="BA273" s="4"/>
    </row>
    <row r="274" spans="8:53" s="1" customFormat="1" ht="53.45" customHeight="1">
      <c r="H274" s="4"/>
      <c r="M274" s="4"/>
      <c r="R274" s="4"/>
      <c r="W274" s="4"/>
      <c r="AB274" s="4"/>
      <c r="AG274" s="4"/>
      <c r="AL274" s="4"/>
      <c r="AQ274" s="4"/>
      <c r="AV274" s="4"/>
      <c r="BA274" s="4"/>
    </row>
    <row r="275" spans="8:53" s="1" customFormat="1" ht="53.45" customHeight="1">
      <c r="H275" s="4"/>
      <c r="M275" s="4"/>
      <c r="R275" s="4"/>
      <c r="W275" s="4"/>
      <c r="AB275" s="4"/>
      <c r="AG275" s="4"/>
      <c r="AL275" s="4"/>
      <c r="AQ275" s="4"/>
      <c r="AV275" s="4"/>
      <c r="BA275" s="4"/>
    </row>
    <row r="276" spans="8:53" s="1" customFormat="1" ht="53.45" customHeight="1">
      <c r="H276" s="4"/>
      <c r="M276" s="4"/>
      <c r="R276" s="4"/>
      <c r="W276" s="4"/>
      <c r="AB276" s="4"/>
      <c r="AG276" s="4"/>
      <c r="AL276" s="4"/>
      <c r="AQ276" s="4"/>
      <c r="AV276" s="4"/>
      <c r="BA276" s="4"/>
    </row>
    <row r="277" spans="8:53" s="1" customFormat="1" ht="53.45" customHeight="1">
      <c r="H277" s="4"/>
      <c r="M277" s="4"/>
      <c r="R277" s="4"/>
      <c r="W277" s="4"/>
      <c r="AB277" s="4"/>
      <c r="AG277" s="4"/>
      <c r="AL277" s="4"/>
      <c r="AQ277" s="4"/>
      <c r="AV277" s="4"/>
      <c r="BA277" s="4"/>
    </row>
    <row r="278" spans="8:53" s="1" customFormat="1" ht="53.45" customHeight="1">
      <c r="H278" s="4"/>
      <c r="M278" s="4"/>
      <c r="R278" s="4"/>
      <c r="W278" s="4"/>
      <c r="AB278" s="4"/>
      <c r="AG278" s="4"/>
      <c r="AL278" s="4"/>
      <c r="AQ278" s="4"/>
      <c r="AV278" s="4"/>
      <c r="BA278" s="4"/>
    </row>
    <row r="279" spans="8:53" s="1" customFormat="1" ht="53.45" customHeight="1">
      <c r="H279" s="4"/>
      <c r="M279" s="4"/>
      <c r="R279" s="4"/>
      <c r="W279" s="4"/>
      <c r="AB279" s="4"/>
      <c r="AG279" s="4"/>
      <c r="AL279" s="4"/>
      <c r="AQ279" s="4"/>
      <c r="AV279" s="4"/>
      <c r="BA279" s="4"/>
    </row>
    <row r="280" spans="8:53" s="1" customFormat="1" ht="53.45" customHeight="1">
      <c r="H280" s="4"/>
      <c r="M280" s="4"/>
      <c r="R280" s="4"/>
      <c r="W280" s="4"/>
      <c r="AB280" s="4"/>
      <c r="AG280" s="4"/>
      <c r="AL280" s="4"/>
      <c r="AQ280" s="4"/>
      <c r="AV280" s="4"/>
      <c r="BA280" s="4"/>
    </row>
    <row r="281" spans="8:53" s="1" customFormat="1" ht="53.45" customHeight="1">
      <c r="H281" s="4"/>
      <c r="M281" s="4"/>
      <c r="R281" s="4"/>
      <c r="W281" s="4"/>
      <c r="AB281" s="4"/>
      <c r="AG281" s="4"/>
      <c r="AL281" s="4"/>
      <c r="AQ281" s="4"/>
      <c r="AV281" s="4"/>
      <c r="BA281" s="4"/>
    </row>
    <row r="282" spans="8:53" s="1" customFormat="1" ht="53.45" customHeight="1">
      <c r="H282" s="4"/>
      <c r="M282" s="4"/>
      <c r="R282" s="4"/>
      <c r="W282" s="4"/>
      <c r="AB282" s="4"/>
      <c r="AG282" s="4"/>
      <c r="AL282" s="4"/>
      <c r="AQ282" s="4"/>
      <c r="AV282" s="4"/>
      <c r="BA282" s="4"/>
    </row>
    <row r="283" spans="8:53" s="1" customFormat="1" ht="53.45" customHeight="1">
      <c r="H283" s="4"/>
      <c r="M283" s="4"/>
      <c r="R283" s="4"/>
      <c r="W283" s="4"/>
      <c r="AB283" s="4"/>
      <c r="AG283" s="4"/>
      <c r="AL283" s="4"/>
      <c r="AQ283" s="4"/>
      <c r="AV283" s="4"/>
      <c r="BA283" s="4"/>
    </row>
    <row r="284" spans="8:53" s="1" customFormat="1" ht="53.45" customHeight="1">
      <c r="H284" s="4"/>
      <c r="M284" s="4"/>
      <c r="R284" s="4"/>
      <c r="W284" s="4"/>
      <c r="AB284" s="4"/>
      <c r="AG284" s="4"/>
      <c r="AL284" s="4"/>
      <c r="AQ284" s="4"/>
      <c r="AV284" s="4"/>
      <c r="BA284" s="4"/>
    </row>
    <row r="285" spans="8:53" s="1" customFormat="1" ht="53.45" customHeight="1">
      <c r="H285" s="4"/>
      <c r="M285" s="4"/>
      <c r="R285" s="4"/>
      <c r="W285" s="4"/>
      <c r="AB285" s="4"/>
      <c r="AG285" s="4"/>
      <c r="AL285" s="4"/>
      <c r="AQ285" s="4"/>
      <c r="AV285" s="4"/>
      <c r="BA285" s="4"/>
    </row>
    <row r="286" spans="8:53" s="1" customFormat="1" ht="53.45" customHeight="1">
      <c r="H286" s="4"/>
      <c r="M286" s="4"/>
      <c r="R286" s="4"/>
      <c r="W286" s="4"/>
      <c r="AB286" s="4"/>
      <c r="AG286" s="4"/>
      <c r="AL286" s="4"/>
      <c r="AQ286" s="4"/>
      <c r="AV286" s="4"/>
      <c r="BA286" s="4"/>
    </row>
    <row r="287" spans="8:53" s="1" customFormat="1" ht="53.45" customHeight="1">
      <c r="H287" s="4"/>
      <c r="M287" s="4"/>
      <c r="R287" s="4"/>
      <c r="W287" s="4"/>
      <c r="AB287" s="4"/>
      <c r="AG287" s="4"/>
      <c r="AL287" s="4"/>
      <c r="AQ287" s="4"/>
      <c r="AV287" s="4"/>
      <c r="BA287" s="4"/>
    </row>
    <row r="288" spans="8:53" s="1" customFormat="1" ht="53.45" customHeight="1">
      <c r="H288" s="4"/>
      <c r="M288" s="4"/>
      <c r="R288" s="4"/>
      <c r="W288" s="4"/>
      <c r="AB288" s="4"/>
      <c r="AG288" s="4"/>
      <c r="AL288" s="4"/>
      <c r="AQ288" s="4"/>
      <c r="AV288" s="4"/>
      <c r="BA288" s="4"/>
    </row>
    <row r="289" spans="8:53" s="1" customFormat="1" ht="53.45" customHeight="1">
      <c r="H289" s="4"/>
      <c r="M289" s="4"/>
      <c r="R289" s="4"/>
      <c r="W289" s="4"/>
      <c r="AB289" s="4"/>
      <c r="AG289" s="4"/>
      <c r="AL289" s="4"/>
      <c r="AQ289" s="4"/>
      <c r="AV289" s="4"/>
      <c r="BA289" s="4"/>
    </row>
    <row r="290" spans="8:53" s="1" customFormat="1" ht="53.45" customHeight="1">
      <c r="H290" s="4"/>
      <c r="M290" s="4"/>
      <c r="R290" s="4"/>
      <c r="W290" s="4"/>
      <c r="AB290" s="4"/>
      <c r="AG290" s="4"/>
      <c r="AL290" s="4"/>
      <c r="AQ290" s="4"/>
      <c r="AV290" s="4"/>
      <c r="BA290" s="4"/>
    </row>
    <row r="291" spans="8:53" s="1" customFormat="1" ht="53.45" customHeight="1">
      <c r="H291" s="4"/>
      <c r="M291" s="4"/>
      <c r="R291" s="4"/>
      <c r="W291" s="4"/>
      <c r="AB291" s="4"/>
      <c r="AG291" s="4"/>
      <c r="AL291" s="4"/>
      <c r="AQ291" s="4"/>
      <c r="AV291" s="4"/>
      <c r="BA291" s="4"/>
    </row>
    <row r="292" spans="8:53" s="1" customFormat="1" ht="53.45" customHeight="1">
      <c r="H292" s="4"/>
      <c r="M292" s="4"/>
      <c r="R292" s="4"/>
      <c r="W292" s="4"/>
      <c r="AB292" s="4"/>
      <c r="AG292" s="4"/>
      <c r="AL292" s="4"/>
      <c r="AQ292" s="4"/>
      <c r="AV292" s="4"/>
      <c r="BA292" s="4"/>
    </row>
    <row r="293" spans="8:53" s="1" customFormat="1" ht="53.45" customHeight="1">
      <c r="H293" s="4"/>
      <c r="M293" s="4"/>
      <c r="R293" s="4"/>
      <c r="W293" s="4"/>
      <c r="AB293" s="4"/>
      <c r="AG293" s="4"/>
      <c r="AL293" s="4"/>
      <c r="AQ293" s="4"/>
      <c r="AV293" s="4"/>
      <c r="BA293" s="4"/>
    </row>
    <row r="294" spans="8:53" s="1" customFormat="1" ht="53.45" customHeight="1">
      <c r="H294" s="4"/>
      <c r="M294" s="4"/>
      <c r="R294" s="4"/>
      <c r="W294" s="4"/>
      <c r="AB294" s="4"/>
      <c r="AG294" s="4"/>
      <c r="AL294" s="4"/>
      <c r="AQ294" s="4"/>
      <c r="AV294" s="4"/>
      <c r="BA294" s="4"/>
    </row>
    <row r="295" spans="8:53" s="1" customFormat="1" ht="53.45" customHeight="1">
      <c r="H295" s="4"/>
      <c r="M295" s="4"/>
      <c r="R295" s="4"/>
      <c r="W295" s="4"/>
      <c r="AB295" s="4"/>
      <c r="AG295" s="4"/>
      <c r="AL295" s="4"/>
      <c r="AQ295" s="4"/>
      <c r="AV295" s="4"/>
      <c r="BA295" s="4"/>
    </row>
    <row r="296" spans="8:53" s="1" customFormat="1" ht="53.45" customHeight="1">
      <c r="H296" s="4"/>
      <c r="M296" s="4"/>
      <c r="R296" s="4"/>
      <c r="W296" s="4"/>
      <c r="AB296" s="4"/>
      <c r="AG296" s="4"/>
      <c r="AL296" s="4"/>
      <c r="AQ296" s="4"/>
      <c r="AV296" s="4"/>
      <c r="BA296" s="4"/>
    </row>
    <row r="297" spans="8:53" s="1" customFormat="1" ht="53.45" customHeight="1">
      <c r="H297" s="4"/>
      <c r="M297" s="4"/>
      <c r="R297" s="4"/>
      <c r="W297" s="4"/>
      <c r="AB297" s="4"/>
      <c r="AG297" s="4"/>
      <c r="AL297" s="4"/>
      <c r="AQ297" s="4"/>
      <c r="AV297" s="4"/>
      <c r="BA297" s="4"/>
    </row>
    <row r="298" spans="8:53" s="1" customFormat="1" ht="53.45" customHeight="1">
      <c r="H298" s="4"/>
      <c r="M298" s="4"/>
      <c r="R298" s="4"/>
      <c r="W298" s="4"/>
      <c r="AB298" s="4"/>
      <c r="AG298" s="4"/>
      <c r="AL298" s="4"/>
      <c r="AQ298" s="4"/>
      <c r="AV298" s="4"/>
      <c r="BA298" s="4"/>
    </row>
    <row r="299" spans="8:53" s="1" customFormat="1" ht="53.45" customHeight="1">
      <c r="H299" s="4"/>
      <c r="M299" s="4"/>
      <c r="R299" s="4"/>
      <c r="W299" s="4"/>
      <c r="AB299" s="4"/>
      <c r="AG299" s="4"/>
      <c r="AL299" s="4"/>
      <c r="AQ299" s="4"/>
      <c r="AV299" s="4"/>
      <c r="BA299" s="4"/>
    </row>
    <row r="300" spans="8:53" s="1" customFormat="1" ht="53.45" customHeight="1">
      <c r="H300" s="4"/>
      <c r="M300" s="4"/>
      <c r="R300" s="4"/>
      <c r="W300" s="4"/>
      <c r="AB300" s="4"/>
      <c r="AG300" s="4"/>
      <c r="AL300" s="4"/>
      <c r="AQ300" s="4"/>
      <c r="AV300" s="4"/>
      <c r="BA300" s="4"/>
    </row>
    <row r="301" spans="8:53" s="1" customFormat="1" ht="53.45" customHeight="1">
      <c r="H301" s="4"/>
      <c r="M301" s="4"/>
      <c r="R301" s="4"/>
      <c r="W301" s="4"/>
      <c r="AB301" s="4"/>
      <c r="AG301" s="4"/>
      <c r="AL301" s="4"/>
      <c r="AQ301" s="4"/>
      <c r="AV301" s="4"/>
      <c r="BA301" s="4"/>
    </row>
    <row r="302" spans="8:53" s="1" customFormat="1" ht="53.45" customHeight="1">
      <c r="H302" s="4"/>
      <c r="M302" s="4"/>
      <c r="R302" s="4"/>
      <c r="W302" s="4"/>
      <c r="AB302" s="4"/>
      <c r="AG302" s="4"/>
      <c r="AL302" s="4"/>
      <c r="AQ302" s="4"/>
      <c r="AV302" s="4"/>
      <c r="BA302" s="4"/>
    </row>
    <row r="303" spans="8:53" s="1" customFormat="1" ht="53.45" customHeight="1">
      <c r="H303" s="4"/>
      <c r="M303" s="4"/>
      <c r="R303" s="4"/>
      <c r="W303" s="4"/>
      <c r="AB303" s="4"/>
      <c r="AG303" s="4"/>
      <c r="AL303" s="4"/>
      <c r="AQ303" s="4"/>
      <c r="AV303" s="4"/>
      <c r="BA303" s="4"/>
    </row>
    <row r="304" spans="8:53" s="1" customFormat="1" ht="53.45" customHeight="1">
      <c r="H304" s="4"/>
      <c r="M304" s="4"/>
      <c r="R304" s="4"/>
      <c r="W304" s="4"/>
      <c r="AB304" s="4"/>
      <c r="AG304" s="4"/>
      <c r="AL304" s="4"/>
      <c r="AQ304" s="4"/>
      <c r="AV304" s="4"/>
      <c r="BA304" s="4"/>
    </row>
    <row r="305" spans="8:53" s="1" customFormat="1" ht="53.45" customHeight="1">
      <c r="H305" s="4"/>
      <c r="M305" s="4"/>
      <c r="R305" s="4"/>
      <c r="W305" s="4"/>
      <c r="AB305" s="4"/>
      <c r="AG305" s="4"/>
      <c r="AL305" s="4"/>
      <c r="AQ305" s="4"/>
      <c r="AV305" s="4"/>
      <c r="BA305" s="4"/>
    </row>
    <row r="306" spans="8:53" s="1" customFormat="1" ht="53.45" customHeight="1">
      <c r="H306" s="4"/>
      <c r="M306" s="4"/>
      <c r="R306" s="4"/>
      <c r="W306" s="4"/>
      <c r="AB306" s="4"/>
      <c r="AG306" s="4"/>
      <c r="AL306" s="4"/>
      <c r="AQ306" s="4"/>
      <c r="AV306" s="4"/>
      <c r="BA306" s="4"/>
    </row>
    <row r="307" spans="8:53" s="1" customFormat="1" ht="53.45" customHeight="1">
      <c r="H307" s="4"/>
      <c r="M307" s="4"/>
      <c r="R307" s="4"/>
      <c r="W307" s="4"/>
      <c r="AB307" s="4"/>
      <c r="AG307" s="4"/>
      <c r="AL307" s="4"/>
      <c r="AQ307" s="4"/>
      <c r="AV307" s="4"/>
      <c r="BA307" s="4"/>
    </row>
    <row r="308" spans="8:53" s="1" customFormat="1" ht="53.45" customHeight="1">
      <c r="H308" s="4"/>
      <c r="M308" s="4"/>
      <c r="R308" s="4"/>
      <c r="W308" s="4"/>
      <c r="AB308" s="4"/>
      <c r="AG308" s="4"/>
      <c r="AL308" s="4"/>
      <c r="AQ308" s="4"/>
      <c r="AV308" s="4"/>
      <c r="BA308" s="4"/>
    </row>
    <row r="309" spans="8:53" s="1" customFormat="1" ht="53.45" customHeight="1">
      <c r="H309" s="4"/>
      <c r="M309" s="4"/>
      <c r="R309" s="4"/>
      <c r="W309" s="4"/>
      <c r="AB309" s="4"/>
      <c r="AG309" s="4"/>
      <c r="AL309" s="4"/>
      <c r="AQ309" s="4"/>
      <c r="AV309" s="4"/>
      <c r="BA309" s="4"/>
    </row>
    <row r="310" spans="8:53" s="1" customFormat="1" ht="53.45" customHeight="1">
      <c r="H310" s="4"/>
      <c r="M310" s="4"/>
      <c r="R310" s="4"/>
      <c r="W310" s="4"/>
      <c r="AB310" s="4"/>
      <c r="AG310" s="4"/>
      <c r="AL310" s="4"/>
      <c r="AQ310" s="4"/>
      <c r="AV310" s="4"/>
      <c r="BA310" s="4"/>
    </row>
    <row r="311" spans="8:53" s="1" customFormat="1" ht="53.45" customHeight="1">
      <c r="H311" s="4"/>
      <c r="M311" s="4"/>
      <c r="R311" s="4"/>
      <c r="W311" s="4"/>
      <c r="AB311" s="4"/>
      <c r="AG311" s="4"/>
      <c r="AL311" s="4"/>
      <c r="AQ311" s="4"/>
      <c r="AV311" s="4"/>
      <c r="BA311" s="4"/>
    </row>
    <row r="312" spans="8:53" s="1" customFormat="1" ht="53.45" customHeight="1">
      <c r="H312" s="4"/>
      <c r="M312" s="4"/>
      <c r="R312" s="4"/>
      <c r="W312" s="4"/>
      <c r="AB312" s="4"/>
      <c r="AG312" s="4"/>
      <c r="AL312" s="4"/>
      <c r="AQ312" s="4"/>
      <c r="AV312" s="4"/>
      <c r="BA312" s="4"/>
    </row>
    <row r="313" spans="8:53" s="1" customFormat="1" ht="53.45" customHeight="1">
      <c r="H313" s="4"/>
      <c r="M313" s="4"/>
      <c r="R313" s="4"/>
      <c r="W313" s="4"/>
      <c r="AB313" s="4"/>
      <c r="AG313" s="4"/>
      <c r="AL313" s="4"/>
      <c r="AQ313" s="4"/>
      <c r="AV313" s="4"/>
      <c r="BA313" s="4"/>
    </row>
    <row r="314" spans="8:53" s="1" customFormat="1" ht="53.45" customHeight="1">
      <c r="H314" s="4"/>
      <c r="M314" s="4"/>
      <c r="R314" s="4"/>
      <c r="W314" s="4"/>
      <c r="AB314" s="4"/>
      <c r="AG314" s="4"/>
      <c r="AL314" s="4"/>
      <c r="AQ314" s="4"/>
      <c r="AV314" s="4"/>
      <c r="BA314" s="4"/>
    </row>
    <row r="315" spans="8:53" s="1" customFormat="1" ht="53.45" customHeight="1">
      <c r="H315" s="4"/>
      <c r="M315" s="4"/>
      <c r="R315" s="4"/>
      <c r="W315" s="4"/>
      <c r="AB315" s="4"/>
      <c r="AG315" s="4"/>
      <c r="AL315" s="4"/>
      <c r="AQ315" s="4"/>
      <c r="AV315" s="4"/>
      <c r="BA315" s="4"/>
    </row>
    <row r="316" spans="8:53" s="1" customFormat="1" ht="53.45" customHeight="1">
      <c r="H316" s="4"/>
      <c r="M316" s="4"/>
      <c r="R316" s="4"/>
      <c r="W316" s="4"/>
      <c r="AB316" s="4"/>
      <c r="AG316" s="4"/>
      <c r="AL316" s="4"/>
      <c r="AQ316" s="4"/>
      <c r="AV316" s="4"/>
      <c r="BA316" s="4"/>
    </row>
    <row r="317" spans="8:53" s="1" customFormat="1" ht="53.45" customHeight="1">
      <c r="H317" s="4"/>
      <c r="M317" s="4"/>
      <c r="R317" s="4"/>
      <c r="W317" s="4"/>
      <c r="AB317" s="4"/>
      <c r="AG317" s="4"/>
      <c r="AL317" s="4"/>
      <c r="AQ317" s="4"/>
      <c r="AV317" s="4"/>
      <c r="BA317" s="4"/>
    </row>
    <row r="318" spans="8:53" s="1" customFormat="1" ht="53.45" customHeight="1">
      <c r="H318" s="4"/>
      <c r="M318" s="4"/>
      <c r="R318" s="4"/>
      <c r="W318" s="4"/>
      <c r="AB318" s="4"/>
      <c r="AG318" s="4"/>
      <c r="AL318" s="4"/>
      <c r="AQ318" s="4"/>
      <c r="AV318" s="4"/>
      <c r="BA318" s="4"/>
    </row>
    <row r="319" spans="8:53" s="1" customFormat="1" ht="53.45" customHeight="1">
      <c r="H319" s="4"/>
      <c r="M319" s="4"/>
      <c r="R319" s="4"/>
      <c r="W319" s="4"/>
      <c r="AB319" s="4"/>
      <c r="AG319" s="4"/>
      <c r="AL319" s="4"/>
      <c r="AQ319" s="4"/>
      <c r="AV319" s="4"/>
      <c r="BA319" s="4"/>
    </row>
    <row r="320" spans="8:53" s="1" customFormat="1" ht="53.45" customHeight="1">
      <c r="H320" s="4"/>
      <c r="M320" s="4"/>
      <c r="R320" s="4"/>
      <c r="W320" s="4"/>
      <c r="AB320" s="4"/>
      <c r="AG320" s="4"/>
      <c r="AL320" s="4"/>
      <c r="AQ320" s="4"/>
      <c r="AV320" s="4"/>
      <c r="BA320" s="4"/>
    </row>
    <row r="321" spans="8:53" s="1" customFormat="1" ht="53.45" customHeight="1">
      <c r="H321" s="4"/>
      <c r="M321" s="4"/>
      <c r="R321" s="4"/>
      <c r="W321" s="4"/>
      <c r="AB321" s="4"/>
      <c r="AG321" s="4"/>
      <c r="AL321" s="4"/>
      <c r="AQ321" s="4"/>
      <c r="AV321" s="4"/>
      <c r="BA321" s="4"/>
    </row>
    <row r="322" spans="8:53" s="1" customFormat="1" ht="53.45" customHeight="1">
      <c r="H322" s="4"/>
      <c r="M322" s="4"/>
      <c r="R322" s="4"/>
      <c r="W322" s="4"/>
      <c r="AB322" s="4"/>
      <c r="AG322" s="4"/>
      <c r="AL322" s="4"/>
      <c r="AQ322" s="4"/>
      <c r="AV322" s="4"/>
      <c r="BA322" s="4"/>
    </row>
    <row r="323" spans="8:53" s="1" customFormat="1" ht="53.45" customHeight="1">
      <c r="H323" s="4"/>
      <c r="M323" s="4"/>
      <c r="R323" s="4"/>
      <c r="W323" s="4"/>
      <c r="AB323" s="4"/>
      <c r="AG323" s="4"/>
      <c r="AL323" s="4"/>
      <c r="AQ323" s="4"/>
      <c r="AV323" s="4"/>
      <c r="BA323" s="4"/>
    </row>
    <row r="324" spans="8:53" s="1" customFormat="1" ht="53.45" customHeight="1">
      <c r="H324" s="4"/>
      <c r="M324" s="4"/>
      <c r="R324" s="4"/>
      <c r="W324" s="4"/>
      <c r="AB324" s="4"/>
      <c r="AG324" s="4"/>
      <c r="AL324" s="4"/>
      <c r="AQ324" s="4"/>
      <c r="AV324" s="4"/>
      <c r="BA324" s="4"/>
    </row>
    <row r="325" spans="8:53" s="1" customFormat="1" ht="53.45" customHeight="1">
      <c r="H325" s="4"/>
      <c r="M325" s="4"/>
      <c r="R325" s="4"/>
      <c r="W325" s="4"/>
      <c r="AB325" s="4"/>
      <c r="AG325" s="4"/>
      <c r="AL325" s="4"/>
      <c r="AQ325" s="4"/>
      <c r="AV325" s="4"/>
      <c r="BA325" s="4"/>
    </row>
    <row r="326" spans="8:53" s="1" customFormat="1" ht="53.45" customHeight="1">
      <c r="H326" s="4"/>
      <c r="M326" s="4"/>
      <c r="R326" s="4"/>
      <c r="W326" s="4"/>
      <c r="AB326" s="4"/>
      <c r="AG326" s="4"/>
      <c r="AL326" s="4"/>
      <c r="AQ326" s="4"/>
      <c r="AV326" s="4"/>
      <c r="BA326" s="4"/>
    </row>
    <row r="327" spans="8:53" s="1" customFormat="1" ht="53.45" customHeight="1">
      <c r="H327" s="4"/>
      <c r="M327" s="4"/>
      <c r="R327" s="4"/>
      <c r="W327" s="4"/>
      <c r="AB327" s="4"/>
      <c r="AG327" s="4"/>
      <c r="AL327" s="4"/>
      <c r="AQ327" s="4"/>
      <c r="AV327" s="4"/>
      <c r="BA327" s="4"/>
    </row>
    <row r="328" spans="8:53" s="1" customFormat="1" ht="53.45" customHeight="1">
      <c r="H328" s="4"/>
      <c r="M328" s="4"/>
      <c r="R328" s="4"/>
      <c r="W328" s="4"/>
      <c r="AB328" s="4"/>
      <c r="AG328" s="4"/>
      <c r="AL328" s="4"/>
      <c r="AQ328" s="4"/>
      <c r="AV328" s="4"/>
      <c r="BA328" s="4"/>
    </row>
    <row r="329" spans="8:53" s="1" customFormat="1" ht="53.45" customHeight="1">
      <c r="H329" s="4"/>
      <c r="M329" s="4"/>
      <c r="R329" s="4"/>
      <c r="W329" s="4"/>
      <c r="AB329" s="4"/>
      <c r="AG329" s="4"/>
      <c r="AL329" s="4"/>
      <c r="AQ329" s="4"/>
      <c r="AV329" s="4"/>
      <c r="BA329" s="4"/>
    </row>
    <row r="330" spans="8:53" s="1" customFormat="1" ht="53.45" customHeight="1">
      <c r="H330" s="4"/>
      <c r="M330" s="4"/>
      <c r="R330" s="4"/>
      <c r="W330" s="4"/>
      <c r="AB330" s="4"/>
      <c r="AG330" s="4"/>
      <c r="AL330" s="4"/>
      <c r="AQ330" s="4"/>
      <c r="AV330" s="4"/>
      <c r="BA330" s="4"/>
    </row>
    <row r="331" spans="8:53" s="1" customFormat="1" ht="53.45" customHeight="1">
      <c r="H331" s="4"/>
      <c r="M331" s="4"/>
      <c r="R331" s="4"/>
      <c r="W331" s="4"/>
      <c r="AB331" s="4"/>
      <c r="AG331" s="4"/>
      <c r="AL331" s="4"/>
      <c r="AQ331" s="4"/>
      <c r="AV331" s="4"/>
      <c r="BA331" s="4"/>
    </row>
    <row r="332" spans="8:53" s="1" customFormat="1" ht="53.45" customHeight="1">
      <c r="H332" s="4"/>
      <c r="M332" s="4"/>
      <c r="R332" s="4"/>
      <c r="W332" s="4"/>
      <c r="AB332" s="4"/>
      <c r="AG332" s="4"/>
      <c r="AL332" s="4"/>
      <c r="AQ332" s="4"/>
      <c r="AV332" s="4"/>
      <c r="BA332" s="4"/>
    </row>
    <row r="333" spans="8:53" s="1" customFormat="1" ht="53.45" customHeight="1">
      <c r="H333" s="4"/>
      <c r="M333" s="4"/>
      <c r="R333" s="4"/>
      <c r="W333" s="4"/>
      <c r="AB333" s="4"/>
      <c r="AG333" s="4"/>
      <c r="AL333" s="4"/>
      <c r="AQ333" s="4"/>
      <c r="AV333" s="4"/>
      <c r="BA333" s="4"/>
    </row>
    <row r="334" spans="8:53" s="1" customFormat="1" ht="53.45" customHeight="1">
      <c r="H334" s="4"/>
      <c r="M334" s="4"/>
      <c r="R334" s="4"/>
      <c r="W334" s="4"/>
      <c r="AB334" s="4"/>
      <c r="AG334" s="4"/>
      <c r="AL334" s="4"/>
      <c r="AQ334" s="4"/>
      <c r="AV334" s="4"/>
      <c r="BA334" s="4"/>
    </row>
    <row r="335" spans="8:53" s="1" customFormat="1" ht="53.45" customHeight="1">
      <c r="H335" s="4"/>
      <c r="M335" s="4"/>
      <c r="R335" s="4"/>
      <c r="W335" s="4"/>
      <c r="AB335" s="4"/>
      <c r="AG335" s="4"/>
      <c r="AL335" s="4"/>
      <c r="AQ335" s="4"/>
      <c r="AV335" s="4"/>
      <c r="BA335" s="4"/>
    </row>
    <row r="336" spans="8:53" s="1" customFormat="1" ht="53.45" customHeight="1">
      <c r="H336" s="4"/>
      <c r="M336" s="4"/>
      <c r="R336" s="4"/>
      <c r="W336" s="4"/>
      <c r="AB336" s="4"/>
      <c r="AG336" s="4"/>
      <c r="AL336" s="4"/>
      <c r="AQ336" s="4"/>
      <c r="AV336" s="4"/>
      <c r="BA336" s="4"/>
    </row>
    <row r="337" spans="8:53" s="1" customFormat="1" ht="53.45" customHeight="1">
      <c r="H337" s="4"/>
      <c r="M337" s="4"/>
      <c r="R337" s="4"/>
      <c r="W337" s="4"/>
      <c r="AB337" s="4"/>
      <c r="AG337" s="4"/>
      <c r="AL337" s="4"/>
      <c r="AQ337" s="4"/>
      <c r="AV337" s="4"/>
      <c r="BA337" s="4"/>
    </row>
    <row r="338" spans="8:53" s="1" customFormat="1" ht="53.45" customHeight="1">
      <c r="H338" s="4"/>
      <c r="M338" s="4"/>
      <c r="R338" s="4"/>
      <c r="W338" s="4"/>
      <c r="AB338" s="4"/>
      <c r="AG338" s="4"/>
      <c r="AL338" s="4"/>
      <c r="AQ338" s="4"/>
      <c r="AV338" s="4"/>
      <c r="BA338" s="4"/>
    </row>
    <row r="339" spans="8:53" s="1" customFormat="1" ht="53.45" customHeight="1">
      <c r="H339" s="4"/>
      <c r="M339" s="4"/>
      <c r="R339" s="4"/>
      <c r="W339" s="4"/>
      <c r="AB339" s="4"/>
      <c r="AG339" s="4"/>
      <c r="AL339" s="4"/>
      <c r="AQ339" s="4"/>
      <c r="AV339" s="4"/>
      <c r="BA339" s="4"/>
    </row>
    <row r="340" spans="8:53" s="1" customFormat="1" ht="53.45" customHeight="1">
      <c r="H340" s="4"/>
      <c r="M340" s="4"/>
      <c r="R340" s="4"/>
      <c r="W340" s="4"/>
      <c r="AB340" s="4"/>
      <c r="AG340" s="4"/>
      <c r="AL340" s="4"/>
      <c r="AQ340" s="4"/>
      <c r="AV340" s="4"/>
      <c r="BA340" s="4"/>
    </row>
    <row r="341" spans="8:53" s="1" customFormat="1" ht="53.45" customHeight="1">
      <c r="H341" s="4"/>
      <c r="M341" s="4"/>
      <c r="R341" s="4"/>
      <c r="W341" s="4"/>
      <c r="AB341" s="4"/>
      <c r="AG341" s="4"/>
      <c r="AL341" s="4"/>
      <c r="AQ341" s="4"/>
      <c r="AV341" s="4"/>
      <c r="BA341" s="4"/>
    </row>
    <row r="342" spans="8:53" s="1" customFormat="1" ht="53.45" customHeight="1">
      <c r="H342" s="4"/>
      <c r="M342" s="4"/>
      <c r="R342" s="4"/>
      <c r="W342" s="4"/>
      <c r="AB342" s="4"/>
      <c r="AG342" s="4"/>
      <c r="AL342" s="4"/>
      <c r="AQ342" s="4"/>
      <c r="AV342" s="4"/>
      <c r="BA342" s="4"/>
    </row>
    <row r="343" spans="8:53" s="1" customFormat="1" ht="53.45" customHeight="1">
      <c r="H343" s="4"/>
      <c r="M343" s="4"/>
      <c r="R343" s="4"/>
      <c r="W343" s="4"/>
      <c r="AB343" s="4"/>
      <c r="AG343" s="4"/>
      <c r="AL343" s="4"/>
      <c r="AQ343" s="4"/>
      <c r="AV343" s="4"/>
      <c r="BA343" s="4"/>
    </row>
    <row r="344" spans="8:53" s="1" customFormat="1" ht="53.45" customHeight="1">
      <c r="H344" s="4"/>
      <c r="M344" s="4"/>
      <c r="R344" s="4"/>
      <c r="W344" s="4"/>
      <c r="AB344" s="4"/>
      <c r="AG344" s="4"/>
      <c r="AL344" s="4"/>
      <c r="AQ344" s="4"/>
      <c r="AV344" s="4"/>
      <c r="BA344" s="4"/>
    </row>
    <row r="345" spans="8:53" s="1" customFormat="1" ht="53.45" customHeight="1">
      <c r="H345" s="4"/>
      <c r="M345" s="4"/>
      <c r="R345" s="4"/>
      <c r="W345" s="4"/>
      <c r="AB345" s="4"/>
      <c r="AG345" s="4"/>
      <c r="AL345" s="4"/>
      <c r="AQ345" s="4"/>
      <c r="AV345" s="4"/>
      <c r="BA345" s="4"/>
    </row>
    <row r="346" spans="8:53" s="1" customFormat="1" ht="53.45" customHeight="1">
      <c r="H346" s="4"/>
      <c r="M346" s="4"/>
      <c r="R346" s="4"/>
      <c r="W346" s="4"/>
      <c r="AB346" s="4"/>
      <c r="AG346" s="4"/>
      <c r="AL346" s="4"/>
      <c r="AQ346" s="4"/>
      <c r="AV346" s="4"/>
      <c r="BA346" s="4"/>
    </row>
    <row r="347" spans="8:53" s="1" customFormat="1" ht="53.45" customHeight="1">
      <c r="H347" s="4"/>
      <c r="M347" s="4"/>
      <c r="R347" s="4"/>
      <c r="W347" s="4"/>
      <c r="AB347" s="4"/>
      <c r="AG347" s="4"/>
      <c r="AL347" s="4"/>
      <c r="AQ347" s="4"/>
      <c r="AV347" s="4"/>
      <c r="BA347" s="4"/>
    </row>
    <row r="348" spans="8:53" s="1" customFormat="1" ht="53.45" customHeight="1">
      <c r="H348" s="4"/>
      <c r="M348" s="4"/>
      <c r="R348" s="4"/>
      <c r="W348" s="4"/>
      <c r="AB348" s="4"/>
      <c r="AG348" s="4"/>
      <c r="AL348" s="4"/>
      <c r="AQ348" s="4"/>
      <c r="AV348" s="4"/>
      <c r="BA348" s="4"/>
    </row>
    <row r="349" spans="8:53" s="1" customFormat="1" ht="53.45" customHeight="1">
      <c r="H349" s="4"/>
      <c r="M349" s="4"/>
      <c r="R349" s="4"/>
      <c r="W349" s="4"/>
      <c r="AB349" s="4"/>
      <c r="AG349" s="4"/>
      <c r="AL349" s="4"/>
      <c r="AQ349" s="4"/>
      <c r="AV349" s="4"/>
      <c r="BA349" s="4"/>
    </row>
    <row r="350" spans="8:53" s="1" customFormat="1" ht="53.45" customHeight="1">
      <c r="H350" s="4"/>
      <c r="M350" s="4"/>
      <c r="R350" s="4"/>
      <c r="W350" s="4"/>
      <c r="AB350" s="4"/>
      <c r="AG350" s="4"/>
      <c r="AL350" s="4"/>
      <c r="AQ350" s="4"/>
      <c r="AV350" s="4"/>
      <c r="BA350" s="4"/>
    </row>
    <row r="351" spans="8:53" s="1" customFormat="1" ht="53.45" customHeight="1">
      <c r="H351" s="4"/>
      <c r="M351" s="4"/>
      <c r="R351" s="4"/>
      <c r="W351" s="4"/>
      <c r="AB351" s="4"/>
      <c r="AG351" s="4"/>
      <c r="AL351" s="4"/>
      <c r="AQ351" s="4"/>
      <c r="AV351" s="4"/>
      <c r="BA351" s="4"/>
    </row>
    <row r="352" spans="8:53" s="1" customFormat="1" ht="53.45" customHeight="1">
      <c r="H352" s="4"/>
      <c r="M352" s="4"/>
      <c r="R352" s="4"/>
      <c r="W352" s="4"/>
      <c r="AB352" s="4"/>
      <c r="AG352" s="4"/>
      <c r="AL352" s="4"/>
      <c r="AQ352" s="4"/>
      <c r="AV352" s="4"/>
      <c r="BA352" s="4"/>
    </row>
    <row r="353" spans="8:53" s="1" customFormat="1" ht="53.45" customHeight="1">
      <c r="H353" s="4"/>
      <c r="M353" s="4"/>
      <c r="R353" s="4"/>
      <c r="W353" s="4"/>
      <c r="AB353" s="4"/>
      <c r="AG353" s="4"/>
      <c r="AL353" s="4"/>
      <c r="AQ353" s="4"/>
      <c r="AV353" s="4"/>
      <c r="BA353" s="4"/>
    </row>
    <row r="354" spans="8:53" s="1" customFormat="1" ht="53.45" customHeight="1">
      <c r="H354" s="4"/>
      <c r="M354" s="4"/>
      <c r="R354" s="4"/>
      <c r="W354" s="4"/>
      <c r="AB354" s="4"/>
      <c r="AG354" s="4"/>
      <c r="AL354" s="4"/>
      <c r="AQ354" s="4"/>
      <c r="AV354" s="4"/>
      <c r="BA354" s="4"/>
    </row>
    <row r="355" spans="8:53" s="1" customFormat="1" ht="53.45" customHeight="1">
      <c r="H355" s="4"/>
      <c r="M355" s="4"/>
      <c r="R355" s="4"/>
      <c r="W355" s="4"/>
      <c r="AB355" s="4"/>
      <c r="AG355" s="4"/>
      <c r="AL355" s="4"/>
      <c r="AQ355" s="4"/>
      <c r="AV355" s="4"/>
      <c r="BA355" s="4"/>
    </row>
    <row r="356" spans="8:53" s="1" customFormat="1" ht="53.45" customHeight="1">
      <c r="H356" s="4"/>
      <c r="M356" s="4"/>
      <c r="R356" s="4"/>
      <c r="W356" s="4"/>
      <c r="AB356" s="4"/>
      <c r="AG356" s="4"/>
      <c r="AL356" s="4"/>
      <c r="AQ356" s="4"/>
      <c r="AV356" s="4"/>
      <c r="BA356" s="4"/>
    </row>
    <row r="357" spans="8:53" s="1" customFormat="1" ht="53.45" customHeight="1">
      <c r="H357" s="4"/>
      <c r="M357" s="4"/>
      <c r="R357" s="4"/>
      <c r="W357" s="4"/>
      <c r="AB357" s="4"/>
      <c r="AG357" s="4"/>
      <c r="AL357" s="4"/>
      <c r="AQ357" s="4"/>
      <c r="AV357" s="4"/>
      <c r="BA357" s="4"/>
    </row>
    <row r="358" spans="8:53" s="1" customFormat="1" ht="53.45" customHeight="1">
      <c r="H358" s="4"/>
      <c r="M358" s="4"/>
      <c r="R358" s="4"/>
      <c r="W358" s="4"/>
      <c r="AB358" s="4"/>
      <c r="AG358" s="4"/>
      <c r="AL358" s="4"/>
      <c r="AQ358" s="4"/>
      <c r="AV358" s="4"/>
      <c r="BA358" s="4"/>
    </row>
    <row r="359" spans="8:53" s="1" customFormat="1" ht="53.45" customHeight="1">
      <c r="H359" s="4"/>
      <c r="M359" s="4"/>
      <c r="R359" s="4"/>
      <c r="W359" s="4"/>
      <c r="AB359" s="4"/>
      <c r="AG359" s="4"/>
      <c r="AL359" s="4"/>
      <c r="AQ359" s="4"/>
      <c r="AV359" s="4"/>
      <c r="BA359" s="4"/>
    </row>
    <row r="360" spans="8:53" s="1" customFormat="1" ht="53.45" customHeight="1">
      <c r="H360" s="4"/>
      <c r="M360" s="4"/>
      <c r="R360" s="4"/>
      <c r="W360" s="4"/>
      <c r="AB360" s="4"/>
      <c r="AG360" s="4"/>
      <c r="AL360" s="4"/>
      <c r="AQ360" s="4"/>
      <c r="AV360" s="4"/>
      <c r="BA360" s="4"/>
    </row>
    <row r="361" spans="8:53" s="1" customFormat="1" ht="53.45" customHeight="1">
      <c r="H361" s="4"/>
      <c r="M361" s="4"/>
      <c r="R361" s="4"/>
      <c r="W361" s="4"/>
      <c r="AB361" s="4"/>
      <c r="AG361" s="4"/>
      <c r="AL361" s="4"/>
      <c r="AQ361" s="4"/>
      <c r="AV361" s="4"/>
      <c r="BA361" s="4"/>
    </row>
    <row r="362" spans="8:53" s="1" customFormat="1" ht="53.45" customHeight="1">
      <c r="H362" s="4"/>
      <c r="M362" s="4"/>
      <c r="R362" s="4"/>
      <c r="W362" s="4"/>
      <c r="AB362" s="4"/>
      <c r="AG362" s="4"/>
      <c r="AL362" s="4"/>
      <c r="AQ362" s="4"/>
      <c r="AV362" s="4"/>
      <c r="BA362" s="4"/>
    </row>
    <row r="363" spans="8:53" s="1" customFormat="1" ht="53.45" customHeight="1">
      <c r="H363" s="4"/>
      <c r="M363" s="4"/>
      <c r="R363" s="4"/>
      <c r="W363" s="4"/>
      <c r="AB363" s="4"/>
      <c r="AG363" s="4"/>
      <c r="AL363" s="4"/>
      <c r="AQ363" s="4"/>
      <c r="AV363" s="4"/>
      <c r="BA363" s="4"/>
    </row>
    <row r="364" spans="8:53" s="1" customFormat="1" ht="53.45" customHeight="1">
      <c r="H364" s="4"/>
      <c r="M364" s="4"/>
      <c r="R364" s="4"/>
      <c r="W364" s="4"/>
      <c r="AB364" s="4"/>
      <c r="AG364" s="4"/>
      <c r="AL364" s="4"/>
      <c r="AQ364" s="4"/>
      <c r="AV364" s="4"/>
      <c r="BA364" s="4"/>
    </row>
    <row r="365" spans="8:53" s="1" customFormat="1" ht="53.45" customHeight="1">
      <c r="H365" s="4"/>
      <c r="M365" s="4"/>
      <c r="R365" s="4"/>
      <c r="W365" s="4"/>
      <c r="AB365" s="4"/>
      <c r="AG365" s="4"/>
      <c r="AL365" s="4"/>
      <c r="AQ365" s="4"/>
      <c r="AV365" s="4"/>
      <c r="BA365" s="4"/>
    </row>
    <row r="366" spans="8:53" s="1" customFormat="1" ht="53.45" customHeight="1">
      <c r="H366" s="4"/>
      <c r="M366" s="4"/>
      <c r="R366" s="4"/>
      <c r="W366" s="4"/>
      <c r="AB366" s="4"/>
      <c r="AG366" s="4"/>
      <c r="AL366" s="4"/>
      <c r="AQ366" s="4"/>
      <c r="AV366" s="4"/>
      <c r="BA366" s="4"/>
    </row>
    <row r="367" spans="8:53" s="1" customFormat="1" ht="53.45" customHeight="1">
      <c r="H367" s="4"/>
      <c r="M367" s="4"/>
      <c r="R367" s="4"/>
      <c r="W367" s="4"/>
      <c r="AB367" s="4"/>
      <c r="AG367" s="4"/>
      <c r="AL367" s="4"/>
      <c r="AQ367" s="4"/>
      <c r="AV367" s="4"/>
      <c r="BA367" s="4"/>
    </row>
    <row r="368" spans="8:53" s="1" customFormat="1" ht="53.45" customHeight="1">
      <c r="H368" s="4"/>
      <c r="M368" s="4"/>
      <c r="R368" s="4"/>
      <c r="W368" s="4"/>
      <c r="AB368" s="4"/>
      <c r="AG368" s="4"/>
      <c r="AL368" s="4"/>
      <c r="AQ368" s="4"/>
      <c r="AV368" s="4"/>
      <c r="BA368" s="4"/>
    </row>
    <row r="369" spans="8:53" s="1" customFormat="1" ht="53.45" customHeight="1">
      <c r="H369" s="4"/>
      <c r="M369" s="4"/>
      <c r="R369" s="4"/>
      <c r="W369" s="4"/>
      <c r="AB369" s="4"/>
      <c r="AG369" s="4"/>
      <c r="AL369" s="4"/>
      <c r="AQ369" s="4"/>
      <c r="AV369" s="4"/>
      <c r="BA369" s="4"/>
    </row>
    <row r="370" spans="8:53" s="1" customFormat="1" ht="53.45" customHeight="1">
      <c r="H370" s="4"/>
      <c r="M370" s="4"/>
      <c r="R370" s="4"/>
      <c r="W370" s="4"/>
      <c r="AB370" s="4"/>
      <c r="AG370" s="4"/>
      <c r="AL370" s="4"/>
      <c r="AQ370" s="4"/>
      <c r="AV370" s="4"/>
      <c r="BA370" s="4"/>
    </row>
    <row r="371" spans="8:53" s="1" customFormat="1" ht="53.45" customHeight="1">
      <c r="H371" s="4"/>
      <c r="M371" s="4"/>
      <c r="R371" s="4"/>
      <c r="W371" s="4"/>
      <c r="AB371" s="4"/>
      <c r="AG371" s="4"/>
      <c r="AL371" s="4"/>
      <c r="AQ371" s="4"/>
      <c r="AV371" s="4"/>
      <c r="BA371" s="4"/>
    </row>
    <row r="372" spans="8:53" s="1" customFormat="1" ht="53.45" customHeight="1">
      <c r="H372" s="4"/>
      <c r="M372" s="4"/>
      <c r="R372" s="4"/>
      <c r="W372" s="4"/>
      <c r="AB372" s="4"/>
      <c r="AG372" s="4"/>
      <c r="AL372" s="4"/>
      <c r="AQ372" s="4"/>
      <c r="AV372" s="4"/>
      <c r="BA372" s="4"/>
    </row>
    <row r="373" spans="8:53" s="1" customFormat="1" ht="53.45" customHeight="1">
      <c r="H373" s="4"/>
      <c r="M373" s="4"/>
      <c r="R373" s="4"/>
      <c r="W373" s="4"/>
      <c r="AB373" s="4"/>
      <c r="AG373" s="4"/>
      <c r="AL373" s="4"/>
      <c r="AQ373" s="4"/>
      <c r="AV373" s="4"/>
      <c r="BA373" s="4"/>
    </row>
    <row r="374" spans="8:53" s="1" customFormat="1" ht="53.45" customHeight="1">
      <c r="H374" s="4"/>
      <c r="M374" s="4"/>
      <c r="R374" s="4"/>
      <c r="W374" s="4"/>
      <c r="AB374" s="4"/>
      <c r="AG374" s="4"/>
      <c r="AL374" s="4"/>
      <c r="AQ374" s="4"/>
      <c r="AV374" s="4"/>
      <c r="BA374" s="4"/>
    </row>
    <row r="375" spans="8:53" s="1" customFormat="1" ht="53.45" customHeight="1">
      <c r="H375" s="4"/>
      <c r="M375" s="4"/>
      <c r="R375" s="4"/>
      <c r="W375" s="4"/>
      <c r="AB375" s="4"/>
      <c r="AG375" s="4"/>
      <c r="AL375" s="4"/>
      <c r="AQ375" s="4"/>
      <c r="AV375" s="4"/>
      <c r="BA375" s="4"/>
    </row>
    <row r="376" spans="8:53" s="1" customFormat="1" ht="53.45" customHeight="1">
      <c r="H376" s="4"/>
      <c r="M376" s="4"/>
      <c r="R376" s="4"/>
      <c r="W376" s="4"/>
      <c r="AB376" s="4"/>
      <c r="AG376" s="4"/>
      <c r="AL376" s="4"/>
      <c r="AQ376" s="4"/>
      <c r="AV376" s="4"/>
      <c r="BA376" s="4"/>
    </row>
    <row r="377" spans="8:53" s="1" customFormat="1" ht="53.45" customHeight="1">
      <c r="H377" s="4"/>
      <c r="M377" s="4"/>
      <c r="R377" s="4"/>
      <c r="W377" s="4"/>
      <c r="AB377" s="4"/>
      <c r="AG377" s="4"/>
      <c r="AL377" s="4"/>
      <c r="AQ377" s="4"/>
      <c r="AV377" s="4"/>
      <c r="BA377" s="4"/>
    </row>
    <row r="378" spans="8:53" s="1" customFormat="1" ht="53.45" customHeight="1">
      <c r="H378" s="4"/>
      <c r="M378" s="4"/>
      <c r="R378" s="4"/>
      <c r="W378" s="4"/>
      <c r="AB378" s="4"/>
      <c r="AG378" s="4"/>
      <c r="AL378" s="4"/>
      <c r="AQ378" s="4"/>
      <c r="AV378" s="4"/>
      <c r="BA378" s="4"/>
    </row>
    <row r="379" spans="8:53" s="1" customFormat="1" ht="53.45" customHeight="1">
      <c r="H379" s="4"/>
      <c r="M379" s="4"/>
      <c r="R379" s="4"/>
      <c r="W379" s="4"/>
      <c r="AB379" s="4"/>
      <c r="AG379" s="4"/>
      <c r="AL379" s="4"/>
      <c r="AQ379" s="4"/>
      <c r="AV379" s="4"/>
      <c r="BA379" s="4"/>
    </row>
    <row r="380" spans="8:53" s="1" customFormat="1" ht="53.45" customHeight="1">
      <c r="H380" s="4"/>
      <c r="M380" s="4"/>
      <c r="R380" s="4"/>
      <c r="W380" s="4"/>
      <c r="AB380" s="4"/>
      <c r="AG380" s="4"/>
      <c r="AL380" s="4"/>
      <c r="AQ380" s="4"/>
      <c r="AV380" s="4"/>
      <c r="BA380" s="4"/>
    </row>
    <row r="381" spans="8:53" s="1" customFormat="1" ht="53.45" customHeight="1">
      <c r="H381" s="4"/>
      <c r="M381" s="4"/>
      <c r="R381" s="4"/>
      <c r="W381" s="4"/>
      <c r="AB381" s="4"/>
      <c r="AG381" s="4"/>
      <c r="AL381" s="4"/>
      <c r="AQ381" s="4"/>
      <c r="AV381" s="4"/>
      <c r="BA381" s="4"/>
    </row>
    <row r="382" spans="8:53" s="1" customFormat="1" ht="53.45" customHeight="1">
      <c r="H382" s="4"/>
      <c r="M382" s="4"/>
      <c r="R382" s="4"/>
      <c r="W382" s="4"/>
      <c r="AB382" s="4"/>
      <c r="AG382" s="4"/>
      <c r="AL382" s="4"/>
      <c r="AQ382" s="4"/>
      <c r="AV382" s="4"/>
      <c r="BA382" s="4"/>
    </row>
    <row r="383" spans="8:53" s="1" customFormat="1" ht="53.45" customHeight="1">
      <c r="H383" s="4"/>
      <c r="M383" s="4"/>
      <c r="R383" s="4"/>
      <c r="W383" s="4"/>
      <c r="AB383" s="4"/>
      <c r="AG383" s="4"/>
      <c r="AL383" s="4"/>
      <c r="AQ383" s="4"/>
      <c r="AV383" s="4"/>
      <c r="BA383" s="4"/>
    </row>
    <row r="384" spans="8:53" s="1" customFormat="1" ht="53.45" customHeight="1">
      <c r="H384" s="4"/>
      <c r="M384" s="4"/>
      <c r="R384" s="4"/>
      <c r="W384" s="4"/>
      <c r="AB384" s="4"/>
      <c r="AG384" s="4"/>
      <c r="AL384" s="4"/>
      <c r="AQ384" s="4"/>
      <c r="AV384" s="4"/>
      <c r="BA384" s="4"/>
    </row>
    <row r="385" spans="8:53" s="1" customFormat="1" ht="53.45" customHeight="1">
      <c r="H385" s="4"/>
      <c r="M385" s="4"/>
      <c r="R385" s="4"/>
      <c r="W385" s="4"/>
      <c r="AB385" s="4"/>
      <c r="AG385" s="4"/>
      <c r="AL385" s="4"/>
      <c r="AQ385" s="4"/>
      <c r="AV385" s="4"/>
      <c r="BA385" s="4"/>
    </row>
    <row r="386" spans="8:53" s="1" customFormat="1" ht="53.45" customHeight="1">
      <c r="H386" s="4"/>
      <c r="M386" s="4"/>
      <c r="R386" s="4"/>
      <c r="W386" s="4"/>
      <c r="AB386" s="4"/>
      <c r="AG386" s="4"/>
      <c r="AL386" s="4"/>
      <c r="AQ386" s="4"/>
      <c r="AV386" s="4"/>
      <c r="BA386" s="4"/>
    </row>
    <row r="387" spans="8:53" s="1" customFormat="1" ht="53.45" customHeight="1">
      <c r="H387" s="4"/>
      <c r="M387" s="4"/>
      <c r="R387" s="4"/>
      <c r="W387" s="4"/>
      <c r="AB387" s="4"/>
      <c r="AG387" s="4"/>
      <c r="AL387" s="4"/>
      <c r="AQ387" s="4"/>
      <c r="AV387" s="4"/>
      <c r="BA387" s="4"/>
    </row>
    <row r="388" spans="8:53" s="1" customFormat="1" ht="53.45" customHeight="1">
      <c r="H388" s="4"/>
      <c r="M388" s="4"/>
      <c r="R388" s="4"/>
      <c r="W388" s="4"/>
      <c r="AB388" s="4"/>
      <c r="AG388" s="4"/>
      <c r="AL388" s="4"/>
      <c r="AQ388" s="4"/>
      <c r="AV388" s="4"/>
      <c r="BA388" s="4"/>
    </row>
    <row r="389" spans="8:53" s="1" customFormat="1" ht="53.45" customHeight="1">
      <c r="H389" s="4"/>
      <c r="M389" s="4"/>
      <c r="R389" s="4"/>
      <c r="W389" s="4"/>
      <c r="AB389" s="4"/>
      <c r="AG389" s="4"/>
      <c r="AL389" s="4"/>
      <c r="AQ389" s="4"/>
      <c r="AV389" s="4"/>
      <c r="BA389" s="4"/>
    </row>
    <row r="390" spans="8:53" s="1" customFormat="1" ht="53.45" customHeight="1">
      <c r="H390" s="4"/>
      <c r="M390" s="4"/>
      <c r="R390" s="4"/>
      <c r="W390" s="4"/>
      <c r="AB390" s="4"/>
      <c r="AG390" s="4"/>
      <c r="AL390" s="4"/>
      <c r="AQ390" s="4"/>
      <c r="AV390" s="4"/>
      <c r="BA390" s="4"/>
    </row>
    <row r="391" spans="8:53" s="1" customFormat="1" ht="53.45" customHeight="1">
      <c r="H391" s="4"/>
      <c r="M391" s="4"/>
      <c r="R391" s="4"/>
      <c r="W391" s="4"/>
      <c r="AB391" s="4"/>
      <c r="AG391" s="4"/>
      <c r="AL391" s="4"/>
      <c r="AQ391" s="4"/>
      <c r="AV391" s="4"/>
      <c r="BA391" s="4"/>
    </row>
    <row r="392" spans="8:53" s="1" customFormat="1" ht="53.45" customHeight="1">
      <c r="H392" s="4"/>
      <c r="M392" s="4"/>
      <c r="R392" s="4"/>
      <c r="W392" s="4"/>
      <c r="AB392" s="4"/>
      <c r="AG392" s="4"/>
      <c r="AL392" s="4"/>
      <c r="AQ392" s="4"/>
      <c r="AV392" s="4"/>
      <c r="BA392" s="4"/>
    </row>
    <row r="393" spans="8:53" s="1" customFormat="1" ht="53.45" customHeight="1">
      <c r="H393" s="4"/>
      <c r="M393" s="4"/>
      <c r="R393" s="4"/>
      <c r="W393" s="4"/>
      <c r="AB393" s="4"/>
      <c r="AG393" s="4"/>
      <c r="AL393" s="4"/>
      <c r="AQ393" s="4"/>
      <c r="AV393" s="4"/>
      <c r="BA393" s="4"/>
    </row>
    <row r="394" spans="8:53" s="1" customFormat="1" ht="53.45" customHeight="1">
      <c r="H394" s="4"/>
      <c r="M394" s="4"/>
      <c r="R394" s="4"/>
      <c r="W394" s="4"/>
      <c r="AB394" s="4"/>
      <c r="AG394" s="4"/>
      <c r="AL394" s="4"/>
      <c r="AQ394" s="4"/>
      <c r="AV394" s="4"/>
      <c r="BA394" s="4"/>
    </row>
    <row r="395" spans="8:53" s="1" customFormat="1" ht="53.45" customHeight="1">
      <c r="H395" s="4"/>
      <c r="M395" s="4"/>
      <c r="R395" s="4"/>
      <c r="W395" s="4"/>
      <c r="AB395" s="4"/>
      <c r="AG395" s="4"/>
      <c r="AL395" s="4"/>
      <c r="AQ395" s="4"/>
      <c r="AV395" s="4"/>
      <c r="BA395" s="4"/>
    </row>
    <row r="396" spans="8:53" s="1" customFormat="1" ht="53.45" customHeight="1">
      <c r="H396" s="4"/>
      <c r="M396" s="4"/>
      <c r="R396" s="4"/>
      <c r="W396" s="4"/>
      <c r="AB396" s="4"/>
      <c r="AG396" s="4"/>
      <c r="AL396" s="4"/>
      <c r="AQ396" s="4"/>
      <c r="AV396" s="4"/>
      <c r="BA396" s="4"/>
    </row>
    <row r="397" spans="8:53" s="1" customFormat="1" ht="53.45" customHeight="1">
      <c r="H397" s="4"/>
      <c r="M397" s="4"/>
      <c r="R397" s="4"/>
      <c r="W397" s="4"/>
      <c r="AB397" s="4"/>
      <c r="AG397" s="4"/>
      <c r="AL397" s="4"/>
      <c r="AQ397" s="4"/>
      <c r="AV397" s="4"/>
      <c r="BA397" s="4"/>
    </row>
    <row r="398" spans="8:53" s="1" customFormat="1" ht="53.45" customHeight="1">
      <c r="H398" s="4"/>
      <c r="M398" s="4"/>
      <c r="R398" s="4"/>
      <c r="W398" s="4"/>
      <c r="AB398" s="4"/>
      <c r="AG398" s="4"/>
      <c r="AL398" s="4"/>
      <c r="AQ398" s="4"/>
      <c r="AV398" s="4"/>
      <c r="BA398" s="4"/>
    </row>
    <row r="399" spans="8:53" s="1" customFormat="1" ht="53.45" customHeight="1">
      <c r="H399" s="4"/>
      <c r="M399" s="4"/>
      <c r="R399" s="4"/>
      <c r="W399" s="4"/>
      <c r="AB399" s="4"/>
      <c r="AG399" s="4"/>
      <c r="AL399" s="4"/>
      <c r="AQ399" s="4"/>
      <c r="AV399" s="4"/>
      <c r="BA399" s="4"/>
    </row>
    <row r="400" spans="8:53" s="1" customFormat="1" ht="53.45" customHeight="1">
      <c r="H400" s="4"/>
      <c r="M400" s="4"/>
      <c r="R400" s="4"/>
      <c r="W400" s="4"/>
      <c r="AB400" s="4"/>
      <c r="AG400" s="4"/>
      <c r="AL400" s="4"/>
      <c r="AQ400" s="4"/>
      <c r="AV400" s="4"/>
      <c r="BA400" s="4"/>
    </row>
    <row r="401" spans="8:53" s="1" customFormat="1" ht="53.45" customHeight="1">
      <c r="H401" s="4"/>
      <c r="M401" s="4"/>
      <c r="R401" s="4"/>
      <c r="W401" s="4"/>
      <c r="AB401" s="4"/>
      <c r="AG401" s="4"/>
      <c r="AL401" s="4"/>
      <c r="AQ401" s="4"/>
      <c r="AV401" s="4"/>
      <c r="BA401" s="4"/>
    </row>
    <row r="402" spans="8:53" s="1" customFormat="1" ht="53.45" customHeight="1">
      <c r="H402" s="4"/>
      <c r="M402" s="4"/>
      <c r="R402" s="4"/>
      <c r="W402" s="4"/>
      <c r="AB402" s="4"/>
      <c r="AG402" s="4"/>
      <c r="AL402" s="4"/>
      <c r="AQ402" s="4"/>
      <c r="AV402" s="4"/>
      <c r="BA402" s="4"/>
    </row>
    <row r="403" spans="8:53" s="1" customFormat="1" ht="53.45" customHeight="1">
      <c r="H403" s="4"/>
      <c r="M403" s="4"/>
      <c r="R403" s="4"/>
      <c r="W403" s="4"/>
      <c r="AB403" s="4"/>
      <c r="AG403" s="4"/>
      <c r="AL403" s="4"/>
      <c r="AQ403" s="4"/>
      <c r="AV403" s="4"/>
      <c r="BA403" s="4"/>
    </row>
    <row r="404" spans="8:53" s="1" customFormat="1" ht="53.45" customHeight="1">
      <c r="H404" s="4"/>
      <c r="M404" s="4"/>
      <c r="R404" s="4"/>
      <c r="W404" s="4"/>
      <c r="AB404" s="4"/>
      <c r="AG404" s="4"/>
      <c r="AL404" s="4"/>
      <c r="AQ404" s="4"/>
      <c r="AV404" s="4"/>
      <c r="BA404" s="4"/>
    </row>
    <row r="405" spans="8:53" s="1" customFormat="1" ht="53.45" customHeight="1">
      <c r="H405" s="4"/>
      <c r="M405" s="4"/>
      <c r="R405" s="4"/>
      <c r="W405" s="4"/>
      <c r="AB405" s="4"/>
      <c r="AG405" s="4"/>
      <c r="AL405" s="4"/>
      <c r="AQ405" s="4"/>
      <c r="AV405" s="4"/>
      <c r="BA405" s="4"/>
    </row>
    <row r="406" spans="8:53" s="1" customFormat="1" ht="53.45" customHeight="1">
      <c r="H406" s="4"/>
      <c r="M406" s="4"/>
      <c r="R406" s="4"/>
      <c r="W406" s="4"/>
      <c r="AB406" s="4"/>
      <c r="AG406" s="4"/>
      <c r="AL406" s="4"/>
      <c r="AQ406" s="4"/>
      <c r="AV406" s="4"/>
      <c r="BA406" s="4"/>
    </row>
    <row r="407" spans="8:53" s="1" customFormat="1" ht="53.45" customHeight="1">
      <c r="H407" s="4"/>
      <c r="M407" s="4"/>
      <c r="R407" s="4"/>
      <c r="W407" s="4"/>
      <c r="AB407" s="4"/>
      <c r="AG407" s="4"/>
      <c r="AL407" s="4"/>
      <c r="AQ407" s="4"/>
      <c r="AV407" s="4"/>
      <c r="BA407" s="4"/>
    </row>
    <row r="408" spans="8:53" s="1" customFormat="1" ht="53.45" customHeight="1">
      <c r="H408" s="4"/>
      <c r="M408" s="4"/>
      <c r="R408" s="4"/>
      <c r="W408" s="4"/>
      <c r="AB408" s="4"/>
      <c r="AG408" s="4"/>
      <c r="AL408" s="4"/>
      <c r="AQ408" s="4"/>
      <c r="AV408" s="4"/>
      <c r="BA408" s="4"/>
    </row>
    <row r="409" spans="8:53" s="1" customFormat="1" ht="53.45" customHeight="1">
      <c r="H409" s="4"/>
      <c r="M409" s="4"/>
      <c r="R409" s="4"/>
      <c r="W409" s="4"/>
      <c r="AB409" s="4"/>
      <c r="AG409" s="4"/>
      <c r="AL409" s="4"/>
      <c r="AQ409" s="4"/>
      <c r="AV409" s="4"/>
      <c r="BA409" s="4"/>
    </row>
    <row r="410" spans="8:53" s="1" customFormat="1" ht="53.45" customHeight="1">
      <c r="H410" s="4"/>
      <c r="M410" s="4"/>
      <c r="R410" s="4"/>
      <c r="W410" s="4"/>
      <c r="AB410" s="4"/>
      <c r="AG410" s="4"/>
      <c r="AL410" s="4"/>
      <c r="AQ410" s="4"/>
      <c r="AV410" s="4"/>
      <c r="BA410" s="4"/>
    </row>
    <row r="411" spans="8:53" s="1" customFormat="1" ht="53.45" customHeight="1">
      <c r="H411" s="4"/>
      <c r="M411" s="4"/>
      <c r="R411" s="4"/>
      <c r="W411" s="4"/>
      <c r="AB411" s="4"/>
      <c r="AG411" s="4"/>
      <c r="AL411" s="4"/>
      <c r="AQ411" s="4"/>
      <c r="AV411" s="4"/>
      <c r="BA411" s="4"/>
    </row>
    <row r="412" spans="8:53" s="1" customFormat="1" ht="53.45" customHeight="1">
      <c r="H412" s="4"/>
      <c r="M412" s="4"/>
      <c r="R412" s="4"/>
      <c r="W412" s="4"/>
      <c r="AB412" s="4"/>
      <c r="AG412" s="4"/>
      <c r="AL412" s="4"/>
      <c r="AQ412" s="4"/>
      <c r="AV412" s="4"/>
      <c r="BA412" s="4"/>
    </row>
    <row r="413" spans="8:53" s="1" customFormat="1" ht="53.45" customHeight="1">
      <c r="H413" s="4"/>
      <c r="M413" s="4"/>
      <c r="R413" s="4"/>
      <c r="W413" s="4"/>
      <c r="AB413" s="4"/>
      <c r="AG413" s="4"/>
      <c r="AL413" s="4"/>
      <c r="AQ413" s="4"/>
      <c r="AV413" s="4"/>
      <c r="BA413" s="4"/>
    </row>
    <row r="414" spans="8:53" s="1" customFormat="1" ht="53.45" customHeight="1">
      <c r="H414" s="4"/>
      <c r="M414" s="4"/>
      <c r="R414" s="4"/>
      <c r="W414" s="4"/>
      <c r="AB414" s="4"/>
      <c r="AG414" s="4"/>
      <c r="AL414" s="4"/>
      <c r="AQ414" s="4"/>
      <c r="AV414" s="4"/>
      <c r="BA414" s="4"/>
    </row>
    <row r="415" spans="8:53" s="1" customFormat="1" ht="53.45" customHeight="1">
      <c r="H415" s="4"/>
      <c r="M415" s="4"/>
      <c r="R415" s="4"/>
      <c r="W415" s="4"/>
      <c r="AB415" s="4"/>
      <c r="AG415" s="4"/>
      <c r="AL415" s="4"/>
      <c r="AQ415" s="4"/>
      <c r="AV415" s="4"/>
      <c r="BA415" s="4"/>
    </row>
    <row r="416" spans="8:53" s="1" customFormat="1" ht="53.45" customHeight="1">
      <c r="H416" s="4"/>
      <c r="M416" s="4"/>
      <c r="R416" s="4"/>
      <c r="W416" s="4"/>
      <c r="AB416" s="4"/>
      <c r="AG416" s="4"/>
      <c r="AL416" s="4"/>
      <c r="AQ416" s="4"/>
      <c r="AV416" s="4"/>
      <c r="BA416" s="4"/>
    </row>
    <row r="417" spans="8:53" s="1" customFormat="1" ht="53.45" customHeight="1">
      <c r="H417" s="4"/>
      <c r="M417" s="4"/>
      <c r="R417" s="4"/>
      <c r="W417" s="4"/>
      <c r="AB417" s="4"/>
      <c r="AG417" s="4"/>
      <c r="AL417" s="4"/>
      <c r="AQ417" s="4"/>
      <c r="AV417" s="4"/>
      <c r="BA417" s="4"/>
    </row>
    <row r="418" spans="8:53" s="1" customFormat="1" ht="53.45" customHeight="1">
      <c r="H418" s="4"/>
      <c r="M418" s="4"/>
      <c r="R418" s="4"/>
      <c r="W418" s="4"/>
      <c r="AB418" s="4"/>
      <c r="AG418" s="4"/>
      <c r="AL418" s="4"/>
      <c r="AQ418" s="4"/>
      <c r="AV418" s="4"/>
      <c r="BA418" s="4"/>
    </row>
    <row r="419" spans="8:53" s="1" customFormat="1" ht="53.45" customHeight="1">
      <c r="H419" s="4"/>
      <c r="M419" s="4"/>
      <c r="R419" s="4"/>
      <c r="W419" s="4"/>
      <c r="AB419" s="4"/>
      <c r="AG419" s="4"/>
      <c r="AL419" s="4"/>
      <c r="AQ419" s="4"/>
      <c r="AV419" s="4"/>
      <c r="BA419" s="4"/>
    </row>
    <row r="420" spans="8:53" s="1" customFormat="1" ht="53.45" customHeight="1">
      <c r="H420" s="4"/>
      <c r="M420" s="4"/>
      <c r="R420" s="4"/>
      <c r="W420" s="4"/>
      <c r="AB420" s="4"/>
      <c r="AG420" s="4"/>
      <c r="AL420" s="4"/>
      <c r="AQ420" s="4"/>
      <c r="AV420" s="4"/>
      <c r="BA420" s="4"/>
    </row>
    <row r="421" spans="8:53" s="1" customFormat="1" ht="53.45" customHeight="1">
      <c r="H421" s="4"/>
      <c r="M421" s="4"/>
      <c r="R421" s="4"/>
      <c r="W421" s="4"/>
      <c r="AB421" s="4"/>
      <c r="AG421" s="4"/>
      <c r="AL421" s="4"/>
      <c r="AQ421" s="4"/>
      <c r="AV421" s="4"/>
      <c r="BA421" s="4"/>
    </row>
    <row r="422" spans="8:53" s="1" customFormat="1" ht="53.45" customHeight="1">
      <c r="H422" s="4"/>
      <c r="M422" s="4"/>
      <c r="R422" s="4"/>
      <c r="W422" s="4"/>
      <c r="AB422" s="4"/>
      <c r="AG422" s="4"/>
      <c r="AL422" s="4"/>
      <c r="AQ422" s="4"/>
      <c r="AV422" s="4"/>
      <c r="BA422" s="4"/>
    </row>
    <row r="423" spans="8:53" s="1" customFormat="1" ht="53.45" customHeight="1">
      <c r="H423" s="4"/>
      <c r="M423" s="4"/>
      <c r="R423" s="4"/>
      <c r="W423" s="4"/>
      <c r="AB423" s="4"/>
      <c r="AG423" s="4"/>
      <c r="AL423" s="4"/>
      <c r="AQ423" s="4"/>
      <c r="AV423" s="4"/>
      <c r="BA423" s="4"/>
    </row>
    <row r="424" spans="8:53" s="1" customFormat="1" ht="53.45" customHeight="1">
      <c r="H424" s="4"/>
      <c r="M424" s="4"/>
      <c r="R424" s="4"/>
      <c r="W424" s="4"/>
      <c r="AB424" s="4"/>
      <c r="AG424" s="4"/>
      <c r="AL424" s="4"/>
      <c r="AQ424" s="4"/>
      <c r="AV424" s="4"/>
      <c r="BA424" s="4"/>
    </row>
    <row r="425" spans="8:53" s="1" customFormat="1" ht="53.45" customHeight="1">
      <c r="H425" s="4"/>
      <c r="M425" s="4"/>
      <c r="R425" s="4"/>
      <c r="W425" s="4"/>
      <c r="AB425" s="4"/>
      <c r="AG425" s="4"/>
      <c r="AL425" s="4"/>
      <c r="AQ425" s="4"/>
      <c r="AV425" s="4"/>
      <c r="BA425" s="4"/>
    </row>
    <row r="426" spans="8:53" s="1" customFormat="1" ht="53.45" customHeight="1">
      <c r="H426" s="4"/>
      <c r="M426" s="4"/>
      <c r="R426" s="4"/>
      <c r="W426" s="4"/>
      <c r="AB426" s="4"/>
      <c r="AG426" s="4"/>
      <c r="AL426" s="4"/>
      <c r="AQ426" s="4"/>
      <c r="AV426" s="4"/>
      <c r="BA426" s="4"/>
    </row>
    <row r="427" spans="8:53" s="1" customFormat="1" ht="53.45" customHeight="1">
      <c r="H427" s="4"/>
      <c r="M427" s="4"/>
      <c r="R427" s="4"/>
      <c r="W427" s="4"/>
      <c r="AB427" s="4"/>
      <c r="AG427" s="4"/>
      <c r="AL427" s="4"/>
      <c r="AQ427" s="4"/>
      <c r="AV427" s="4"/>
      <c r="BA427" s="4"/>
    </row>
    <row r="428" spans="8:53" s="1" customFormat="1" ht="53.45" customHeight="1">
      <c r="H428" s="4"/>
      <c r="M428" s="4"/>
      <c r="R428" s="4"/>
      <c r="W428" s="4"/>
      <c r="AB428" s="4"/>
      <c r="AG428" s="4"/>
      <c r="AL428" s="4"/>
      <c r="AQ428" s="4"/>
      <c r="AV428" s="4"/>
      <c r="BA428" s="4"/>
    </row>
    <row r="429" spans="8:53" s="1" customFormat="1" ht="53.45" customHeight="1">
      <c r="H429" s="4"/>
      <c r="M429" s="4"/>
      <c r="R429" s="4"/>
      <c r="W429" s="4"/>
      <c r="AB429" s="4"/>
      <c r="AG429" s="4"/>
      <c r="AL429" s="4"/>
      <c r="AQ429" s="4"/>
      <c r="AV429" s="4"/>
      <c r="BA429" s="4"/>
    </row>
    <row r="430" spans="8:53" s="1" customFormat="1" ht="53.45" customHeight="1">
      <c r="H430" s="4"/>
      <c r="M430" s="4"/>
      <c r="R430" s="4"/>
      <c r="W430" s="4"/>
      <c r="AB430" s="4"/>
      <c r="AG430" s="4"/>
      <c r="AL430" s="4"/>
      <c r="AQ430" s="4"/>
      <c r="AV430" s="4"/>
      <c r="BA430" s="4"/>
    </row>
    <row r="431" spans="8:53" s="1" customFormat="1" ht="53.45" customHeight="1">
      <c r="H431" s="4"/>
      <c r="M431" s="4"/>
      <c r="R431" s="4"/>
      <c r="W431" s="4"/>
      <c r="AB431" s="4"/>
      <c r="AG431" s="4"/>
      <c r="AL431" s="4"/>
      <c r="AQ431" s="4"/>
      <c r="AV431" s="4"/>
      <c r="BA431" s="4"/>
    </row>
    <row r="432" spans="8:53" s="1" customFormat="1" ht="53.45" customHeight="1">
      <c r="H432" s="4"/>
      <c r="M432" s="4"/>
      <c r="R432" s="4"/>
      <c r="W432" s="4"/>
      <c r="AB432" s="4"/>
      <c r="AG432" s="4"/>
      <c r="AL432" s="4"/>
      <c r="AQ432" s="4"/>
      <c r="AV432" s="4"/>
      <c r="BA432" s="4"/>
    </row>
    <row r="433" spans="8:53" s="1" customFormat="1" ht="53.45" customHeight="1">
      <c r="H433" s="4"/>
      <c r="M433" s="4"/>
      <c r="R433" s="4"/>
      <c r="W433" s="4"/>
      <c r="AB433" s="4"/>
      <c r="AG433" s="4"/>
      <c r="AL433" s="4"/>
      <c r="AQ433" s="4"/>
      <c r="AV433" s="4"/>
      <c r="BA433" s="4"/>
    </row>
    <row r="434" spans="8:53" s="1" customFormat="1" ht="53.45" customHeight="1">
      <c r="H434" s="4"/>
      <c r="M434" s="4"/>
      <c r="R434" s="4"/>
      <c r="W434" s="4"/>
      <c r="AB434" s="4"/>
      <c r="AG434" s="4"/>
      <c r="AL434" s="4"/>
      <c r="AQ434" s="4"/>
      <c r="AV434" s="4"/>
      <c r="BA434" s="4"/>
    </row>
    <row r="435" spans="8:53" s="1" customFormat="1" ht="53.45" customHeight="1">
      <c r="H435" s="4"/>
      <c r="M435" s="4"/>
      <c r="R435" s="4"/>
      <c r="W435" s="4"/>
      <c r="AB435" s="4"/>
      <c r="AG435" s="4"/>
      <c r="AL435" s="4"/>
      <c r="AQ435" s="4"/>
      <c r="AV435" s="4"/>
      <c r="BA435" s="4"/>
    </row>
    <row r="436" spans="8:53" s="1" customFormat="1" ht="53.45" customHeight="1">
      <c r="H436" s="4"/>
      <c r="M436" s="4"/>
      <c r="R436" s="4"/>
      <c r="W436" s="4"/>
      <c r="AB436" s="4"/>
      <c r="AG436" s="4"/>
      <c r="AL436" s="4"/>
      <c r="AQ436" s="4"/>
      <c r="AV436" s="4"/>
      <c r="BA436" s="4"/>
    </row>
    <row r="437" spans="8:53" s="1" customFormat="1" ht="53.45" customHeight="1">
      <c r="H437" s="4"/>
      <c r="M437" s="4"/>
      <c r="R437" s="4"/>
      <c r="W437" s="4"/>
      <c r="AB437" s="4"/>
      <c r="AG437" s="4"/>
      <c r="AL437" s="4"/>
      <c r="AQ437" s="4"/>
      <c r="AV437" s="4"/>
      <c r="BA437" s="4"/>
    </row>
    <row r="438" spans="8:53" s="1" customFormat="1" ht="53.45" customHeight="1">
      <c r="H438" s="4"/>
      <c r="M438" s="4"/>
      <c r="R438" s="4"/>
      <c r="W438" s="4"/>
      <c r="AB438" s="4"/>
      <c r="AG438" s="4"/>
      <c r="AL438" s="4"/>
      <c r="AQ438" s="4"/>
      <c r="AV438" s="4"/>
      <c r="BA438" s="4"/>
    </row>
    <row r="439" spans="8:53" s="1" customFormat="1" ht="53.45" customHeight="1">
      <c r="H439" s="4"/>
      <c r="M439" s="4"/>
      <c r="R439" s="4"/>
      <c r="W439" s="4"/>
      <c r="AB439" s="4"/>
      <c r="AG439" s="4"/>
      <c r="AL439" s="4"/>
      <c r="AQ439" s="4"/>
      <c r="AV439" s="4"/>
      <c r="BA439" s="4"/>
    </row>
    <row r="440" spans="8:53" s="1" customFormat="1" ht="53.45" customHeight="1">
      <c r="H440" s="4"/>
      <c r="M440" s="4"/>
      <c r="R440" s="4"/>
      <c r="W440" s="4"/>
      <c r="AB440" s="4"/>
      <c r="AG440" s="4"/>
      <c r="AL440" s="4"/>
      <c r="AQ440" s="4"/>
      <c r="AV440" s="4"/>
      <c r="BA440" s="4"/>
    </row>
    <row r="441" spans="8:53" s="1" customFormat="1" ht="53.45" customHeight="1">
      <c r="H441" s="4"/>
      <c r="M441" s="4"/>
      <c r="R441" s="4"/>
      <c r="W441" s="4"/>
      <c r="AB441" s="4"/>
      <c r="AG441" s="4"/>
      <c r="AL441" s="4"/>
      <c r="AQ441" s="4"/>
      <c r="AV441" s="4"/>
      <c r="BA441" s="4"/>
    </row>
    <row r="442" spans="8:53" s="1" customFormat="1" ht="53.45" customHeight="1">
      <c r="H442" s="4"/>
      <c r="M442" s="4"/>
      <c r="R442" s="4"/>
      <c r="W442" s="4"/>
      <c r="AB442" s="4"/>
      <c r="AG442" s="4"/>
      <c r="AL442" s="4"/>
      <c r="AQ442" s="4"/>
      <c r="AV442" s="4"/>
      <c r="BA442" s="4"/>
    </row>
    <row r="443" spans="8:53" s="1" customFormat="1" ht="53.45" customHeight="1">
      <c r="H443" s="4"/>
      <c r="M443" s="4"/>
      <c r="R443" s="4"/>
      <c r="W443" s="4"/>
      <c r="AB443" s="4"/>
      <c r="AG443" s="4"/>
      <c r="AL443" s="4"/>
      <c r="AQ443" s="4"/>
      <c r="AV443" s="4"/>
      <c r="BA443" s="4"/>
    </row>
    <row r="444" spans="8:53" s="1" customFormat="1" ht="53.45" customHeight="1">
      <c r="H444" s="4"/>
      <c r="M444" s="4"/>
      <c r="R444" s="4"/>
      <c r="W444" s="4"/>
      <c r="AB444" s="4"/>
      <c r="AG444" s="4"/>
      <c r="AL444" s="4"/>
      <c r="AQ444" s="4"/>
      <c r="AV444" s="4"/>
      <c r="BA444" s="4"/>
    </row>
    <row r="445" spans="8:53" s="1" customFormat="1" ht="53.45" customHeight="1">
      <c r="H445" s="4"/>
      <c r="M445" s="4"/>
      <c r="R445" s="4"/>
      <c r="W445" s="4"/>
      <c r="AB445" s="4"/>
      <c r="AG445" s="4"/>
      <c r="AL445" s="4"/>
      <c r="AQ445" s="4"/>
      <c r="AV445" s="4"/>
      <c r="BA445" s="4"/>
    </row>
    <row r="446" spans="8:53" s="1" customFormat="1" ht="53.45" customHeight="1">
      <c r="H446" s="4"/>
      <c r="M446" s="4"/>
      <c r="R446" s="4"/>
      <c r="W446" s="4"/>
      <c r="AB446" s="4"/>
      <c r="AG446" s="4"/>
      <c r="AL446" s="4"/>
      <c r="AQ446" s="4"/>
      <c r="AV446" s="4"/>
      <c r="BA446" s="4"/>
    </row>
    <row r="447" spans="8:53" s="1" customFormat="1" ht="53.45" customHeight="1">
      <c r="H447" s="4"/>
      <c r="M447" s="4"/>
      <c r="R447" s="4"/>
      <c r="W447" s="4"/>
      <c r="AB447" s="4"/>
      <c r="AG447" s="4"/>
      <c r="AL447" s="4"/>
      <c r="AQ447" s="4"/>
      <c r="AV447" s="4"/>
      <c r="BA447" s="4"/>
    </row>
    <row r="448" spans="8:53" s="1" customFormat="1" ht="53.45" customHeight="1">
      <c r="H448" s="4"/>
      <c r="M448" s="4"/>
      <c r="R448" s="4"/>
      <c r="W448" s="4"/>
      <c r="AB448" s="4"/>
      <c r="AG448" s="4"/>
      <c r="AL448" s="4"/>
      <c r="AQ448" s="4"/>
      <c r="AV448" s="4"/>
      <c r="BA448" s="4"/>
    </row>
    <row r="449" spans="8:53" s="1" customFormat="1" ht="53.45" customHeight="1">
      <c r="H449" s="4"/>
      <c r="M449" s="4"/>
      <c r="R449" s="4"/>
      <c r="W449" s="4"/>
      <c r="AB449" s="4"/>
      <c r="AG449" s="4"/>
      <c r="AL449" s="4"/>
      <c r="AQ449" s="4"/>
      <c r="AV449" s="4"/>
      <c r="BA449" s="4"/>
    </row>
    <row r="450" spans="8:53" s="1" customFormat="1" ht="53.45" customHeight="1">
      <c r="H450" s="4"/>
      <c r="M450" s="4"/>
      <c r="R450" s="4"/>
      <c r="W450" s="4"/>
      <c r="AB450" s="4"/>
      <c r="AG450" s="4"/>
      <c r="AL450" s="4"/>
      <c r="AQ450" s="4"/>
      <c r="AV450" s="4"/>
      <c r="BA450" s="4"/>
    </row>
    <row r="451" spans="8:53" s="1" customFormat="1" ht="53.45" customHeight="1">
      <c r="H451" s="4"/>
      <c r="M451" s="4"/>
      <c r="R451" s="4"/>
      <c r="W451" s="4"/>
      <c r="AB451" s="4"/>
      <c r="AG451" s="4"/>
      <c r="AL451" s="4"/>
      <c r="AQ451" s="4"/>
      <c r="AV451" s="4"/>
      <c r="BA451" s="4"/>
    </row>
    <row r="452" spans="8:53" s="1" customFormat="1" ht="53.45" customHeight="1">
      <c r="H452" s="4"/>
      <c r="M452" s="4"/>
      <c r="R452" s="4"/>
      <c r="W452" s="4"/>
      <c r="AB452" s="4"/>
      <c r="AG452" s="4"/>
      <c r="AL452" s="4"/>
      <c r="AQ452" s="4"/>
      <c r="AV452" s="4"/>
      <c r="BA452" s="4"/>
    </row>
    <row r="453" spans="8:53" s="1" customFormat="1" ht="53.45" customHeight="1">
      <c r="H453" s="4"/>
      <c r="M453" s="4"/>
      <c r="R453" s="4"/>
      <c r="W453" s="4"/>
      <c r="AB453" s="4"/>
      <c r="AG453" s="4"/>
      <c r="AL453" s="4"/>
      <c r="AQ453" s="4"/>
      <c r="AV453" s="4"/>
      <c r="BA453" s="4"/>
    </row>
    <row r="454" spans="8:53" s="1" customFormat="1" ht="53.45" customHeight="1">
      <c r="H454" s="4"/>
      <c r="M454" s="4"/>
      <c r="R454" s="4"/>
      <c r="W454" s="4"/>
      <c r="AB454" s="4"/>
      <c r="AG454" s="4"/>
      <c r="AL454" s="4"/>
      <c r="AQ454" s="4"/>
      <c r="AV454" s="4"/>
      <c r="BA454" s="4"/>
    </row>
    <row r="455" spans="8:53" s="1" customFormat="1" ht="53.45" customHeight="1">
      <c r="H455" s="4"/>
      <c r="M455" s="4"/>
      <c r="R455" s="4"/>
      <c r="W455" s="4"/>
      <c r="AB455" s="4"/>
      <c r="AG455" s="4"/>
      <c r="AL455" s="4"/>
      <c r="AQ455" s="4"/>
      <c r="AV455" s="4"/>
      <c r="BA455" s="4"/>
    </row>
    <row r="456" spans="8:53" s="1" customFormat="1" ht="53.45" customHeight="1">
      <c r="H456" s="4"/>
      <c r="M456" s="4"/>
      <c r="R456" s="4"/>
      <c r="W456" s="4"/>
      <c r="AB456" s="4"/>
      <c r="AG456" s="4"/>
      <c r="AL456" s="4"/>
      <c r="AQ456" s="4"/>
      <c r="AV456" s="4"/>
      <c r="BA456" s="4"/>
    </row>
    <row r="457" spans="8:53" s="1" customFormat="1" ht="53.45" customHeight="1">
      <c r="H457" s="4"/>
      <c r="M457" s="4"/>
      <c r="R457" s="4"/>
      <c r="W457" s="4"/>
      <c r="AB457" s="4"/>
      <c r="AG457" s="4"/>
      <c r="AL457" s="4"/>
      <c r="AQ457" s="4"/>
      <c r="AV457" s="4"/>
      <c r="BA457" s="4"/>
    </row>
    <row r="458" spans="8:53" s="1" customFormat="1" ht="53.45" customHeight="1">
      <c r="H458" s="4"/>
      <c r="M458" s="4"/>
      <c r="R458" s="4"/>
      <c r="W458" s="4"/>
      <c r="AB458" s="4"/>
      <c r="AG458" s="4"/>
      <c r="AL458" s="4"/>
      <c r="AQ458" s="4"/>
      <c r="AV458" s="4"/>
      <c r="BA458" s="4"/>
    </row>
    <row r="459" spans="8:53" s="1" customFormat="1" ht="53.45" customHeight="1">
      <c r="H459" s="4"/>
      <c r="M459" s="4"/>
      <c r="R459" s="4"/>
      <c r="W459" s="4"/>
      <c r="AB459" s="4"/>
      <c r="AG459" s="4"/>
      <c r="AL459" s="4"/>
      <c r="AQ459" s="4"/>
      <c r="AV459" s="4"/>
      <c r="BA459" s="4"/>
    </row>
    <row r="460" spans="8:53" s="1" customFormat="1" ht="53.45" customHeight="1">
      <c r="H460" s="4"/>
      <c r="M460" s="4"/>
      <c r="R460" s="4"/>
      <c r="W460" s="4"/>
      <c r="AB460" s="4"/>
      <c r="AG460" s="4"/>
      <c r="AL460" s="4"/>
      <c r="AQ460" s="4"/>
      <c r="AV460" s="4"/>
      <c r="BA460" s="4"/>
    </row>
    <row r="461" spans="8:53" s="1" customFormat="1" ht="53.45" customHeight="1">
      <c r="H461" s="4"/>
      <c r="M461" s="4"/>
      <c r="R461" s="4"/>
      <c r="W461" s="4"/>
      <c r="AB461" s="4"/>
      <c r="AG461" s="4"/>
      <c r="AL461" s="4"/>
      <c r="AQ461" s="4"/>
      <c r="AV461" s="4"/>
      <c r="BA461" s="4"/>
    </row>
    <row r="462" spans="8:53" s="1" customFormat="1" ht="53.45" customHeight="1">
      <c r="H462" s="4"/>
      <c r="M462" s="4"/>
      <c r="R462" s="4"/>
      <c r="W462" s="4"/>
      <c r="AB462" s="4"/>
      <c r="AG462" s="4"/>
      <c r="AL462" s="4"/>
      <c r="AQ462" s="4"/>
      <c r="AV462" s="4"/>
      <c r="BA462" s="4"/>
    </row>
    <row r="463" spans="8:53" s="1" customFormat="1" ht="53.45" customHeight="1">
      <c r="H463" s="4"/>
      <c r="M463" s="4"/>
      <c r="R463" s="4"/>
      <c r="W463" s="4"/>
      <c r="AB463" s="4"/>
      <c r="AG463" s="4"/>
      <c r="AL463" s="4"/>
      <c r="AQ463" s="4"/>
      <c r="AV463" s="4"/>
      <c r="BA463" s="4"/>
    </row>
    <row r="464" spans="8:53" s="1" customFormat="1" ht="53.45" customHeight="1">
      <c r="H464" s="4"/>
      <c r="M464" s="4"/>
      <c r="R464" s="4"/>
      <c r="W464" s="4"/>
      <c r="AB464" s="4"/>
      <c r="AG464" s="4"/>
      <c r="AL464" s="4"/>
      <c r="AQ464" s="4"/>
      <c r="AV464" s="4"/>
      <c r="BA464" s="4"/>
    </row>
    <row r="465" spans="8:53" s="1" customFormat="1" ht="53.45" customHeight="1">
      <c r="H465" s="4"/>
      <c r="M465" s="4"/>
      <c r="R465" s="4"/>
      <c r="W465" s="4"/>
      <c r="AB465" s="4"/>
      <c r="AG465" s="4"/>
      <c r="AL465" s="4"/>
      <c r="AQ465" s="4"/>
      <c r="AV465" s="4"/>
      <c r="BA465" s="4"/>
    </row>
    <row r="466" spans="8:53" s="1" customFormat="1" ht="53.45" customHeight="1">
      <c r="H466" s="4"/>
      <c r="M466" s="4"/>
      <c r="R466" s="4"/>
      <c r="W466" s="4"/>
      <c r="AB466" s="4"/>
      <c r="AG466" s="4"/>
      <c r="AL466" s="4"/>
      <c r="AQ466" s="4"/>
      <c r="AV466" s="4"/>
      <c r="BA466" s="4"/>
    </row>
    <row r="467" spans="8:53" s="1" customFormat="1" ht="53.45" customHeight="1">
      <c r="H467" s="4"/>
      <c r="M467" s="4"/>
      <c r="R467" s="4"/>
      <c r="W467" s="4"/>
      <c r="AB467" s="4"/>
      <c r="AG467" s="4"/>
      <c r="AL467" s="4"/>
      <c r="AQ467" s="4"/>
      <c r="AV467" s="4"/>
      <c r="BA467" s="4"/>
    </row>
    <row r="468" spans="8:53" s="1" customFormat="1" ht="53.45" customHeight="1">
      <c r="H468" s="4"/>
      <c r="M468" s="4"/>
      <c r="R468" s="4"/>
      <c r="W468" s="4"/>
      <c r="AB468" s="4"/>
      <c r="AG468" s="4"/>
      <c r="AL468" s="4"/>
      <c r="AQ468" s="4"/>
      <c r="AV468" s="4"/>
      <c r="BA468" s="4"/>
    </row>
    <row r="469" spans="8:53" s="1" customFormat="1" ht="53.45" customHeight="1">
      <c r="H469" s="4"/>
      <c r="M469" s="4"/>
      <c r="R469" s="4"/>
      <c r="W469" s="4"/>
      <c r="AB469" s="4"/>
      <c r="AG469" s="4"/>
      <c r="AL469" s="4"/>
      <c r="AQ469" s="4"/>
      <c r="AV469" s="4"/>
      <c r="BA469" s="4"/>
    </row>
    <row r="470" spans="8:53" s="1" customFormat="1" ht="53.45" customHeight="1">
      <c r="H470" s="4"/>
      <c r="M470" s="4"/>
      <c r="R470" s="4"/>
      <c r="W470" s="4"/>
      <c r="AB470" s="4"/>
      <c r="AG470" s="4"/>
      <c r="AL470" s="4"/>
      <c r="AQ470" s="4"/>
      <c r="AV470" s="4"/>
      <c r="BA470" s="4"/>
    </row>
    <row r="471" spans="8:53" s="1" customFormat="1" ht="53.45" customHeight="1">
      <c r="H471" s="4"/>
      <c r="M471" s="4"/>
      <c r="R471" s="4"/>
      <c r="W471" s="4"/>
      <c r="AB471" s="4"/>
      <c r="AG471" s="4"/>
      <c r="AL471" s="4"/>
      <c r="AQ471" s="4"/>
      <c r="AV471" s="4"/>
      <c r="BA471" s="4"/>
    </row>
    <row r="472" spans="8:53" s="1" customFormat="1" ht="53.45" customHeight="1">
      <c r="H472" s="4"/>
      <c r="M472" s="4"/>
      <c r="R472" s="4"/>
      <c r="W472" s="4"/>
      <c r="AB472" s="4"/>
      <c r="AG472" s="4"/>
      <c r="AL472" s="4"/>
      <c r="AQ472" s="4"/>
      <c r="AV472" s="4"/>
      <c r="BA472" s="4"/>
    </row>
    <row r="473" spans="8:53" s="1" customFormat="1" ht="53.45" customHeight="1">
      <c r="H473" s="4"/>
      <c r="M473" s="4"/>
      <c r="R473" s="4"/>
      <c r="W473" s="4"/>
      <c r="AB473" s="4"/>
      <c r="AG473" s="4"/>
      <c r="AL473" s="4"/>
      <c r="AQ473" s="4"/>
      <c r="AV473" s="4"/>
      <c r="BA473" s="4"/>
    </row>
    <row r="474" spans="8:53" s="1" customFormat="1" ht="53.45" customHeight="1">
      <c r="H474" s="4"/>
      <c r="M474" s="4"/>
      <c r="R474" s="4"/>
      <c r="W474" s="4"/>
      <c r="AB474" s="4"/>
      <c r="AG474" s="4"/>
      <c r="AL474" s="4"/>
      <c r="AQ474" s="4"/>
      <c r="AV474" s="4"/>
      <c r="BA474" s="4"/>
    </row>
    <row r="475" spans="8:53" s="1" customFormat="1" ht="53.45" customHeight="1">
      <c r="H475" s="4"/>
      <c r="M475" s="4"/>
      <c r="R475" s="4"/>
      <c r="W475" s="4"/>
      <c r="AB475" s="4"/>
      <c r="AG475" s="4"/>
      <c r="AL475" s="4"/>
      <c r="AQ475" s="4"/>
      <c r="AV475" s="4"/>
      <c r="BA475" s="4"/>
    </row>
    <row r="476" spans="8:53" s="1" customFormat="1" ht="53.45" customHeight="1">
      <c r="H476" s="4"/>
      <c r="M476" s="4"/>
      <c r="R476" s="4"/>
      <c r="W476" s="4"/>
      <c r="AB476" s="4"/>
      <c r="AG476" s="4"/>
      <c r="AL476" s="4"/>
      <c r="AQ476" s="4"/>
      <c r="AV476" s="4"/>
      <c r="BA476" s="4"/>
    </row>
    <row r="477" spans="8:53" s="1" customFormat="1" ht="53.45" customHeight="1">
      <c r="H477" s="4"/>
      <c r="M477" s="4"/>
      <c r="R477" s="4"/>
      <c r="W477" s="4"/>
      <c r="AB477" s="4"/>
      <c r="AG477" s="4"/>
      <c r="AL477" s="4"/>
      <c r="AQ477" s="4"/>
      <c r="AV477" s="4"/>
      <c r="BA477" s="4"/>
    </row>
    <row r="478" spans="8:53" s="1" customFormat="1" ht="53.45" customHeight="1">
      <c r="H478" s="4"/>
      <c r="M478" s="4"/>
      <c r="R478" s="4"/>
      <c r="W478" s="4"/>
      <c r="AB478" s="4"/>
      <c r="AG478" s="4"/>
      <c r="AL478" s="4"/>
      <c r="AQ478" s="4"/>
      <c r="AV478" s="4"/>
      <c r="BA478" s="4"/>
    </row>
    <row r="479" spans="8:53" s="1" customFormat="1" ht="53.45" customHeight="1">
      <c r="H479" s="4"/>
      <c r="M479" s="4"/>
      <c r="R479" s="4"/>
      <c r="W479" s="4"/>
      <c r="AB479" s="4"/>
      <c r="AG479" s="4"/>
      <c r="AL479" s="4"/>
      <c r="AQ479" s="4"/>
      <c r="AV479" s="4"/>
      <c r="BA479" s="4"/>
    </row>
    <row r="480" spans="8:53" s="1" customFormat="1" ht="53.45" customHeight="1">
      <c r="H480" s="4"/>
      <c r="M480" s="4"/>
      <c r="R480" s="4"/>
      <c r="W480" s="4"/>
      <c r="AB480" s="4"/>
      <c r="AG480" s="4"/>
      <c r="AL480" s="4"/>
      <c r="AQ480" s="4"/>
      <c r="AV480" s="4"/>
      <c r="BA480" s="4"/>
    </row>
    <row r="481" spans="8:53" s="1" customFormat="1" ht="53.45" customHeight="1">
      <c r="H481" s="4"/>
      <c r="M481" s="4"/>
      <c r="R481" s="4"/>
      <c r="W481" s="4"/>
      <c r="AB481" s="4"/>
      <c r="AG481" s="4"/>
      <c r="AL481" s="4"/>
      <c r="AQ481" s="4"/>
      <c r="AV481" s="4"/>
      <c r="BA481" s="4"/>
    </row>
  </sheetData>
  <mergeCells count="23">
    <mergeCell ref="BA16:BA17"/>
    <mergeCell ref="H3:K3"/>
    <mergeCell ref="M3:P3"/>
    <mergeCell ref="R3:T3"/>
    <mergeCell ref="V3:X3"/>
    <mergeCell ref="Z3:AB3"/>
    <mergeCell ref="H16:H17"/>
    <mergeCell ref="M16:M17"/>
    <mergeCell ref="R16:R17"/>
    <mergeCell ref="W16:W17"/>
    <mergeCell ref="AB16:AB17"/>
    <mergeCell ref="AE3:AF3"/>
    <mergeCell ref="AG16:AG17"/>
    <mergeCell ref="AL16:AL17"/>
    <mergeCell ref="AQ16:AQ17"/>
    <mergeCell ref="AV16:AV17"/>
    <mergeCell ref="H1:AF1"/>
    <mergeCell ref="H2:K2"/>
    <mergeCell ref="M2:P2"/>
    <mergeCell ref="R2:T2"/>
    <mergeCell ref="V2:X2"/>
    <mergeCell ref="Z2:AB2"/>
    <mergeCell ref="AE2:AF2"/>
  </mergeCells>
  <printOptions horizontalCentered="1" verticalCentered="1"/>
  <pageMargins left="0" right="0" top="0" bottom="0" header="0" footer="0"/>
  <pageSetup paperSize="9" scale="2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481"/>
  <sheetViews>
    <sheetView view="pageBreakPreview" topLeftCell="C1" zoomScale="40" zoomScaleNormal="20" zoomScaleSheetLayoutView="40" workbookViewId="0">
      <selection activeCell="AE4" sqref="AE4"/>
    </sheetView>
  </sheetViews>
  <sheetFormatPr defaultRowHeight="15"/>
  <cols>
    <col min="1" max="1" width="2.42578125" customWidth="1"/>
    <col min="2" max="2" width="36.42578125" customWidth="1"/>
    <col min="4" max="4" width="8.85546875" customWidth="1"/>
    <col min="7" max="7" width="2.42578125" customWidth="1"/>
    <col min="8" max="8" width="6.5703125" style="15" bestFit="1" customWidth="1"/>
    <col min="9" max="9" width="60.7109375" customWidth="1"/>
    <col min="10" max="12" width="11.28515625" customWidth="1"/>
    <col min="13" max="13" width="6.5703125" style="15" bestFit="1" customWidth="1"/>
    <col min="14" max="14" width="60.7109375" customWidth="1"/>
    <col min="15" max="17" width="11.28515625" customWidth="1"/>
    <col min="18" max="18" width="6.5703125" style="15" bestFit="1" customWidth="1"/>
    <col min="19" max="19" width="60.7109375" customWidth="1"/>
    <col min="20" max="22" width="11.28515625" customWidth="1"/>
    <col min="23" max="23" width="6.5703125" style="15" bestFit="1" customWidth="1"/>
    <col min="24" max="24" width="60.7109375" customWidth="1"/>
    <col min="25" max="27" width="11.28515625" customWidth="1"/>
    <col min="28" max="28" width="6.5703125" style="15" bestFit="1" customWidth="1"/>
    <col min="29" max="29" width="60.7109375" customWidth="1"/>
    <col min="30" max="32" width="11.28515625" customWidth="1"/>
    <col min="33" max="33" width="6.5703125" style="15" bestFit="1" customWidth="1"/>
    <col min="34" max="34" width="60.7109375" customWidth="1"/>
    <col min="35" max="37" width="11.28515625" customWidth="1"/>
    <col min="38" max="38" width="5.7109375" style="15" customWidth="1"/>
    <col min="39" max="39" width="60.7109375" customWidth="1"/>
    <col min="40" max="42" width="11.28515625" customWidth="1"/>
    <col min="43" max="43" width="5.7109375" style="15" customWidth="1"/>
    <col min="44" max="44" width="60.7109375" customWidth="1"/>
    <col min="45" max="47" width="11.28515625" customWidth="1"/>
    <col min="48" max="48" width="5.7109375" style="15" customWidth="1"/>
    <col min="49" max="49" width="60.7109375" customWidth="1"/>
    <col min="50" max="52" width="11.28515625" customWidth="1"/>
    <col min="53" max="53" width="5.7109375" style="15" customWidth="1"/>
    <col min="54" max="54" width="60.7109375" customWidth="1"/>
    <col min="55" max="57" width="11.28515625" customWidth="1"/>
  </cols>
  <sheetData>
    <row r="1" spans="2:57" s="1" customFormat="1" ht="47.45" customHeight="1">
      <c r="C1" s="16"/>
      <c r="D1" s="16"/>
      <c r="E1" s="16"/>
      <c r="F1" s="16"/>
      <c r="G1" s="16"/>
      <c r="H1" s="46" t="str">
        <f>'YAMAZUMI цеха'!H1</f>
        <v>YAMAZUMI ""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</row>
    <row r="2" spans="2:57" s="1" customFormat="1" ht="51.6" customHeight="1">
      <c r="H2" s="47" t="s">
        <v>12</v>
      </c>
      <c r="I2" s="47"/>
      <c r="J2" s="47"/>
      <c r="K2" s="47"/>
      <c r="L2" s="2"/>
      <c r="M2" s="47" t="s">
        <v>6</v>
      </c>
      <c r="N2" s="47"/>
      <c r="O2" s="47"/>
      <c r="P2" s="47"/>
      <c r="Q2" s="2"/>
      <c r="R2" s="47" t="s">
        <v>7</v>
      </c>
      <c r="S2" s="47"/>
      <c r="T2" s="47"/>
      <c r="U2" s="2"/>
      <c r="V2" s="47" t="s">
        <v>0</v>
      </c>
      <c r="W2" s="47"/>
      <c r="X2" s="47"/>
      <c r="Y2" s="2"/>
      <c r="Z2" s="47" t="s">
        <v>13</v>
      </c>
      <c r="AA2" s="47"/>
      <c r="AB2" s="47"/>
      <c r="AC2" s="30">
        <f>MAX(E5:E14)*1.1</f>
        <v>0</v>
      </c>
      <c r="AE2" s="41" t="s">
        <v>30</v>
      </c>
      <c r="AF2" s="41"/>
      <c r="AG2" s="4"/>
      <c r="AL2" s="4"/>
      <c r="AQ2" s="4"/>
      <c r="AV2" s="4"/>
      <c r="BA2" s="4"/>
    </row>
    <row r="3" spans="2:57" s="1" customFormat="1" ht="51.6" customHeight="1">
      <c r="H3" s="47">
        <f>COUNTA(I18:I153,N18:N153,S18:S153,X18:X153,AC18:AC153)</f>
        <v>0</v>
      </c>
      <c r="I3" s="47"/>
      <c r="J3" s="47"/>
      <c r="K3" s="47"/>
      <c r="L3" s="2"/>
      <c r="M3" s="47">
        <f>COUNTA(I18,N18,S18,X18,AC18)</f>
        <v>0</v>
      </c>
      <c r="N3" s="47"/>
      <c r="O3" s="47"/>
      <c r="P3" s="47"/>
      <c r="Q3" s="2"/>
      <c r="R3" s="48"/>
      <c r="S3" s="47"/>
      <c r="T3" s="47"/>
      <c r="U3" s="2"/>
      <c r="V3" s="47"/>
      <c r="W3" s="47"/>
      <c r="X3" s="47"/>
      <c r="Y3" s="2"/>
      <c r="Z3" s="47" t="s">
        <v>8</v>
      </c>
      <c r="AA3" s="47"/>
      <c r="AB3" s="47"/>
      <c r="AC3" s="30">
        <f>MAX(E5:E14)</f>
        <v>0</v>
      </c>
      <c r="AE3" s="42" t="e">
        <f>25200/AC2</f>
        <v>#DIV/0!</v>
      </c>
      <c r="AF3" s="42"/>
      <c r="AG3" s="4"/>
      <c r="AL3" s="4"/>
      <c r="AQ3" s="4"/>
      <c r="AV3" s="4"/>
      <c r="BA3" s="4"/>
    </row>
    <row r="4" spans="2:57" s="1" customFormat="1" ht="81.599999999999994" customHeight="1">
      <c r="B4" s="28" t="s">
        <v>9</v>
      </c>
      <c r="C4" s="6" t="s">
        <v>2</v>
      </c>
      <c r="D4" s="6" t="s">
        <v>3</v>
      </c>
      <c r="E4" s="6" t="s">
        <v>10</v>
      </c>
      <c r="F4" s="6" t="s">
        <v>5</v>
      </c>
      <c r="H4" s="4"/>
      <c r="M4" s="4"/>
      <c r="R4" s="4"/>
      <c r="W4" s="4"/>
      <c r="AB4" s="4"/>
      <c r="AG4" s="4"/>
      <c r="AL4" s="4"/>
      <c r="AQ4" s="4"/>
      <c r="AV4" s="4"/>
      <c r="BA4" s="4"/>
    </row>
    <row r="5" spans="2:57" s="1" customFormat="1" ht="51.6" customHeight="1">
      <c r="B5" s="7" t="s">
        <v>20</v>
      </c>
      <c r="C5" s="30">
        <f>J17</f>
        <v>0</v>
      </c>
      <c r="D5" s="30">
        <f>K17</f>
        <v>0</v>
      </c>
      <c r="E5" s="30">
        <f>L17</f>
        <v>0</v>
      </c>
      <c r="F5" s="30">
        <f>AC2</f>
        <v>0</v>
      </c>
      <c r="H5" s="4"/>
      <c r="M5" s="4"/>
      <c r="R5" s="4"/>
      <c r="W5" s="4"/>
      <c r="AB5" s="4"/>
      <c r="AG5" s="4"/>
      <c r="AL5" s="4"/>
      <c r="AQ5" s="4"/>
      <c r="AV5" s="4"/>
      <c r="BA5" s="4"/>
    </row>
    <row r="6" spans="2:57" s="1" customFormat="1" ht="51.6" customHeight="1">
      <c r="B6" s="7" t="s">
        <v>21</v>
      </c>
      <c r="C6" s="30">
        <f>O17</f>
        <v>0</v>
      </c>
      <c r="D6" s="30">
        <f>P17</f>
        <v>0</v>
      </c>
      <c r="E6" s="30">
        <f>Q17</f>
        <v>0</v>
      </c>
      <c r="F6" s="30">
        <f>AC2</f>
        <v>0</v>
      </c>
      <c r="H6" s="4"/>
      <c r="M6" s="4"/>
      <c r="R6" s="4"/>
      <c r="W6" s="4"/>
      <c r="AB6" s="4"/>
      <c r="AG6" s="4"/>
      <c r="AL6" s="4"/>
      <c r="AQ6" s="4"/>
      <c r="AV6" s="4"/>
      <c r="BA6" s="4"/>
    </row>
    <row r="7" spans="2:57" s="1" customFormat="1" ht="51.6" customHeight="1">
      <c r="B7" s="7" t="s">
        <v>22</v>
      </c>
      <c r="C7" s="30">
        <f>T17</f>
        <v>0</v>
      </c>
      <c r="D7" s="30">
        <f>U17</f>
        <v>0</v>
      </c>
      <c r="E7" s="30">
        <f>V17</f>
        <v>0</v>
      </c>
      <c r="F7" s="30">
        <f>AC2</f>
        <v>0</v>
      </c>
      <c r="H7" s="4"/>
      <c r="M7" s="4"/>
      <c r="R7" s="4"/>
      <c r="W7" s="4"/>
      <c r="AB7" s="4"/>
      <c r="AG7" s="4"/>
      <c r="AL7" s="4"/>
      <c r="AQ7" s="4"/>
      <c r="AV7" s="4"/>
      <c r="BA7" s="4"/>
    </row>
    <row r="8" spans="2:57" s="1" customFormat="1" ht="51.6" customHeight="1">
      <c r="B8" s="7" t="s">
        <v>23</v>
      </c>
      <c r="C8" s="30">
        <f>Y17</f>
        <v>0</v>
      </c>
      <c r="D8" s="30">
        <f>Z17</f>
        <v>0</v>
      </c>
      <c r="E8" s="30">
        <f>AA17</f>
        <v>0</v>
      </c>
      <c r="F8" s="30">
        <f>AC2</f>
        <v>0</v>
      </c>
      <c r="H8" s="4"/>
      <c r="M8" s="4"/>
      <c r="R8" s="4"/>
      <c r="W8" s="4"/>
      <c r="AB8" s="4"/>
      <c r="AG8" s="4"/>
      <c r="AL8" s="4"/>
      <c r="AQ8" s="4"/>
      <c r="AV8" s="4"/>
      <c r="BA8" s="4"/>
    </row>
    <row r="9" spans="2:57" s="1" customFormat="1" ht="51.6" customHeight="1">
      <c r="B9" s="7" t="s">
        <v>24</v>
      </c>
      <c r="C9" s="30">
        <f>AD17</f>
        <v>0</v>
      </c>
      <c r="D9" s="30">
        <f>AE17</f>
        <v>0</v>
      </c>
      <c r="E9" s="30">
        <f>AF17</f>
        <v>0</v>
      </c>
      <c r="F9" s="30">
        <f>AC2</f>
        <v>0</v>
      </c>
      <c r="H9" s="4"/>
      <c r="M9" s="4"/>
      <c r="R9" s="4"/>
      <c r="W9" s="4"/>
      <c r="AB9" s="4"/>
      <c r="AG9" s="4"/>
      <c r="AL9" s="4"/>
      <c r="AQ9" s="4"/>
      <c r="AV9" s="4"/>
      <c r="BA9" s="4"/>
    </row>
    <row r="10" spans="2:57" s="1" customFormat="1" ht="51.6" customHeight="1">
      <c r="B10" s="7" t="s">
        <v>25</v>
      </c>
      <c r="C10" s="30">
        <f>AI17</f>
        <v>0</v>
      </c>
      <c r="D10" s="30">
        <f>AJ17</f>
        <v>0</v>
      </c>
      <c r="E10" s="30">
        <f>AK17</f>
        <v>0</v>
      </c>
      <c r="F10" s="30">
        <f>AC2</f>
        <v>0</v>
      </c>
      <c r="H10" s="4"/>
      <c r="M10" s="4"/>
      <c r="R10" s="4"/>
      <c r="W10" s="4"/>
      <c r="AB10" s="4"/>
      <c r="AG10" s="4"/>
      <c r="AL10" s="4"/>
      <c r="AQ10" s="4"/>
      <c r="AV10" s="4"/>
      <c r="BA10" s="4"/>
    </row>
    <row r="11" spans="2:57" s="1" customFormat="1" ht="51.6" customHeight="1">
      <c r="B11" s="7" t="s">
        <v>26</v>
      </c>
      <c r="C11" s="30">
        <f>AN17</f>
        <v>0</v>
      </c>
      <c r="D11" s="30">
        <f>AO17</f>
        <v>0</v>
      </c>
      <c r="E11" s="30">
        <f>AP17</f>
        <v>0</v>
      </c>
      <c r="F11" s="30">
        <f>AC2</f>
        <v>0</v>
      </c>
      <c r="H11" s="4"/>
      <c r="M11" s="4"/>
      <c r="R11" s="4"/>
      <c r="W11" s="4"/>
      <c r="AB11" s="4"/>
      <c r="AG11" s="4"/>
      <c r="AL11" s="4"/>
      <c r="AQ11" s="4"/>
      <c r="AV11" s="4"/>
      <c r="BA11" s="4"/>
    </row>
    <row r="12" spans="2:57" s="1" customFormat="1" ht="51.6" customHeight="1">
      <c r="B12" s="7" t="s">
        <v>27</v>
      </c>
      <c r="C12" s="30">
        <f>AS17</f>
        <v>0</v>
      </c>
      <c r="D12" s="30">
        <f>AT17</f>
        <v>0</v>
      </c>
      <c r="E12" s="30">
        <f>AU17</f>
        <v>0</v>
      </c>
      <c r="F12" s="30">
        <f>AC2</f>
        <v>0</v>
      </c>
      <c r="H12" s="4"/>
      <c r="M12" s="4"/>
      <c r="R12" s="4"/>
      <c r="W12" s="4"/>
      <c r="AB12" s="4"/>
      <c r="AG12" s="4"/>
      <c r="AL12" s="4"/>
      <c r="AQ12" s="4"/>
      <c r="AV12" s="4"/>
      <c r="BA12" s="4"/>
    </row>
    <row r="13" spans="2:57" s="1" customFormat="1" ht="51.6" customHeight="1">
      <c r="B13" s="7" t="s">
        <v>28</v>
      </c>
      <c r="C13" s="30">
        <f>AX17</f>
        <v>0</v>
      </c>
      <c r="D13" s="30">
        <f>AY17</f>
        <v>0</v>
      </c>
      <c r="E13" s="30">
        <f>AZ17</f>
        <v>0</v>
      </c>
      <c r="F13" s="30">
        <f>AC2</f>
        <v>0</v>
      </c>
      <c r="H13" s="4"/>
      <c r="M13" s="4"/>
      <c r="R13" s="4"/>
      <c r="W13" s="4"/>
      <c r="AB13" s="4"/>
      <c r="AG13" s="4"/>
      <c r="AL13" s="4"/>
      <c r="AQ13" s="4"/>
      <c r="AV13" s="4"/>
      <c r="BA13" s="4"/>
    </row>
    <row r="14" spans="2:57" s="1" customFormat="1" ht="51.6" customHeight="1">
      <c r="B14" s="7" t="s">
        <v>29</v>
      </c>
      <c r="C14" s="30">
        <f>BC17</f>
        <v>0</v>
      </c>
      <c r="D14" s="30">
        <f>BD17</f>
        <v>0</v>
      </c>
      <c r="E14" s="30">
        <f>BE17</f>
        <v>0</v>
      </c>
      <c r="F14" s="30">
        <f>AC2</f>
        <v>0</v>
      </c>
      <c r="H14" s="4"/>
      <c r="M14" s="4"/>
      <c r="R14" s="4"/>
      <c r="W14" s="4"/>
      <c r="AB14" s="4"/>
      <c r="AG14" s="4"/>
      <c r="AL14" s="4"/>
      <c r="AQ14" s="4"/>
      <c r="AV14" s="4"/>
      <c r="BA14" s="4"/>
    </row>
    <row r="15" spans="2:57" s="1" customFormat="1" ht="15.75">
      <c r="H15" s="4"/>
      <c r="M15" s="4"/>
      <c r="R15" s="4"/>
      <c r="W15" s="4"/>
      <c r="AB15" s="4"/>
      <c r="AG15" s="4"/>
      <c r="AL15" s="4"/>
      <c r="AQ15" s="4"/>
      <c r="AV15" s="4"/>
      <c r="BA15" s="4"/>
    </row>
    <row r="16" spans="2:57" s="2" customFormat="1" ht="94.15" customHeight="1">
      <c r="H16" s="43" t="s">
        <v>1</v>
      </c>
      <c r="I16" s="30" t="s">
        <v>20</v>
      </c>
      <c r="J16" s="8" t="s">
        <v>2</v>
      </c>
      <c r="K16" s="8" t="s">
        <v>3</v>
      </c>
      <c r="L16" s="8" t="s">
        <v>10</v>
      </c>
      <c r="M16" s="43" t="s">
        <v>1</v>
      </c>
      <c r="N16" s="30" t="s">
        <v>21</v>
      </c>
      <c r="O16" s="8" t="s">
        <v>2</v>
      </c>
      <c r="P16" s="8" t="s">
        <v>3</v>
      </c>
      <c r="Q16" s="8" t="s">
        <v>10</v>
      </c>
      <c r="R16" s="43" t="s">
        <v>1</v>
      </c>
      <c r="S16" s="30" t="s">
        <v>22</v>
      </c>
      <c r="T16" s="8" t="s">
        <v>2</v>
      </c>
      <c r="U16" s="8" t="s">
        <v>3</v>
      </c>
      <c r="V16" s="8" t="s">
        <v>10</v>
      </c>
      <c r="W16" s="43" t="s">
        <v>1</v>
      </c>
      <c r="X16" s="30" t="s">
        <v>23</v>
      </c>
      <c r="Y16" s="8" t="s">
        <v>2</v>
      </c>
      <c r="Z16" s="8" t="s">
        <v>3</v>
      </c>
      <c r="AA16" s="8" t="s">
        <v>10</v>
      </c>
      <c r="AB16" s="43" t="s">
        <v>1</v>
      </c>
      <c r="AC16" s="30" t="s">
        <v>24</v>
      </c>
      <c r="AD16" s="8" t="s">
        <v>2</v>
      </c>
      <c r="AE16" s="8" t="s">
        <v>3</v>
      </c>
      <c r="AF16" s="8" t="s">
        <v>10</v>
      </c>
      <c r="AG16" s="43" t="s">
        <v>1</v>
      </c>
      <c r="AH16" s="30" t="s">
        <v>25</v>
      </c>
      <c r="AI16" s="8" t="s">
        <v>2</v>
      </c>
      <c r="AJ16" s="8" t="s">
        <v>3</v>
      </c>
      <c r="AK16" s="8" t="s">
        <v>10</v>
      </c>
      <c r="AL16" s="43" t="s">
        <v>1</v>
      </c>
      <c r="AM16" s="30" t="s">
        <v>26</v>
      </c>
      <c r="AN16" s="8" t="s">
        <v>2</v>
      </c>
      <c r="AO16" s="8" t="s">
        <v>3</v>
      </c>
      <c r="AP16" s="8" t="s">
        <v>10</v>
      </c>
      <c r="AQ16" s="43" t="s">
        <v>1</v>
      </c>
      <c r="AR16" s="30" t="s">
        <v>27</v>
      </c>
      <c r="AS16" s="8" t="s">
        <v>2</v>
      </c>
      <c r="AT16" s="8" t="s">
        <v>3</v>
      </c>
      <c r="AU16" s="8" t="s">
        <v>10</v>
      </c>
      <c r="AV16" s="43" t="s">
        <v>1</v>
      </c>
      <c r="AW16" s="30" t="s">
        <v>28</v>
      </c>
      <c r="AX16" s="8" t="s">
        <v>2</v>
      </c>
      <c r="AY16" s="8" t="s">
        <v>3</v>
      </c>
      <c r="AZ16" s="8" t="s">
        <v>10</v>
      </c>
      <c r="BA16" s="43" t="s">
        <v>1</v>
      </c>
      <c r="BB16" s="30" t="s">
        <v>29</v>
      </c>
      <c r="BC16" s="8" t="s">
        <v>2</v>
      </c>
      <c r="BD16" s="8" t="s">
        <v>3</v>
      </c>
      <c r="BE16" s="8" t="s">
        <v>10</v>
      </c>
    </row>
    <row r="17" spans="1:57" s="2" customFormat="1" ht="63.6" customHeight="1">
      <c r="H17" s="43"/>
      <c r="I17" s="28" t="s">
        <v>4</v>
      </c>
      <c r="J17" s="9">
        <f>SUM(J18:J73)</f>
        <v>0</v>
      </c>
      <c r="K17" s="9">
        <f>SUM(K18:K73)</f>
        <v>0</v>
      </c>
      <c r="L17" s="9">
        <f>SUM(L18:L73)</f>
        <v>0</v>
      </c>
      <c r="M17" s="43"/>
      <c r="N17" s="28" t="s">
        <v>4</v>
      </c>
      <c r="O17" s="9">
        <f>SUM(O18:O73)</f>
        <v>0</v>
      </c>
      <c r="P17" s="9">
        <f>SUM(P18:P73)</f>
        <v>0</v>
      </c>
      <c r="Q17" s="9">
        <f>SUM(Q18:Q73)</f>
        <v>0</v>
      </c>
      <c r="R17" s="43"/>
      <c r="S17" s="28" t="s">
        <v>4</v>
      </c>
      <c r="T17" s="9">
        <f>SUM(T18:T73)</f>
        <v>0</v>
      </c>
      <c r="U17" s="9">
        <f>SUM(U18:U73)</f>
        <v>0</v>
      </c>
      <c r="V17" s="9">
        <f>SUM(V18:V73)</f>
        <v>0</v>
      </c>
      <c r="W17" s="43"/>
      <c r="X17" s="28" t="s">
        <v>4</v>
      </c>
      <c r="Y17" s="9">
        <f>SUM(Y18:Y73)</f>
        <v>0</v>
      </c>
      <c r="Z17" s="9">
        <f>SUM(Z18:Z73)</f>
        <v>0</v>
      </c>
      <c r="AA17" s="9">
        <f>SUM(AA18:AA73)</f>
        <v>0</v>
      </c>
      <c r="AB17" s="43"/>
      <c r="AC17" s="28" t="s">
        <v>4</v>
      </c>
      <c r="AD17" s="9">
        <f>SUM(AD18:AD73)</f>
        <v>0</v>
      </c>
      <c r="AE17" s="9">
        <f>SUM(AE18:AE73)</f>
        <v>0</v>
      </c>
      <c r="AF17" s="9">
        <f>SUM(AF18:AF73)</f>
        <v>0</v>
      </c>
      <c r="AG17" s="43"/>
      <c r="AH17" s="28" t="s">
        <v>4</v>
      </c>
      <c r="AI17" s="9">
        <f>SUM(AI18:AI73)</f>
        <v>0</v>
      </c>
      <c r="AJ17" s="9">
        <f>SUM(AJ18:AJ73)</f>
        <v>0</v>
      </c>
      <c r="AK17" s="9">
        <f>SUM(AK18:AK73)</f>
        <v>0</v>
      </c>
      <c r="AL17" s="43"/>
      <c r="AM17" s="28" t="s">
        <v>4</v>
      </c>
      <c r="AN17" s="9">
        <f>SUM(AN18:AN73)</f>
        <v>0</v>
      </c>
      <c r="AO17" s="9">
        <f>SUM(AO18:AO73)</f>
        <v>0</v>
      </c>
      <c r="AP17" s="9">
        <f>SUM(AP18:AP73)</f>
        <v>0</v>
      </c>
      <c r="AQ17" s="43"/>
      <c r="AR17" s="28" t="s">
        <v>4</v>
      </c>
      <c r="AS17" s="9">
        <f>SUM(AS18:AS73)</f>
        <v>0</v>
      </c>
      <c r="AT17" s="9">
        <f>SUM(AT18:AT73)</f>
        <v>0</v>
      </c>
      <c r="AU17" s="9">
        <f>SUM(AU18:AU73)</f>
        <v>0</v>
      </c>
      <c r="AV17" s="43"/>
      <c r="AW17" s="28" t="s">
        <v>4</v>
      </c>
      <c r="AX17" s="9">
        <f>SUM(AX18:AX73)</f>
        <v>0</v>
      </c>
      <c r="AY17" s="9">
        <f>SUM(AY18:AY73)</f>
        <v>0</v>
      </c>
      <c r="AZ17" s="9">
        <f>SUM(AZ18:AZ73)</f>
        <v>0</v>
      </c>
      <c r="BA17" s="43"/>
      <c r="BB17" s="28" t="s">
        <v>4</v>
      </c>
      <c r="BC17" s="9">
        <f>SUM(BC18:BC73)</f>
        <v>0</v>
      </c>
      <c r="BD17" s="9">
        <f>SUM(BD18:BD73)</f>
        <v>0</v>
      </c>
      <c r="BE17" s="9">
        <f>SUM(BE18:BE73)</f>
        <v>0</v>
      </c>
    </row>
    <row r="18" spans="1:57" s="2" customFormat="1" ht="90" customHeight="1">
      <c r="H18" s="29">
        <v>1</v>
      </c>
      <c r="I18" s="11"/>
      <c r="J18" s="12"/>
      <c r="K18" s="12"/>
      <c r="L18" s="12">
        <f>SUM(J18:K18)</f>
        <v>0</v>
      </c>
      <c r="M18" s="29">
        <v>1</v>
      </c>
      <c r="N18" s="11"/>
      <c r="O18" s="12"/>
      <c r="P18" s="12"/>
      <c r="Q18" s="12">
        <f>SUM(O18:P18)</f>
        <v>0</v>
      </c>
      <c r="R18" s="29">
        <v>1</v>
      </c>
      <c r="S18" s="13"/>
      <c r="T18" s="14"/>
      <c r="U18" s="14"/>
      <c r="V18" s="12">
        <f>SUM(T18:U18)</f>
        <v>0</v>
      </c>
      <c r="W18" s="29">
        <v>1</v>
      </c>
      <c r="X18" s="13"/>
      <c r="Y18" s="14"/>
      <c r="Z18" s="14"/>
      <c r="AA18" s="12">
        <f>SUM(Y18:Z18)</f>
        <v>0</v>
      </c>
      <c r="AB18" s="29">
        <v>1</v>
      </c>
      <c r="AC18" s="11"/>
      <c r="AD18" s="12"/>
      <c r="AE18" s="12"/>
      <c r="AF18" s="12">
        <f>SUM(AD18:AE18)</f>
        <v>0</v>
      </c>
      <c r="AG18" s="29">
        <v>1</v>
      </c>
      <c r="AH18" s="11"/>
      <c r="AI18" s="12"/>
      <c r="AJ18" s="12"/>
      <c r="AK18" s="12">
        <f>SUM(AI18:AJ18)</f>
        <v>0</v>
      </c>
      <c r="AL18" s="29">
        <v>1</v>
      </c>
      <c r="AM18" s="11"/>
      <c r="AN18" s="12"/>
      <c r="AO18" s="12"/>
      <c r="AP18" s="12">
        <f>SUM(AN18:AO18)</f>
        <v>0</v>
      </c>
      <c r="AQ18" s="29">
        <v>1</v>
      </c>
      <c r="AR18" s="11"/>
      <c r="AS18" s="12"/>
      <c r="AT18" s="12"/>
      <c r="AU18" s="12">
        <f>SUM(AS18:AT18)</f>
        <v>0</v>
      </c>
      <c r="AV18" s="29">
        <v>1</v>
      </c>
      <c r="AW18" s="11"/>
      <c r="AX18" s="12"/>
      <c r="AY18" s="12"/>
      <c r="AZ18" s="12">
        <f>SUM(AX18:AY18)</f>
        <v>0</v>
      </c>
      <c r="BA18" s="29">
        <v>1</v>
      </c>
      <c r="BB18" s="11"/>
      <c r="BC18" s="12"/>
      <c r="BD18" s="12"/>
      <c r="BE18" s="12">
        <f>SUM(BC18:BD18)</f>
        <v>0</v>
      </c>
    </row>
    <row r="19" spans="1:57" s="2" customFormat="1" ht="90" customHeight="1">
      <c r="H19" s="28">
        <v>2</v>
      </c>
      <c r="I19" s="13"/>
      <c r="J19" s="14"/>
      <c r="K19" s="14"/>
      <c r="L19" s="14">
        <f t="shared" ref="L19:L73" si="0">SUM(J19:K19)</f>
        <v>0</v>
      </c>
      <c r="M19" s="28">
        <v>2</v>
      </c>
      <c r="N19" s="13"/>
      <c r="O19" s="14"/>
      <c r="P19" s="14"/>
      <c r="Q19" s="14">
        <f t="shared" ref="Q19:Q73" si="1">SUM(O19:P19)</f>
        <v>0</v>
      </c>
      <c r="R19" s="28">
        <v>2</v>
      </c>
      <c r="S19" s="11"/>
      <c r="T19" s="12"/>
      <c r="U19" s="12"/>
      <c r="V19" s="14">
        <f t="shared" ref="V19:V73" si="2">SUM(T19:U19)</f>
        <v>0</v>
      </c>
      <c r="W19" s="28">
        <v>2</v>
      </c>
      <c r="X19" s="11"/>
      <c r="Y19" s="12"/>
      <c r="Z19" s="12"/>
      <c r="AA19" s="14">
        <f t="shared" ref="AA19:AA73" si="3">SUM(Y19:Z19)</f>
        <v>0</v>
      </c>
      <c r="AB19" s="28">
        <v>2</v>
      </c>
      <c r="AC19" s="13"/>
      <c r="AD19" s="14"/>
      <c r="AE19" s="14"/>
      <c r="AF19" s="14">
        <f t="shared" ref="AF19:AF73" si="4">SUM(AD19:AE19)</f>
        <v>0</v>
      </c>
      <c r="AG19" s="28">
        <v>2</v>
      </c>
      <c r="AH19" s="13"/>
      <c r="AI19" s="14"/>
      <c r="AJ19" s="14"/>
      <c r="AK19" s="14">
        <f t="shared" ref="AK19:AK73" si="5">SUM(AI19:AJ19)</f>
        <v>0</v>
      </c>
      <c r="AL19" s="28">
        <v>2</v>
      </c>
      <c r="AM19" s="13"/>
      <c r="AN19" s="14"/>
      <c r="AO19" s="14"/>
      <c r="AP19" s="14">
        <f t="shared" ref="AP19:AP73" si="6">SUM(AN19:AO19)</f>
        <v>0</v>
      </c>
      <c r="AQ19" s="28">
        <v>2</v>
      </c>
      <c r="AR19" s="13"/>
      <c r="AS19" s="14"/>
      <c r="AT19" s="14"/>
      <c r="AU19" s="14">
        <f t="shared" ref="AU19:AU73" si="7">SUM(AS19:AT19)</f>
        <v>0</v>
      </c>
      <c r="AV19" s="28">
        <v>2</v>
      </c>
      <c r="AW19" s="13"/>
      <c r="AX19" s="14"/>
      <c r="AY19" s="14"/>
      <c r="AZ19" s="14">
        <f t="shared" ref="AZ19:AZ73" si="8">SUM(AX19:AY19)</f>
        <v>0</v>
      </c>
      <c r="BA19" s="28">
        <v>2</v>
      </c>
      <c r="BB19" s="13"/>
      <c r="BC19" s="14"/>
      <c r="BD19" s="14"/>
      <c r="BE19" s="14">
        <f t="shared" ref="BE19:BE73" si="9">SUM(BC19:BD19)</f>
        <v>0</v>
      </c>
    </row>
    <row r="20" spans="1:57" s="2" customFormat="1" ht="90" customHeight="1">
      <c r="A20" s="18"/>
      <c r="H20" s="28">
        <v>3</v>
      </c>
      <c r="I20" s="13"/>
      <c r="J20" s="14"/>
      <c r="K20" s="14"/>
      <c r="L20" s="14">
        <f t="shared" si="0"/>
        <v>0</v>
      </c>
      <c r="M20" s="28">
        <v>3</v>
      </c>
      <c r="N20" s="13"/>
      <c r="O20" s="14"/>
      <c r="P20" s="14"/>
      <c r="Q20" s="14">
        <f t="shared" si="1"/>
        <v>0</v>
      </c>
      <c r="R20" s="28">
        <v>3</v>
      </c>
      <c r="S20" s="13"/>
      <c r="T20" s="14"/>
      <c r="U20" s="14"/>
      <c r="V20" s="14">
        <f t="shared" si="2"/>
        <v>0</v>
      </c>
      <c r="W20" s="28">
        <v>3</v>
      </c>
      <c r="X20" s="13"/>
      <c r="Y20" s="14"/>
      <c r="Z20" s="14"/>
      <c r="AA20" s="14">
        <f t="shared" si="3"/>
        <v>0</v>
      </c>
      <c r="AB20" s="28">
        <v>3</v>
      </c>
      <c r="AC20" s="13"/>
      <c r="AD20" s="14"/>
      <c r="AE20" s="14"/>
      <c r="AF20" s="14">
        <f t="shared" si="4"/>
        <v>0</v>
      </c>
      <c r="AG20" s="28">
        <v>3</v>
      </c>
      <c r="AH20" s="13"/>
      <c r="AI20" s="14"/>
      <c r="AJ20" s="14"/>
      <c r="AK20" s="14">
        <f t="shared" si="5"/>
        <v>0</v>
      </c>
      <c r="AL20" s="28">
        <v>3</v>
      </c>
      <c r="AM20" s="13"/>
      <c r="AN20" s="14"/>
      <c r="AO20" s="14"/>
      <c r="AP20" s="14">
        <f t="shared" si="6"/>
        <v>0</v>
      </c>
      <c r="AQ20" s="28">
        <v>3</v>
      </c>
      <c r="AR20" s="13"/>
      <c r="AS20" s="14"/>
      <c r="AT20" s="14"/>
      <c r="AU20" s="14">
        <f t="shared" si="7"/>
        <v>0</v>
      </c>
      <c r="AV20" s="28">
        <v>3</v>
      </c>
      <c r="AW20" s="13"/>
      <c r="AX20" s="14"/>
      <c r="AY20" s="14"/>
      <c r="AZ20" s="14">
        <f t="shared" si="8"/>
        <v>0</v>
      </c>
      <c r="BA20" s="28">
        <v>3</v>
      </c>
      <c r="BB20" s="13"/>
      <c r="BC20" s="14"/>
      <c r="BD20" s="14"/>
      <c r="BE20" s="14">
        <f t="shared" si="9"/>
        <v>0</v>
      </c>
    </row>
    <row r="21" spans="1:57" s="2" customFormat="1" ht="90" customHeight="1">
      <c r="H21" s="28">
        <v>4</v>
      </c>
      <c r="I21" s="13"/>
      <c r="J21" s="14"/>
      <c r="K21" s="14"/>
      <c r="L21" s="14">
        <f t="shared" si="0"/>
        <v>0</v>
      </c>
      <c r="M21" s="28">
        <v>4</v>
      </c>
      <c r="N21" s="13"/>
      <c r="O21" s="14"/>
      <c r="P21" s="14"/>
      <c r="Q21" s="14">
        <f t="shared" si="1"/>
        <v>0</v>
      </c>
      <c r="R21" s="28">
        <v>4</v>
      </c>
      <c r="S21" s="13"/>
      <c r="T21" s="14"/>
      <c r="U21" s="14"/>
      <c r="V21" s="14">
        <f t="shared" si="2"/>
        <v>0</v>
      </c>
      <c r="W21" s="28">
        <v>4</v>
      </c>
      <c r="X21" s="13"/>
      <c r="Y21" s="14"/>
      <c r="Z21" s="14"/>
      <c r="AA21" s="14">
        <f t="shared" si="3"/>
        <v>0</v>
      </c>
      <c r="AB21" s="28">
        <v>4</v>
      </c>
      <c r="AC21" s="13"/>
      <c r="AD21" s="14"/>
      <c r="AE21" s="14"/>
      <c r="AF21" s="14">
        <f t="shared" si="4"/>
        <v>0</v>
      </c>
      <c r="AG21" s="28">
        <v>4</v>
      </c>
      <c r="AH21" s="13"/>
      <c r="AI21" s="14"/>
      <c r="AJ21" s="14"/>
      <c r="AK21" s="14">
        <f t="shared" si="5"/>
        <v>0</v>
      </c>
      <c r="AL21" s="28">
        <v>4</v>
      </c>
      <c r="AM21" s="13"/>
      <c r="AN21" s="14"/>
      <c r="AO21" s="14"/>
      <c r="AP21" s="14">
        <f t="shared" si="6"/>
        <v>0</v>
      </c>
      <c r="AQ21" s="28">
        <v>4</v>
      </c>
      <c r="AR21" s="13"/>
      <c r="AS21" s="14"/>
      <c r="AT21" s="14"/>
      <c r="AU21" s="14">
        <f t="shared" si="7"/>
        <v>0</v>
      </c>
      <c r="AV21" s="28">
        <v>4</v>
      </c>
      <c r="AW21" s="13"/>
      <c r="AX21" s="14"/>
      <c r="AY21" s="14"/>
      <c r="AZ21" s="14">
        <f t="shared" si="8"/>
        <v>0</v>
      </c>
      <c r="BA21" s="28">
        <v>4</v>
      </c>
      <c r="BB21" s="13"/>
      <c r="BC21" s="14"/>
      <c r="BD21" s="14"/>
      <c r="BE21" s="14">
        <f t="shared" si="9"/>
        <v>0</v>
      </c>
    </row>
    <row r="22" spans="1:57" s="2" customFormat="1" ht="90" customHeight="1">
      <c r="H22" s="28">
        <v>5</v>
      </c>
      <c r="I22" s="13"/>
      <c r="J22" s="14"/>
      <c r="K22" s="14"/>
      <c r="L22" s="14">
        <f t="shared" si="0"/>
        <v>0</v>
      </c>
      <c r="M22" s="28">
        <v>5</v>
      </c>
      <c r="N22" s="13"/>
      <c r="O22" s="14"/>
      <c r="P22" s="14"/>
      <c r="Q22" s="14">
        <f t="shared" si="1"/>
        <v>0</v>
      </c>
      <c r="R22" s="28">
        <v>5</v>
      </c>
      <c r="S22" s="26"/>
      <c r="T22" s="14"/>
      <c r="U22" s="14"/>
      <c r="V22" s="14">
        <f t="shared" si="2"/>
        <v>0</v>
      </c>
      <c r="W22" s="28">
        <v>5</v>
      </c>
      <c r="X22" s="13"/>
      <c r="Y22" s="14"/>
      <c r="Z22" s="14"/>
      <c r="AA22" s="14">
        <f t="shared" si="3"/>
        <v>0</v>
      </c>
      <c r="AB22" s="28">
        <v>5</v>
      </c>
      <c r="AC22" s="13"/>
      <c r="AD22" s="14"/>
      <c r="AE22" s="14"/>
      <c r="AF22" s="14">
        <f t="shared" si="4"/>
        <v>0</v>
      </c>
      <c r="AG22" s="28">
        <v>5</v>
      </c>
      <c r="AH22" s="13"/>
      <c r="AI22" s="14"/>
      <c r="AJ22" s="14"/>
      <c r="AK22" s="14">
        <f t="shared" si="5"/>
        <v>0</v>
      </c>
      <c r="AL22" s="28">
        <v>5</v>
      </c>
      <c r="AM22" s="13"/>
      <c r="AN22" s="14"/>
      <c r="AO22" s="14"/>
      <c r="AP22" s="14">
        <f t="shared" si="6"/>
        <v>0</v>
      </c>
      <c r="AQ22" s="28">
        <v>5</v>
      </c>
      <c r="AR22" s="13"/>
      <c r="AS22" s="14"/>
      <c r="AT22" s="14"/>
      <c r="AU22" s="14">
        <f t="shared" si="7"/>
        <v>0</v>
      </c>
      <c r="AV22" s="28">
        <v>5</v>
      </c>
      <c r="AW22" s="13"/>
      <c r="AX22" s="14"/>
      <c r="AY22" s="14"/>
      <c r="AZ22" s="14">
        <f t="shared" si="8"/>
        <v>0</v>
      </c>
      <c r="BA22" s="28">
        <v>5</v>
      </c>
      <c r="BB22" s="13"/>
      <c r="BC22" s="14"/>
      <c r="BD22" s="14"/>
      <c r="BE22" s="14">
        <f t="shared" si="9"/>
        <v>0</v>
      </c>
    </row>
    <row r="23" spans="1:57" s="2" customFormat="1" ht="90" customHeight="1">
      <c r="H23" s="28">
        <v>6</v>
      </c>
      <c r="I23" s="13"/>
      <c r="J23" s="14"/>
      <c r="K23" s="14"/>
      <c r="L23" s="14">
        <f t="shared" si="0"/>
        <v>0</v>
      </c>
      <c r="M23" s="28">
        <v>6</v>
      </c>
      <c r="N23" s="13"/>
      <c r="O23" s="14"/>
      <c r="P23" s="14"/>
      <c r="Q23" s="14">
        <f t="shared" si="1"/>
        <v>0</v>
      </c>
      <c r="R23" s="28">
        <v>6</v>
      </c>
      <c r="S23" s="13"/>
      <c r="T23" s="14"/>
      <c r="U23" s="14"/>
      <c r="V23" s="14">
        <f t="shared" si="2"/>
        <v>0</v>
      </c>
      <c r="W23" s="28">
        <v>6</v>
      </c>
      <c r="X23" s="13"/>
      <c r="Y23" s="14"/>
      <c r="Z23" s="14"/>
      <c r="AA23" s="14">
        <f t="shared" si="3"/>
        <v>0</v>
      </c>
      <c r="AB23" s="28">
        <v>6</v>
      </c>
      <c r="AC23" s="13"/>
      <c r="AD23" s="14"/>
      <c r="AE23" s="14"/>
      <c r="AF23" s="14">
        <f t="shared" si="4"/>
        <v>0</v>
      </c>
      <c r="AG23" s="28">
        <v>6</v>
      </c>
      <c r="AH23" s="13"/>
      <c r="AI23" s="14"/>
      <c r="AJ23" s="14"/>
      <c r="AK23" s="14">
        <f t="shared" si="5"/>
        <v>0</v>
      </c>
      <c r="AL23" s="28">
        <v>6</v>
      </c>
      <c r="AM23" s="13"/>
      <c r="AN23" s="14"/>
      <c r="AO23" s="14"/>
      <c r="AP23" s="14">
        <f t="shared" si="6"/>
        <v>0</v>
      </c>
      <c r="AQ23" s="28">
        <v>6</v>
      </c>
      <c r="AR23" s="13"/>
      <c r="AS23" s="14"/>
      <c r="AT23" s="14"/>
      <c r="AU23" s="14">
        <f t="shared" si="7"/>
        <v>0</v>
      </c>
      <c r="AV23" s="28">
        <v>6</v>
      </c>
      <c r="AW23" s="13"/>
      <c r="AX23" s="14"/>
      <c r="AY23" s="14"/>
      <c r="AZ23" s="14">
        <f t="shared" si="8"/>
        <v>0</v>
      </c>
      <c r="BA23" s="28">
        <v>6</v>
      </c>
      <c r="BB23" s="13"/>
      <c r="BC23" s="14"/>
      <c r="BD23" s="14"/>
      <c r="BE23" s="14">
        <f t="shared" si="9"/>
        <v>0</v>
      </c>
    </row>
    <row r="24" spans="1:57" s="2" customFormat="1" ht="90" customHeight="1">
      <c r="H24" s="28">
        <v>7</v>
      </c>
      <c r="I24" s="11"/>
      <c r="J24" s="12"/>
      <c r="K24" s="12"/>
      <c r="L24" s="14">
        <f t="shared" si="0"/>
        <v>0</v>
      </c>
      <c r="M24" s="28">
        <v>7</v>
      </c>
      <c r="N24" s="13"/>
      <c r="O24" s="14"/>
      <c r="P24" s="14"/>
      <c r="Q24" s="14">
        <f t="shared" si="1"/>
        <v>0</v>
      </c>
      <c r="R24" s="28">
        <v>7</v>
      </c>
      <c r="S24" s="13"/>
      <c r="T24" s="14"/>
      <c r="U24" s="14"/>
      <c r="V24" s="14">
        <f t="shared" si="2"/>
        <v>0</v>
      </c>
      <c r="W24" s="28">
        <v>7</v>
      </c>
      <c r="X24" s="13"/>
      <c r="Y24" s="14"/>
      <c r="Z24" s="14"/>
      <c r="AA24" s="14">
        <f t="shared" si="3"/>
        <v>0</v>
      </c>
      <c r="AB24" s="28">
        <v>7</v>
      </c>
      <c r="AC24" s="13"/>
      <c r="AD24" s="14"/>
      <c r="AE24" s="14"/>
      <c r="AF24" s="14">
        <f t="shared" si="4"/>
        <v>0</v>
      </c>
      <c r="AG24" s="28">
        <v>7</v>
      </c>
      <c r="AH24" s="13"/>
      <c r="AI24" s="14"/>
      <c r="AJ24" s="14"/>
      <c r="AK24" s="14">
        <f t="shared" si="5"/>
        <v>0</v>
      </c>
      <c r="AL24" s="28">
        <v>7</v>
      </c>
      <c r="AM24" s="13"/>
      <c r="AN24" s="14"/>
      <c r="AO24" s="14"/>
      <c r="AP24" s="14">
        <f t="shared" si="6"/>
        <v>0</v>
      </c>
      <c r="AQ24" s="28">
        <v>7</v>
      </c>
      <c r="AR24" s="13"/>
      <c r="AS24" s="14"/>
      <c r="AT24" s="14"/>
      <c r="AU24" s="14">
        <f t="shared" si="7"/>
        <v>0</v>
      </c>
      <c r="AV24" s="28">
        <v>7</v>
      </c>
      <c r="AW24" s="13"/>
      <c r="AX24" s="14"/>
      <c r="AY24" s="14"/>
      <c r="AZ24" s="14">
        <f t="shared" si="8"/>
        <v>0</v>
      </c>
      <c r="BA24" s="28">
        <v>7</v>
      </c>
      <c r="BB24" s="13"/>
      <c r="BC24" s="14"/>
      <c r="BD24" s="14"/>
      <c r="BE24" s="14">
        <f t="shared" si="9"/>
        <v>0</v>
      </c>
    </row>
    <row r="25" spans="1:57" s="2" customFormat="1" ht="90" customHeight="1">
      <c r="H25" s="28">
        <v>8</v>
      </c>
      <c r="I25" s="13"/>
      <c r="J25" s="14"/>
      <c r="K25" s="14"/>
      <c r="L25" s="14">
        <f t="shared" si="0"/>
        <v>0</v>
      </c>
      <c r="M25" s="28">
        <v>8</v>
      </c>
      <c r="N25" s="13"/>
      <c r="O25" s="14"/>
      <c r="P25" s="14"/>
      <c r="Q25" s="14">
        <f t="shared" si="1"/>
        <v>0</v>
      </c>
      <c r="R25" s="28">
        <v>8</v>
      </c>
      <c r="S25" s="13"/>
      <c r="T25" s="14"/>
      <c r="U25" s="14"/>
      <c r="V25" s="14">
        <f t="shared" si="2"/>
        <v>0</v>
      </c>
      <c r="W25" s="28">
        <v>8</v>
      </c>
      <c r="X25" s="13"/>
      <c r="Y25" s="14"/>
      <c r="Z25" s="14"/>
      <c r="AA25" s="14">
        <f t="shared" si="3"/>
        <v>0</v>
      </c>
      <c r="AB25" s="28">
        <v>8</v>
      </c>
      <c r="AC25" s="13"/>
      <c r="AD25" s="14"/>
      <c r="AE25" s="14"/>
      <c r="AF25" s="14">
        <f t="shared" si="4"/>
        <v>0</v>
      </c>
      <c r="AG25" s="28">
        <v>8</v>
      </c>
      <c r="AH25" s="13"/>
      <c r="AI25" s="14"/>
      <c r="AJ25" s="14"/>
      <c r="AK25" s="14">
        <f t="shared" si="5"/>
        <v>0</v>
      </c>
      <c r="AL25" s="28">
        <v>8</v>
      </c>
      <c r="AM25" s="13"/>
      <c r="AN25" s="14"/>
      <c r="AO25" s="14"/>
      <c r="AP25" s="14">
        <f t="shared" si="6"/>
        <v>0</v>
      </c>
      <c r="AQ25" s="28">
        <v>8</v>
      </c>
      <c r="AR25" s="13"/>
      <c r="AS25" s="14"/>
      <c r="AT25" s="14"/>
      <c r="AU25" s="14">
        <f t="shared" si="7"/>
        <v>0</v>
      </c>
      <c r="AV25" s="28">
        <v>8</v>
      </c>
      <c r="AW25" s="13"/>
      <c r="AX25" s="14"/>
      <c r="AY25" s="14"/>
      <c r="AZ25" s="14">
        <f t="shared" si="8"/>
        <v>0</v>
      </c>
      <c r="BA25" s="28">
        <v>8</v>
      </c>
      <c r="BB25" s="13"/>
      <c r="BC25" s="14"/>
      <c r="BD25" s="14"/>
      <c r="BE25" s="14">
        <f t="shared" si="9"/>
        <v>0</v>
      </c>
    </row>
    <row r="26" spans="1:57" s="2" customFormat="1" ht="90" customHeight="1">
      <c r="H26" s="28">
        <v>9</v>
      </c>
      <c r="I26" s="13"/>
      <c r="J26" s="14"/>
      <c r="K26" s="14"/>
      <c r="L26" s="14">
        <f t="shared" si="0"/>
        <v>0</v>
      </c>
      <c r="M26" s="28">
        <v>9</v>
      </c>
      <c r="N26" s="13"/>
      <c r="O26" s="14"/>
      <c r="P26" s="14"/>
      <c r="Q26" s="14">
        <f t="shared" si="1"/>
        <v>0</v>
      </c>
      <c r="R26" s="28">
        <v>9</v>
      </c>
      <c r="S26" s="13"/>
      <c r="T26" s="14"/>
      <c r="U26" s="14"/>
      <c r="V26" s="14">
        <f t="shared" si="2"/>
        <v>0</v>
      </c>
      <c r="W26" s="28">
        <v>9</v>
      </c>
      <c r="X26" s="13"/>
      <c r="Y26" s="14"/>
      <c r="Z26" s="14"/>
      <c r="AA26" s="14">
        <f t="shared" si="3"/>
        <v>0</v>
      </c>
      <c r="AB26" s="28">
        <v>9</v>
      </c>
      <c r="AC26" s="13"/>
      <c r="AD26" s="14"/>
      <c r="AE26" s="14"/>
      <c r="AF26" s="14">
        <f t="shared" si="4"/>
        <v>0</v>
      </c>
      <c r="AG26" s="28">
        <v>9</v>
      </c>
      <c r="AH26" s="13"/>
      <c r="AI26" s="14"/>
      <c r="AJ26" s="14"/>
      <c r="AK26" s="14">
        <f t="shared" si="5"/>
        <v>0</v>
      </c>
      <c r="AL26" s="28">
        <v>9</v>
      </c>
      <c r="AM26" s="13"/>
      <c r="AN26" s="14"/>
      <c r="AO26" s="14"/>
      <c r="AP26" s="14">
        <f t="shared" si="6"/>
        <v>0</v>
      </c>
      <c r="AQ26" s="28">
        <v>9</v>
      </c>
      <c r="AR26" s="13"/>
      <c r="AS26" s="14"/>
      <c r="AT26" s="14"/>
      <c r="AU26" s="14">
        <f t="shared" si="7"/>
        <v>0</v>
      </c>
      <c r="AV26" s="28">
        <v>9</v>
      </c>
      <c r="AW26" s="13"/>
      <c r="AX26" s="14"/>
      <c r="AY26" s="14"/>
      <c r="AZ26" s="14">
        <f t="shared" si="8"/>
        <v>0</v>
      </c>
      <c r="BA26" s="28">
        <v>9</v>
      </c>
      <c r="BB26" s="13"/>
      <c r="BC26" s="14"/>
      <c r="BD26" s="14"/>
      <c r="BE26" s="14">
        <f t="shared" si="9"/>
        <v>0</v>
      </c>
    </row>
    <row r="27" spans="1:57" s="2" customFormat="1" ht="85.15" customHeight="1">
      <c r="H27" s="28">
        <v>10</v>
      </c>
      <c r="I27" s="13"/>
      <c r="J27" s="14"/>
      <c r="K27" s="14"/>
      <c r="L27" s="14">
        <f t="shared" si="0"/>
        <v>0</v>
      </c>
      <c r="M27" s="28">
        <v>10</v>
      </c>
      <c r="N27" s="13"/>
      <c r="O27" s="14"/>
      <c r="P27" s="14"/>
      <c r="Q27" s="14">
        <f t="shared" si="1"/>
        <v>0</v>
      </c>
      <c r="R27" s="28">
        <v>10</v>
      </c>
      <c r="S27" s="13"/>
      <c r="T27" s="14"/>
      <c r="U27" s="14"/>
      <c r="V27" s="14">
        <f t="shared" si="2"/>
        <v>0</v>
      </c>
      <c r="W27" s="28">
        <v>10</v>
      </c>
      <c r="X27" s="13"/>
      <c r="Y27" s="14"/>
      <c r="Z27" s="14"/>
      <c r="AA27" s="14">
        <f t="shared" si="3"/>
        <v>0</v>
      </c>
      <c r="AB27" s="28">
        <v>10</v>
      </c>
      <c r="AC27" s="13"/>
      <c r="AD27" s="14"/>
      <c r="AE27" s="14"/>
      <c r="AF27" s="14">
        <f t="shared" si="4"/>
        <v>0</v>
      </c>
      <c r="AG27" s="28">
        <v>10</v>
      </c>
      <c r="AH27" s="13"/>
      <c r="AI27" s="14"/>
      <c r="AJ27" s="14"/>
      <c r="AK27" s="14">
        <f t="shared" si="5"/>
        <v>0</v>
      </c>
      <c r="AL27" s="28">
        <v>10</v>
      </c>
      <c r="AM27" s="13"/>
      <c r="AN27" s="14"/>
      <c r="AO27" s="14"/>
      <c r="AP27" s="14">
        <f t="shared" si="6"/>
        <v>0</v>
      </c>
      <c r="AQ27" s="28">
        <v>10</v>
      </c>
      <c r="AR27" s="13"/>
      <c r="AS27" s="14"/>
      <c r="AT27" s="14"/>
      <c r="AU27" s="14">
        <f t="shared" si="7"/>
        <v>0</v>
      </c>
      <c r="AV27" s="28">
        <v>10</v>
      </c>
      <c r="AW27" s="13"/>
      <c r="AX27" s="14"/>
      <c r="AY27" s="14"/>
      <c r="AZ27" s="14">
        <f t="shared" si="8"/>
        <v>0</v>
      </c>
      <c r="BA27" s="28">
        <v>10</v>
      </c>
      <c r="BB27" s="13"/>
      <c r="BC27" s="14"/>
      <c r="BD27" s="14"/>
      <c r="BE27" s="14">
        <f t="shared" si="9"/>
        <v>0</v>
      </c>
    </row>
    <row r="28" spans="1:57" s="2" customFormat="1" ht="85.15" customHeight="1">
      <c r="H28" s="28">
        <v>11</v>
      </c>
      <c r="I28" s="13"/>
      <c r="J28" s="14"/>
      <c r="K28" s="14"/>
      <c r="L28" s="14">
        <f t="shared" si="0"/>
        <v>0</v>
      </c>
      <c r="M28" s="28">
        <v>11</v>
      </c>
      <c r="N28" s="13"/>
      <c r="O28" s="14"/>
      <c r="P28" s="14"/>
      <c r="Q28" s="14">
        <f t="shared" si="1"/>
        <v>0</v>
      </c>
      <c r="R28" s="28">
        <v>11</v>
      </c>
      <c r="S28" s="13"/>
      <c r="T28" s="14"/>
      <c r="U28" s="14"/>
      <c r="V28" s="14">
        <f t="shared" si="2"/>
        <v>0</v>
      </c>
      <c r="W28" s="28">
        <v>11</v>
      </c>
      <c r="X28" s="13"/>
      <c r="Y28" s="14"/>
      <c r="Z28" s="14"/>
      <c r="AA28" s="14">
        <f t="shared" si="3"/>
        <v>0</v>
      </c>
      <c r="AB28" s="28">
        <v>11</v>
      </c>
      <c r="AC28" s="13"/>
      <c r="AD28" s="14"/>
      <c r="AE28" s="14"/>
      <c r="AF28" s="14">
        <f t="shared" si="4"/>
        <v>0</v>
      </c>
      <c r="AG28" s="28">
        <v>11</v>
      </c>
      <c r="AH28" s="13"/>
      <c r="AI28" s="14"/>
      <c r="AJ28" s="14"/>
      <c r="AK28" s="14">
        <f t="shared" si="5"/>
        <v>0</v>
      </c>
      <c r="AL28" s="28">
        <v>11</v>
      </c>
      <c r="AM28" s="13"/>
      <c r="AN28" s="14"/>
      <c r="AO28" s="14"/>
      <c r="AP28" s="14">
        <f t="shared" si="6"/>
        <v>0</v>
      </c>
      <c r="AQ28" s="28">
        <v>11</v>
      </c>
      <c r="AR28" s="13"/>
      <c r="AS28" s="14"/>
      <c r="AT28" s="14"/>
      <c r="AU28" s="14">
        <f t="shared" si="7"/>
        <v>0</v>
      </c>
      <c r="AV28" s="28">
        <v>11</v>
      </c>
      <c r="AW28" s="13"/>
      <c r="AX28" s="14"/>
      <c r="AY28" s="14"/>
      <c r="AZ28" s="14">
        <f t="shared" si="8"/>
        <v>0</v>
      </c>
      <c r="BA28" s="28">
        <v>11</v>
      </c>
      <c r="BB28" s="13"/>
      <c r="BC28" s="14"/>
      <c r="BD28" s="14"/>
      <c r="BE28" s="14">
        <f t="shared" si="9"/>
        <v>0</v>
      </c>
    </row>
    <row r="29" spans="1:57" s="2" customFormat="1" ht="85.15" customHeight="1">
      <c r="H29" s="28">
        <v>12</v>
      </c>
      <c r="I29" s="13"/>
      <c r="J29" s="14"/>
      <c r="K29" s="14"/>
      <c r="L29" s="14">
        <f t="shared" si="0"/>
        <v>0</v>
      </c>
      <c r="M29" s="28">
        <v>12</v>
      </c>
      <c r="N29" s="13"/>
      <c r="O29" s="14"/>
      <c r="P29" s="14"/>
      <c r="Q29" s="14">
        <f t="shared" si="1"/>
        <v>0</v>
      </c>
      <c r="R29" s="28">
        <v>12</v>
      </c>
      <c r="S29" s="13"/>
      <c r="T29" s="14"/>
      <c r="U29" s="14"/>
      <c r="V29" s="14">
        <f t="shared" si="2"/>
        <v>0</v>
      </c>
      <c r="W29" s="28">
        <v>12</v>
      </c>
      <c r="X29" s="13"/>
      <c r="Y29" s="14"/>
      <c r="Z29" s="14"/>
      <c r="AA29" s="14">
        <f t="shared" si="3"/>
        <v>0</v>
      </c>
      <c r="AB29" s="28">
        <v>12</v>
      </c>
      <c r="AC29" s="13"/>
      <c r="AD29" s="14"/>
      <c r="AE29" s="14"/>
      <c r="AF29" s="14">
        <f t="shared" si="4"/>
        <v>0</v>
      </c>
      <c r="AG29" s="28">
        <v>12</v>
      </c>
      <c r="AH29" s="13"/>
      <c r="AI29" s="14"/>
      <c r="AJ29" s="14"/>
      <c r="AK29" s="14">
        <f t="shared" si="5"/>
        <v>0</v>
      </c>
      <c r="AL29" s="28">
        <v>12</v>
      </c>
      <c r="AM29" s="13"/>
      <c r="AN29" s="14"/>
      <c r="AO29" s="14"/>
      <c r="AP29" s="14">
        <f t="shared" si="6"/>
        <v>0</v>
      </c>
      <c r="AQ29" s="28">
        <v>12</v>
      </c>
      <c r="AR29" s="13"/>
      <c r="AS29" s="14"/>
      <c r="AT29" s="14"/>
      <c r="AU29" s="14">
        <f t="shared" si="7"/>
        <v>0</v>
      </c>
      <c r="AV29" s="28">
        <v>12</v>
      </c>
      <c r="AW29" s="13"/>
      <c r="AX29" s="14"/>
      <c r="AY29" s="14"/>
      <c r="AZ29" s="14">
        <f t="shared" si="8"/>
        <v>0</v>
      </c>
      <c r="BA29" s="28">
        <v>12</v>
      </c>
      <c r="BB29" s="13"/>
      <c r="BC29" s="14"/>
      <c r="BD29" s="14"/>
      <c r="BE29" s="14">
        <f t="shared" si="9"/>
        <v>0</v>
      </c>
    </row>
    <row r="30" spans="1:57" s="2" customFormat="1" ht="85.15" customHeight="1">
      <c r="H30" s="28">
        <v>13</v>
      </c>
      <c r="I30" s="13"/>
      <c r="J30" s="14"/>
      <c r="K30" s="14"/>
      <c r="L30" s="14">
        <f t="shared" si="0"/>
        <v>0</v>
      </c>
      <c r="M30" s="28">
        <v>13</v>
      </c>
      <c r="N30" s="13"/>
      <c r="O30" s="14"/>
      <c r="P30" s="14"/>
      <c r="Q30" s="14">
        <f t="shared" si="1"/>
        <v>0</v>
      </c>
      <c r="R30" s="28">
        <v>13</v>
      </c>
      <c r="S30" s="13"/>
      <c r="T30" s="14"/>
      <c r="U30" s="14"/>
      <c r="V30" s="14">
        <f t="shared" si="2"/>
        <v>0</v>
      </c>
      <c r="W30" s="28">
        <v>13</v>
      </c>
      <c r="X30" s="13"/>
      <c r="Y30" s="14"/>
      <c r="Z30" s="14"/>
      <c r="AA30" s="14">
        <f t="shared" si="3"/>
        <v>0</v>
      </c>
      <c r="AB30" s="28">
        <v>13</v>
      </c>
      <c r="AC30" s="13"/>
      <c r="AD30" s="14"/>
      <c r="AE30" s="14"/>
      <c r="AF30" s="14">
        <f t="shared" si="4"/>
        <v>0</v>
      </c>
      <c r="AG30" s="28">
        <v>13</v>
      </c>
      <c r="AH30" s="13"/>
      <c r="AI30" s="14"/>
      <c r="AJ30" s="14"/>
      <c r="AK30" s="14">
        <f t="shared" si="5"/>
        <v>0</v>
      </c>
      <c r="AL30" s="28">
        <v>13</v>
      </c>
      <c r="AM30" s="13"/>
      <c r="AN30" s="14"/>
      <c r="AO30" s="14"/>
      <c r="AP30" s="14">
        <f t="shared" si="6"/>
        <v>0</v>
      </c>
      <c r="AQ30" s="28">
        <v>13</v>
      </c>
      <c r="AR30" s="13"/>
      <c r="AS30" s="14"/>
      <c r="AT30" s="14"/>
      <c r="AU30" s="14">
        <f t="shared" si="7"/>
        <v>0</v>
      </c>
      <c r="AV30" s="28">
        <v>13</v>
      </c>
      <c r="AW30" s="13"/>
      <c r="AX30" s="14"/>
      <c r="AY30" s="14"/>
      <c r="AZ30" s="14">
        <f t="shared" si="8"/>
        <v>0</v>
      </c>
      <c r="BA30" s="28">
        <v>13</v>
      </c>
      <c r="BB30" s="13"/>
      <c r="BC30" s="14"/>
      <c r="BD30" s="14"/>
      <c r="BE30" s="14">
        <f t="shared" si="9"/>
        <v>0</v>
      </c>
    </row>
    <row r="31" spans="1:57" s="2" customFormat="1" ht="85.15" customHeight="1">
      <c r="H31" s="28">
        <v>14</v>
      </c>
      <c r="I31" s="13"/>
      <c r="J31" s="14"/>
      <c r="K31" s="14"/>
      <c r="L31" s="14">
        <f t="shared" si="0"/>
        <v>0</v>
      </c>
      <c r="M31" s="28">
        <v>14</v>
      </c>
      <c r="N31" s="13"/>
      <c r="O31" s="14"/>
      <c r="P31" s="14"/>
      <c r="Q31" s="14">
        <f t="shared" si="1"/>
        <v>0</v>
      </c>
      <c r="R31" s="28">
        <v>14</v>
      </c>
      <c r="S31" s="13"/>
      <c r="T31" s="14"/>
      <c r="U31" s="14"/>
      <c r="V31" s="14">
        <f t="shared" si="2"/>
        <v>0</v>
      </c>
      <c r="W31" s="28">
        <v>14</v>
      </c>
      <c r="X31" s="13"/>
      <c r="Y31" s="14"/>
      <c r="Z31" s="14"/>
      <c r="AA31" s="14">
        <f t="shared" si="3"/>
        <v>0</v>
      </c>
      <c r="AB31" s="28">
        <v>14</v>
      </c>
      <c r="AC31" s="13"/>
      <c r="AD31" s="14"/>
      <c r="AE31" s="14"/>
      <c r="AF31" s="14">
        <f t="shared" si="4"/>
        <v>0</v>
      </c>
      <c r="AG31" s="28">
        <v>14</v>
      </c>
      <c r="AH31" s="13"/>
      <c r="AI31" s="14"/>
      <c r="AJ31" s="14"/>
      <c r="AK31" s="14">
        <f t="shared" si="5"/>
        <v>0</v>
      </c>
      <c r="AL31" s="28">
        <v>14</v>
      </c>
      <c r="AM31" s="13"/>
      <c r="AN31" s="14"/>
      <c r="AO31" s="14"/>
      <c r="AP31" s="14">
        <f t="shared" si="6"/>
        <v>0</v>
      </c>
      <c r="AQ31" s="28">
        <v>14</v>
      </c>
      <c r="AR31" s="13"/>
      <c r="AS31" s="14"/>
      <c r="AT31" s="14"/>
      <c r="AU31" s="14">
        <f t="shared" si="7"/>
        <v>0</v>
      </c>
      <c r="AV31" s="28">
        <v>14</v>
      </c>
      <c r="AW31" s="13"/>
      <c r="AX31" s="14"/>
      <c r="AY31" s="14"/>
      <c r="AZ31" s="14">
        <f t="shared" si="8"/>
        <v>0</v>
      </c>
      <c r="BA31" s="28">
        <v>14</v>
      </c>
      <c r="BB31" s="13"/>
      <c r="BC31" s="14"/>
      <c r="BD31" s="14"/>
      <c r="BE31" s="14">
        <f t="shared" si="9"/>
        <v>0</v>
      </c>
    </row>
    <row r="32" spans="1:57" s="2" customFormat="1" ht="85.15" customHeight="1">
      <c r="H32" s="28">
        <v>15</v>
      </c>
      <c r="I32" s="13"/>
      <c r="J32" s="14"/>
      <c r="K32" s="14"/>
      <c r="L32" s="14">
        <f t="shared" si="0"/>
        <v>0</v>
      </c>
      <c r="M32" s="28">
        <v>15</v>
      </c>
      <c r="N32" s="13"/>
      <c r="O32" s="14"/>
      <c r="P32" s="14"/>
      <c r="Q32" s="14">
        <f t="shared" si="1"/>
        <v>0</v>
      </c>
      <c r="R32" s="28">
        <v>15</v>
      </c>
      <c r="S32" s="13"/>
      <c r="T32" s="14"/>
      <c r="U32" s="14"/>
      <c r="V32" s="14">
        <f t="shared" si="2"/>
        <v>0</v>
      </c>
      <c r="W32" s="28">
        <v>15</v>
      </c>
      <c r="X32" s="13"/>
      <c r="Y32" s="14"/>
      <c r="Z32" s="14"/>
      <c r="AA32" s="14">
        <f t="shared" si="3"/>
        <v>0</v>
      </c>
      <c r="AB32" s="28">
        <v>15</v>
      </c>
      <c r="AC32" s="13"/>
      <c r="AD32" s="14"/>
      <c r="AE32" s="14"/>
      <c r="AF32" s="14">
        <f t="shared" si="4"/>
        <v>0</v>
      </c>
      <c r="AG32" s="28">
        <v>15</v>
      </c>
      <c r="AH32" s="13"/>
      <c r="AI32" s="14"/>
      <c r="AJ32" s="14"/>
      <c r="AK32" s="14">
        <f t="shared" si="5"/>
        <v>0</v>
      </c>
      <c r="AL32" s="28">
        <v>15</v>
      </c>
      <c r="AM32" s="13"/>
      <c r="AN32" s="14"/>
      <c r="AO32" s="14"/>
      <c r="AP32" s="14">
        <f t="shared" si="6"/>
        <v>0</v>
      </c>
      <c r="AQ32" s="28">
        <v>15</v>
      </c>
      <c r="AR32" s="13"/>
      <c r="AS32" s="14"/>
      <c r="AT32" s="14"/>
      <c r="AU32" s="14">
        <f t="shared" si="7"/>
        <v>0</v>
      </c>
      <c r="AV32" s="28">
        <v>15</v>
      </c>
      <c r="AW32" s="13"/>
      <c r="AX32" s="14"/>
      <c r="AY32" s="14"/>
      <c r="AZ32" s="14">
        <f t="shared" si="8"/>
        <v>0</v>
      </c>
      <c r="BA32" s="28">
        <v>15</v>
      </c>
      <c r="BB32" s="13"/>
      <c r="BC32" s="14"/>
      <c r="BD32" s="14"/>
      <c r="BE32" s="14">
        <f t="shared" si="9"/>
        <v>0</v>
      </c>
    </row>
    <row r="33" spans="8:57" s="2" customFormat="1" ht="85.15" customHeight="1">
      <c r="H33" s="28">
        <v>16</v>
      </c>
      <c r="I33" s="13"/>
      <c r="J33" s="14"/>
      <c r="K33" s="14"/>
      <c r="L33" s="14">
        <f t="shared" si="0"/>
        <v>0</v>
      </c>
      <c r="M33" s="28">
        <v>16</v>
      </c>
      <c r="N33" s="13"/>
      <c r="O33" s="14"/>
      <c r="P33" s="14"/>
      <c r="Q33" s="14">
        <f t="shared" si="1"/>
        <v>0</v>
      </c>
      <c r="R33" s="28">
        <v>16</v>
      </c>
      <c r="S33" s="13"/>
      <c r="T33" s="14"/>
      <c r="U33" s="14"/>
      <c r="V33" s="14">
        <f t="shared" si="2"/>
        <v>0</v>
      </c>
      <c r="W33" s="28">
        <v>16</v>
      </c>
      <c r="X33" s="13"/>
      <c r="Y33" s="14"/>
      <c r="Z33" s="14"/>
      <c r="AA33" s="14">
        <f t="shared" si="3"/>
        <v>0</v>
      </c>
      <c r="AB33" s="28">
        <v>16</v>
      </c>
      <c r="AC33" s="13"/>
      <c r="AD33" s="14"/>
      <c r="AE33" s="14"/>
      <c r="AF33" s="14">
        <f t="shared" si="4"/>
        <v>0</v>
      </c>
      <c r="AG33" s="28">
        <v>16</v>
      </c>
      <c r="AH33" s="13"/>
      <c r="AI33" s="14"/>
      <c r="AJ33" s="14"/>
      <c r="AK33" s="14">
        <f t="shared" si="5"/>
        <v>0</v>
      </c>
      <c r="AL33" s="28">
        <v>16</v>
      </c>
      <c r="AM33" s="13"/>
      <c r="AN33" s="14"/>
      <c r="AO33" s="14"/>
      <c r="AP33" s="14">
        <f t="shared" si="6"/>
        <v>0</v>
      </c>
      <c r="AQ33" s="28">
        <v>16</v>
      </c>
      <c r="AR33" s="13"/>
      <c r="AS33" s="14"/>
      <c r="AT33" s="14"/>
      <c r="AU33" s="14">
        <f t="shared" si="7"/>
        <v>0</v>
      </c>
      <c r="AV33" s="28">
        <v>16</v>
      </c>
      <c r="AW33" s="13"/>
      <c r="AX33" s="14"/>
      <c r="AY33" s="14"/>
      <c r="AZ33" s="14">
        <f t="shared" si="8"/>
        <v>0</v>
      </c>
      <c r="BA33" s="28">
        <v>16</v>
      </c>
      <c r="BB33" s="13"/>
      <c r="BC33" s="14"/>
      <c r="BD33" s="14"/>
      <c r="BE33" s="14">
        <f t="shared" si="9"/>
        <v>0</v>
      </c>
    </row>
    <row r="34" spans="8:57" s="2" customFormat="1" ht="85.15" customHeight="1">
      <c r="H34" s="28">
        <v>17</v>
      </c>
      <c r="I34" s="13"/>
      <c r="J34" s="14"/>
      <c r="K34" s="14"/>
      <c r="L34" s="14">
        <f t="shared" si="0"/>
        <v>0</v>
      </c>
      <c r="M34" s="28">
        <v>17</v>
      </c>
      <c r="N34" s="13"/>
      <c r="O34" s="14"/>
      <c r="P34" s="14"/>
      <c r="Q34" s="14">
        <f t="shared" si="1"/>
        <v>0</v>
      </c>
      <c r="R34" s="28">
        <v>17</v>
      </c>
      <c r="S34" s="13"/>
      <c r="T34" s="14"/>
      <c r="U34" s="14"/>
      <c r="V34" s="14">
        <f t="shared" si="2"/>
        <v>0</v>
      </c>
      <c r="W34" s="28">
        <v>17</v>
      </c>
      <c r="X34" s="13"/>
      <c r="Y34" s="14"/>
      <c r="Z34" s="14"/>
      <c r="AA34" s="14">
        <f t="shared" si="3"/>
        <v>0</v>
      </c>
      <c r="AB34" s="28">
        <v>17</v>
      </c>
      <c r="AC34" s="13"/>
      <c r="AD34" s="14"/>
      <c r="AE34" s="14"/>
      <c r="AF34" s="14">
        <f t="shared" si="4"/>
        <v>0</v>
      </c>
      <c r="AG34" s="28">
        <v>17</v>
      </c>
      <c r="AH34" s="13"/>
      <c r="AI34" s="14"/>
      <c r="AJ34" s="14"/>
      <c r="AK34" s="14">
        <f t="shared" si="5"/>
        <v>0</v>
      </c>
      <c r="AL34" s="28">
        <v>17</v>
      </c>
      <c r="AM34" s="13"/>
      <c r="AN34" s="14"/>
      <c r="AO34" s="14"/>
      <c r="AP34" s="14">
        <f t="shared" si="6"/>
        <v>0</v>
      </c>
      <c r="AQ34" s="28">
        <v>17</v>
      </c>
      <c r="AR34" s="13"/>
      <c r="AS34" s="14"/>
      <c r="AT34" s="14"/>
      <c r="AU34" s="14">
        <f t="shared" si="7"/>
        <v>0</v>
      </c>
      <c r="AV34" s="28">
        <v>17</v>
      </c>
      <c r="AW34" s="13"/>
      <c r="AX34" s="14"/>
      <c r="AY34" s="14"/>
      <c r="AZ34" s="14">
        <f t="shared" si="8"/>
        <v>0</v>
      </c>
      <c r="BA34" s="28">
        <v>17</v>
      </c>
      <c r="BB34" s="13"/>
      <c r="BC34" s="14"/>
      <c r="BD34" s="14"/>
      <c r="BE34" s="14">
        <f t="shared" si="9"/>
        <v>0</v>
      </c>
    </row>
    <row r="35" spans="8:57" s="2" customFormat="1" ht="85.15" customHeight="1">
      <c r="H35" s="28">
        <v>18</v>
      </c>
      <c r="I35" s="13"/>
      <c r="J35" s="14"/>
      <c r="K35" s="14"/>
      <c r="L35" s="14">
        <f t="shared" si="0"/>
        <v>0</v>
      </c>
      <c r="M35" s="28">
        <v>18</v>
      </c>
      <c r="N35" s="13"/>
      <c r="O35" s="14"/>
      <c r="P35" s="14"/>
      <c r="Q35" s="14">
        <f t="shared" si="1"/>
        <v>0</v>
      </c>
      <c r="R35" s="28">
        <v>18</v>
      </c>
      <c r="S35" s="13"/>
      <c r="T35" s="14"/>
      <c r="U35" s="14"/>
      <c r="V35" s="14">
        <f t="shared" si="2"/>
        <v>0</v>
      </c>
      <c r="W35" s="28">
        <v>18</v>
      </c>
      <c r="X35" s="13"/>
      <c r="Y35" s="14"/>
      <c r="Z35" s="14"/>
      <c r="AA35" s="14">
        <f t="shared" si="3"/>
        <v>0</v>
      </c>
      <c r="AB35" s="28">
        <v>18</v>
      </c>
      <c r="AC35" s="13"/>
      <c r="AD35" s="14"/>
      <c r="AE35" s="14"/>
      <c r="AF35" s="14">
        <f t="shared" si="4"/>
        <v>0</v>
      </c>
      <c r="AG35" s="28">
        <v>18</v>
      </c>
      <c r="AH35" s="13"/>
      <c r="AI35" s="14"/>
      <c r="AJ35" s="14"/>
      <c r="AK35" s="14">
        <f t="shared" si="5"/>
        <v>0</v>
      </c>
      <c r="AL35" s="28">
        <v>18</v>
      </c>
      <c r="AM35" s="13"/>
      <c r="AN35" s="14"/>
      <c r="AO35" s="14"/>
      <c r="AP35" s="14">
        <f t="shared" si="6"/>
        <v>0</v>
      </c>
      <c r="AQ35" s="28">
        <v>18</v>
      </c>
      <c r="AR35" s="13"/>
      <c r="AS35" s="14"/>
      <c r="AT35" s="14"/>
      <c r="AU35" s="14">
        <f t="shared" si="7"/>
        <v>0</v>
      </c>
      <c r="AV35" s="28">
        <v>18</v>
      </c>
      <c r="AW35" s="13"/>
      <c r="AX35" s="14"/>
      <c r="AY35" s="14"/>
      <c r="AZ35" s="14">
        <f t="shared" si="8"/>
        <v>0</v>
      </c>
      <c r="BA35" s="28">
        <v>18</v>
      </c>
      <c r="BB35" s="13"/>
      <c r="BC35" s="14"/>
      <c r="BD35" s="14"/>
      <c r="BE35" s="14">
        <f t="shared" si="9"/>
        <v>0</v>
      </c>
    </row>
    <row r="36" spans="8:57" s="2" customFormat="1" ht="85.15" customHeight="1">
      <c r="H36" s="28">
        <v>19</v>
      </c>
      <c r="I36" s="13"/>
      <c r="J36" s="14"/>
      <c r="K36" s="14"/>
      <c r="L36" s="14">
        <f t="shared" si="0"/>
        <v>0</v>
      </c>
      <c r="M36" s="28">
        <v>19</v>
      </c>
      <c r="N36" s="13"/>
      <c r="O36" s="14"/>
      <c r="P36" s="14"/>
      <c r="Q36" s="14">
        <f t="shared" si="1"/>
        <v>0</v>
      </c>
      <c r="R36" s="28">
        <v>19</v>
      </c>
      <c r="S36" s="13"/>
      <c r="T36" s="14"/>
      <c r="U36" s="14"/>
      <c r="V36" s="14">
        <f t="shared" si="2"/>
        <v>0</v>
      </c>
      <c r="W36" s="28">
        <v>19</v>
      </c>
      <c r="X36" s="13"/>
      <c r="Y36" s="14"/>
      <c r="Z36" s="14"/>
      <c r="AA36" s="14">
        <f t="shared" si="3"/>
        <v>0</v>
      </c>
      <c r="AB36" s="28">
        <v>19</v>
      </c>
      <c r="AC36" s="13"/>
      <c r="AD36" s="14"/>
      <c r="AE36" s="14"/>
      <c r="AF36" s="14">
        <f t="shared" si="4"/>
        <v>0</v>
      </c>
      <c r="AG36" s="28">
        <v>19</v>
      </c>
      <c r="AH36" s="13"/>
      <c r="AI36" s="14"/>
      <c r="AJ36" s="14"/>
      <c r="AK36" s="14">
        <f t="shared" si="5"/>
        <v>0</v>
      </c>
      <c r="AL36" s="28">
        <v>19</v>
      </c>
      <c r="AM36" s="13"/>
      <c r="AN36" s="14"/>
      <c r="AO36" s="14"/>
      <c r="AP36" s="14">
        <f t="shared" si="6"/>
        <v>0</v>
      </c>
      <c r="AQ36" s="28">
        <v>19</v>
      </c>
      <c r="AR36" s="13"/>
      <c r="AS36" s="14"/>
      <c r="AT36" s="14"/>
      <c r="AU36" s="14">
        <f t="shared" si="7"/>
        <v>0</v>
      </c>
      <c r="AV36" s="28">
        <v>19</v>
      </c>
      <c r="AW36" s="13"/>
      <c r="AX36" s="14"/>
      <c r="AY36" s="14"/>
      <c r="AZ36" s="14">
        <f t="shared" si="8"/>
        <v>0</v>
      </c>
      <c r="BA36" s="28">
        <v>19</v>
      </c>
      <c r="BB36" s="13"/>
      <c r="BC36" s="14"/>
      <c r="BD36" s="14"/>
      <c r="BE36" s="14">
        <f t="shared" si="9"/>
        <v>0</v>
      </c>
    </row>
    <row r="37" spans="8:57" s="2" customFormat="1" ht="85.15" customHeight="1">
      <c r="H37" s="28">
        <v>20</v>
      </c>
      <c r="I37" s="13"/>
      <c r="J37" s="14"/>
      <c r="K37" s="14"/>
      <c r="L37" s="14">
        <f t="shared" si="0"/>
        <v>0</v>
      </c>
      <c r="M37" s="28">
        <v>20</v>
      </c>
      <c r="N37" s="13"/>
      <c r="O37" s="14"/>
      <c r="P37" s="14"/>
      <c r="Q37" s="14">
        <f t="shared" si="1"/>
        <v>0</v>
      </c>
      <c r="R37" s="28">
        <v>20</v>
      </c>
      <c r="S37" s="13"/>
      <c r="T37" s="14"/>
      <c r="U37" s="14"/>
      <c r="V37" s="14">
        <f t="shared" si="2"/>
        <v>0</v>
      </c>
      <c r="W37" s="28">
        <v>20</v>
      </c>
      <c r="X37" s="13"/>
      <c r="Y37" s="14"/>
      <c r="Z37" s="14"/>
      <c r="AA37" s="14">
        <f t="shared" si="3"/>
        <v>0</v>
      </c>
      <c r="AB37" s="28">
        <v>20</v>
      </c>
      <c r="AC37" s="13"/>
      <c r="AD37" s="14"/>
      <c r="AE37" s="14"/>
      <c r="AF37" s="14">
        <f t="shared" si="4"/>
        <v>0</v>
      </c>
      <c r="AG37" s="28">
        <v>20</v>
      </c>
      <c r="AH37" s="13"/>
      <c r="AI37" s="14"/>
      <c r="AJ37" s="14"/>
      <c r="AK37" s="14">
        <f t="shared" si="5"/>
        <v>0</v>
      </c>
      <c r="AL37" s="28">
        <v>20</v>
      </c>
      <c r="AM37" s="13"/>
      <c r="AN37" s="14"/>
      <c r="AO37" s="14"/>
      <c r="AP37" s="14">
        <f t="shared" si="6"/>
        <v>0</v>
      </c>
      <c r="AQ37" s="28">
        <v>20</v>
      </c>
      <c r="AR37" s="13"/>
      <c r="AS37" s="14"/>
      <c r="AT37" s="14"/>
      <c r="AU37" s="14">
        <f t="shared" si="7"/>
        <v>0</v>
      </c>
      <c r="AV37" s="28">
        <v>20</v>
      </c>
      <c r="AW37" s="13"/>
      <c r="AX37" s="14"/>
      <c r="AY37" s="14"/>
      <c r="AZ37" s="14">
        <f t="shared" si="8"/>
        <v>0</v>
      </c>
      <c r="BA37" s="28">
        <v>20</v>
      </c>
      <c r="BB37" s="13"/>
      <c r="BC37" s="14"/>
      <c r="BD37" s="14"/>
      <c r="BE37" s="14">
        <f t="shared" si="9"/>
        <v>0</v>
      </c>
    </row>
    <row r="38" spans="8:57" s="2" customFormat="1" ht="85.15" customHeight="1">
      <c r="H38" s="28">
        <v>21</v>
      </c>
      <c r="I38" s="13"/>
      <c r="J38" s="14"/>
      <c r="K38" s="14"/>
      <c r="L38" s="14">
        <f t="shared" si="0"/>
        <v>0</v>
      </c>
      <c r="M38" s="28">
        <v>21</v>
      </c>
      <c r="N38" s="13"/>
      <c r="O38" s="14"/>
      <c r="P38" s="14"/>
      <c r="Q38" s="14">
        <f t="shared" si="1"/>
        <v>0</v>
      </c>
      <c r="R38" s="28">
        <v>21</v>
      </c>
      <c r="S38" s="13"/>
      <c r="T38" s="14"/>
      <c r="U38" s="14"/>
      <c r="V38" s="14">
        <f t="shared" si="2"/>
        <v>0</v>
      </c>
      <c r="W38" s="28">
        <v>21</v>
      </c>
      <c r="X38" s="13"/>
      <c r="Y38" s="14"/>
      <c r="Z38" s="14"/>
      <c r="AA38" s="14">
        <f t="shared" si="3"/>
        <v>0</v>
      </c>
      <c r="AB38" s="28">
        <v>21</v>
      </c>
      <c r="AC38" s="13"/>
      <c r="AD38" s="14"/>
      <c r="AE38" s="14"/>
      <c r="AF38" s="14">
        <f t="shared" si="4"/>
        <v>0</v>
      </c>
      <c r="AG38" s="28">
        <v>21</v>
      </c>
      <c r="AH38" s="13"/>
      <c r="AI38" s="14"/>
      <c r="AJ38" s="14"/>
      <c r="AK38" s="14">
        <f t="shared" si="5"/>
        <v>0</v>
      </c>
      <c r="AL38" s="28">
        <v>21</v>
      </c>
      <c r="AM38" s="13"/>
      <c r="AN38" s="14"/>
      <c r="AO38" s="14"/>
      <c r="AP38" s="14">
        <f t="shared" si="6"/>
        <v>0</v>
      </c>
      <c r="AQ38" s="28">
        <v>21</v>
      </c>
      <c r="AR38" s="13"/>
      <c r="AS38" s="14"/>
      <c r="AT38" s="14"/>
      <c r="AU38" s="14">
        <f t="shared" si="7"/>
        <v>0</v>
      </c>
      <c r="AV38" s="28">
        <v>21</v>
      </c>
      <c r="AW38" s="13"/>
      <c r="AX38" s="14"/>
      <c r="AY38" s="14"/>
      <c r="AZ38" s="14">
        <f t="shared" si="8"/>
        <v>0</v>
      </c>
      <c r="BA38" s="28">
        <v>21</v>
      </c>
      <c r="BB38" s="13"/>
      <c r="BC38" s="14"/>
      <c r="BD38" s="14"/>
      <c r="BE38" s="14">
        <f t="shared" si="9"/>
        <v>0</v>
      </c>
    </row>
    <row r="39" spans="8:57" s="2" customFormat="1" ht="85.15" customHeight="1">
      <c r="H39" s="28">
        <v>22</v>
      </c>
      <c r="I39" s="13"/>
      <c r="J39" s="14"/>
      <c r="K39" s="14"/>
      <c r="L39" s="14">
        <f t="shared" si="0"/>
        <v>0</v>
      </c>
      <c r="M39" s="28">
        <v>22</v>
      </c>
      <c r="N39" s="13"/>
      <c r="O39" s="14"/>
      <c r="P39" s="14"/>
      <c r="Q39" s="14">
        <f t="shared" si="1"/>
        <v>0</v>
      </c>
      <c r="R39" s="28">
        <v>22</v>
      </c>
      <c r="S39" s="13"/>
      <c r="T39" s="14"/>
      <c r="U39" s="14"/>
      <c r="V39" s="14">
        <f t="shared" si="2"/>
        <v>0</v>
      </c>
      <c r="W39" s="28">
        <v>22</v>
      </c>
      <c r="X39" s="13"/>
      <c r="Y39" s="14"/>
      <c r="Z39" s="14"/>
      <c r="AA39" s="14">
        <f t="shared" si="3"/>
        <v>0</v>
      </c>
      <c r="AB39" s="28">
        <v>22</v>
      </c>
      <c r="AC39" s="13"/>
      <c r="AD39" s="14"/>
      <c r="AE39" s="14"/>
      <c r="AF39" s="14">
        <f t="shared" si="4"/>
        <v>0</v>
      </c>
      <c r="AG39" s="28">
        <v>22</v>
      </c>
      <c r="AH39" s="13"/>
      <c r="AI39" s="14"/>
      <c r="AJ39" s="14"/>
      <c r="AK39" s="14">
        <f t="shared" si="5"/>
        <v>0</v>
      </c>
      <c r="AL39" s="28">
        <v>22</v>
      </c>
      <c r="AM39" s="13"/>
      <c r="AN39" s="14"/>
      <c r="AO39" s="14"/>
      <c r="AP39" s="14">
        <f t="shared" si="6"/>
        <v>0</v>
      </c>
      <c r="AQ39" s="28">
        <v>22</v>
      </c>
      <c r="AR39" s="13"/>
      <c r="AS39" s="14"/>
      <c r="AT39" s="14"/>
      <c r="AU39" s="14">
        <f t="shared" si="7"/>
        <v>0</v>
      </c>
      <c r="AV39" s="28">
        <v>22</v>
      </c>
      <c r="AW39" s="13"/>
      <c r="AX39" s="14"/>
      <c r="AY39" s="14"/>
      <c r="AZ39" s="14">
        <f t="shared" si="8"/>
        <v>0</v>
      </c>
      <c r="BA39" s="28">
        <v>22</v>
      </c>
      <c r="BB39" s="13"/>
      <c r="BC39" s="14"/>
      <c r="BD39" s="14"/>
      <c r="BE39" s="14">
        <f t="shared" si="9"/>
        <v>0</v>
      </c>
    </row>
    <row r="40" spans="8:57" s="2" customFormat="1" ht="85.15" customHeight="1">
      <c r="H40" s="28">
        <v>23</v>
      </c>
      <c r="I40" s="13"/>
      <c r="J40" s="14"/>
      <c r="K40" s="14"/>
      <c r="L40" s="14">
        <f t="shared" si="0"/>
        <v>0</v>
      </c>
      <c r="M40" s="28">
        <v>23</v>
      </c>
      <c r="N40" s="13"/>
      <c r="O40" s="14"/>
      <c r="P40" s="14"/>
      <c r="Q40" s="14">
        <f t="shared" si="1"/>
        <v>0</v>
      </c>
      <c r="R40" s="28">
        <v>23</v>
      </c>
      <c r="S40" s="13"/>
      <c r="T40" s="14"/>
      <c r="U40" s="14"/>
      <c r="V40" s="14">
        <f t="shared" si="2"/>
        <v>0</v>
      </c>
      <c r="W40" s="28">
        <v>23</v>
      </c>
      <c r="X40" s="13"/>
      <c r="Y40" s="14"/>
      <c r="Z40" s="14"/>
      <c r="AA40" s="14">
        <f t="shared" si="3"/>
        <v>0</v>
      </c>
      <c r="AB40" s="28">
        <v>23</v>
      </c>
      <c r="AC40" s="13"/>
      <c r="AD40" s="14"/>
      <c r="AE40" s="14"/>
      <c r="AF40" s="14">
        <f t="shared" si="4"/>
        <v>0</v>
      </c>
      <c r="AG40" s="28">
        <v>23</v>
      </c>
      <c r="AH40" s="13"/>
      <c r="AI40" s="14"/>
      <c r="AJ40" s="14"/>
      <c r="AK40" s="14">
        <f t="shared" si="5"/>
        <v>0</v>
      </c>
      <c r="AL40" s="28">
        <v>23</v>
      </c>
      <c r="AM40" s="13"/>
      <c r="AN40" s="14"/>
      <c r="AO40" s="14"/>
      <c r="AP40" s="14">
        <f t="shared" si="6"/>
        <v>0</v>
      </c>
      <c r="AQ40" s="28">
        <v>23</v>
      </c>
      <c r="AR40" s="13"/>
      <c r="AS40" s="14"/>
      <c r="AT40" s="14"/>
      <c r="AU40" s="14">
        <f t="shared" si="7"/>
        <v>0</v>
      </c>
      <c r="AV40" s="28">
        <v>23</v>
      </c>
      <c r="AW40" s="13"/>
      <c r="AX40" s="14"/>
      <c r="AY40" s="14"/>
      <c r="AZ40" s="14">
        <f t="shared" si="8"/>
        <v>0</v>
      </c>
      <c r="BA40" s="28">
        <v>23</v>
      </c>
      <c r="BB40" s="13"/>
      <c r="BC40" s="14"/>
      <c r="BD40" s="14"/>
      <c r="BE40" s="14">
        <f t="shared" si="9"/>
        <v>0</v>
      </c>
    </row>
    <row r="41" spans="8:57" s="2" customFormat="1" ht="85.15" customHeight="1">
      <c r="H41" s="28">
        <v>24</v>
      </c>
      <c r="I41" s="13"/>
      <c r="J41" s="14"/>
      <c r="K41" s="14"/>
      <c r="L41" s="14">
        <f t="shared" si="0"/>
        <v>0</v>
      </c>
      <c r="M41" s="28">
        <v>24</v>
      </c>
      <c r="N41" s="13"/>
      <c r="O41" s="14"/>
      <c r="P41" s="14"/>
      <c r="Q41" s="14">
        <f t="shared" si="1"/>
        <v>0</v>
      </c>
      <c r="R41" s="28">
        <v>24</v>
      </c>
      <c r="S41" s="13"/>
      <c r="T41" s="14"/>
      <c r="U41" s="14"/>
      <c r="V41" s="14">
        <f t="shared" si="2"/>
        <v>0</v>
      </c>
      <c r="W41" s="28">
        <v>24</v>
      </c>
      <c r="X41" s="13"/>
      <c r="Y41" s="14"/>
      <c r="Z41" s="14"/>
      <c r="AA41" s="14">
        <f t="shared" si="3"/>
        <v>0</v>
      </c>
      <c r="AB41" s="28">
        <v>24</v>
      </c>
      <c r="AC41" s="13"/>
      <c r="AD41" s="14"/>
      <c r="AE41" s="14"/>
      <c r="AF41" s="14">
        <f t="shared" si="4"/>
        <v>0</v>
      </c>
      <c r="AG41" s="28">
        <v>24</v>
      </c>
      <c r="AH41" s="13"/>
      <c r="AI41" s="14"/>
      <c r="AJ41" s="14"/>
      <c r="AK41" s="14">
        <f t="shared" si="5"/>
        <v>0</v>
      </c>
      <c r="AL41" s="28">
        <v>24</v>
      </c>
      <c r="AM41" s="13"/>
      <c r="AN41" s="14"/>
      <c r="AO41" s="14"/>
      <c r="AP41" s="14">
        <f t="shared" si="6"/>
        <v>0</v>
      </c>
      <c r="AQ41" s="28">
        <v>24</v>
      </c>
      <c r="AR41" s="13"/>
      <c r="AS41" s="14"/>
      <c r="AT41" s="14"/>
      <c r="AU41" s="14">
        <f t="shared" si="7"/>
        <v>0</v>
      </c>
      <c r="AV41" s="28">
        <v>24</v>
      </c>
      <c r="AW41" s="13"/>
      <c r="AX41" s="14"/>
      <c r="AY41" s="14"/>
      <c r="AZ41" s="14">
        <f t="shared" si="8"/>
        <v>0</v>
      </c>
      <c r="BA41" s="28">
        <v>24</v>
      </c>
      <c r="BB41" s="13"/>
      <c r="BC41" s="14"/>
      <c r="BD41" s="14"/>
      <c r="BE41" s="14">
        <f t="shared" si="9"/>
        <v>0</v>
      </c>
    </row>
    <row r="42" spans="8:57" s="2" customFormat="1" ht="85.15" customHeight="1">
      <c r="H42" s="28">
        <v>25</v>
      </c>
      <c r="I42" s="13"/>
      <c r="J42" s="14"/>
      <c r="K42" s="14"/>
      <c r="L42" s="14">
        <f t="shared" si="0"/>
        <v>0</v>
      </c>
      <c r="M42" s="28">
        <v>25</v>
      </c>
      <c r="N42" s="13"/>
      <c r="O42" s="14"/>
      <c r="P42" s="14"/>
      <c r="Q42" s="14">
        <f t="shared" si="1"/>
        <v>0</v>
      </c>
      <c r="R42" s="28">
        <v>25</v>
      </c>
      <c r="S42" s="13"/>
      <c r="T42" s="14"/>
      <c r="U42" s="14"/>
      <c r="V42" s="14">
        <f t="shared" si="2"/>
        <v>0</v>
      </c>
      <c r="W42" s="28">
        <v>25</v>
      </c>
      <c r="X42" s="13"/>
      <c r="Y42" s="14"/>
      <c r="Z42" s="14"/>
      <c r="AA42" s="14">
        <f t="shared" si="3"/>
        <v>0</v>
      </c>
      <c r="AB42" s="28">
        <v>25</v>
      </c>
      <c r="AC42" s="13"/>
      <c r="AD42" s="14"/>
      <c r="AE42" s="14"/>
      <c r="AF42" s="14">
        <f t="shared" si="4"/>
        <v>0</v>
      </c>
      <c r="AG42" s="28">
        <v>25</v>
      </c>
      <c r="AH42" s="13"/>
      <c r="AI42" s="14"/>
      <c r="AJ42" s="14"/>
      <c r="AK42" s="14">
        <f t="shared" si="5"/>
        <v>0</v>
      </c>
      <c r="AL42" s="28">
        <v>25</v>
      </c>
      <c r="AM42" s="13"/>
      <c r="AN42" s="14"/>
      <c r="AO42" s="14"/>
      <c r="AP42" s="14">
        <f t="shared" si="6"/>
        <v>0</v>
      </c>
      <c r="AQ42" s="28">
        <v>25</v>
      </c>
      <c r="AR42" s="13"/>
      <c r="AS42" s="14"/>
      <c r="AT42" s="14"/>
      <c r="AU42" s="14">
        <f t="shared" si="7"/>
        <v>0</v>
      </c>
      <c r="AV42" s="28">
        <v>25</v>
      </c>
      <c r="AW42" s="13"/>
      <c r="AX42" s="14"/>
      <c r="AY42" s="14"/>
      <c r="AZ42" s="14">
        <f t="shared" si="8"/>
        <v>0</v>
      </c>
      <c r="BA42" s="28">
        <v>25</v>
      </c>
      <c r="BB42" s="13"/>
      <c r="BC42" s="14"/>
      <c r="BD42" s="14"/>
      <c r="BE42" s="14">
        <f t="shared" si="9"/>
        <v>0</v>
      </c>
    </row>
    <row r="43" spans="8:57" s="2" customFormat="1" ht="85.15" customHeight="1">
      <c r="H43" s="28">
        <v>26</v>
      </c>
      <c r="I43" s="13"/>
      <c r="J43" s="14"/>
      <c r="K43" s="14"/>
      <c r="L43" s="14">
        <f t="shared" si="0"/>
        <v>0</v>
      </c>
      <c r="M43" s="28">
        <v>26</v>
      </c>
      <c r="N43" s="13"/>
      <c r="O43" s="14"/>
      <c r="P43" s="14"/>
      <c r="Q43" s="14">
        <f t="shared" si="1"/>
        <v>0</v>
      </c>
      <c r="R43" s="28">
        <v>26</v>
      </c>
      <c r="S43" s="13"/>
      <c r="T43" s="14"/>
      <c r="U43" s="14"/>
      <c r="V43" s="14">
        <f t="shared" si="2"/>
        <v>0</v>
      </c>
      <c r="W43" s="28">
        <v>26</v>
      </c>
      <c r="X43" s="13"/>
      <c r="Y43" s="14"/>
      <c r="Z43" s="14"/>
      <c r="AA43" s="14">
        <f t="shared" si="3"/>
        <v>0</v>
      </c>
      <c r="AB43" s="28">
        <v>26</v>
      </c>
      <c r="AC43" s="13"/>
      <c r="AD43" s="14"/>
      <c r="AE43" s="14"/>
      <c r="AF43" s="14">
        <f t="shared" si="4"/>
        <v>0</v>
      </c>
      <c r="AG43" s="28">
        <v>26</v>
      </c>
      <c r="AH43" s="13"/>
      <c r="AI43" s="14"/>
      <c r="AJ43" s="14"/>
      <c r="AK43" s="14">
        <f t="shared" si="5"/>
        <v>0</v>
      </c>
      <c r="AL43" s="28">
        <v>26</v>
      </c>
      <c r="AM43" s="13"/>
      <c r="AN43" s="14"/>
      <c r="AO43" s="14"/>
      <c r="AP43" s="14">
        <f t="shared" si="6"/>
        <v>0</v>
      </c>
      <c r="AQ43" s="28">
        <v>26</v>
      </c>
      <c r="AR43" s="13"/>
      <c r="AS43" s="14"/>
      <c r="AT43" s="14"/>
      <c r="AU43" s="14">
        <f t="shared" si="7"/>
        <v>0</v>
      </c>
      <c r="AV43" s="28">
        <v>26</v>
      </c>
      <c r="AW43" s="13"/>
      <c r="AX43" s="14"/>
      <c r="AY43" s="14"/>
      <c r="AZ43" s="14">
        <f t="shared" si="8"/>
        <v>0</v>
      </c>
      <c r="BA43" s="28">
        <v>26</v>
      </c>
      <c r="BB43" s="13"/>
      <c r="BC43" s="14"/>
      <c r="BD43" s="14"/>
      <c r="BE43" s="14">
        <f t="shared" si="9"/>
        <v>0</v>
      </c>
    </row>
    <row r="44" spans="8:57" s="2" customFormat="1" ht="85.15" customHeight="1">
      <c r="H44" s="28">
        <v>27</v>
      </c>
      <c r="I44" s="13"/>
      <c r="J44" s="14"/>
      <c r="K44" s="14"/>
      <c r="L44" s="14">
        <f t="shared" si="0"/>
        <v>0</v>
      </c>
      <c r="M44" s="28">
        <v>27</v>
      </c>
      <c r="N44" s="13"/>
      <c r="O44" s="14"/>
      <c r="P44" s="14"/>
      <c r="Q44" s="14">
        <f t="shared" si="1"/>
        <v>0</v>
      </c>
      <c r="R44" s="28">
        <v>27</v>
      </c>
      <c r="S44" s="13"/>
      <c r="T44" s="14"/>
      <c r="U44" s="14"/>
      <c r="V44" s="14">
        <f t="shared" si="2"/>
        <v>0</v>
      </c>
      <c r="W44" s="28">
        <v>27</v>
      </c>
      <c r="X44" s="13"/>
      <c r="Y44" s="14"/>
      <c r="Z44" s="14"/>
      <c r="AA44" s="14">
        <f t="shared" si="3"/>
        <v>0</v>
      </c>
      <c r="AB44" s="28">
        <v>27</v>
      </c>
      <c r="AC44" s="13"/>
      <c r="AD44" s="14"/>
      <c r="AE44" s="14"/>
      <c r="AF44" s="14">
        <f t="shared" si="4"/>
        <v>0</v>
      </c>
      <c r="AG44" s="28">
        <v>27</v>
      </c>
      <c r="AH44" s="13"/>
      <c r="AI44" s="14"/>
      <c r="AJ44" s="14"/>
      <c r="AK44" s="14">
        <f t="shared" si="5"/>
        <v>0</v>
      </c>
      <c r="AL44" s="28">
        <v>27</v>
      </c>
      <c r="AM44" s="13"/>
      <c r="AN44" s="14"/>
      <c r="AO44" s="14"/>
      <c r="AP44" s="14">
        <f t="shared" si="6"/>
        <v>0</v>
      </c>
      <c r="AQ44" s="28">
        <v>27</v>
      </c>
      <c r="AR44" s="13"/>
      <c r="AS44" s="14"/>
      <c r="AT44" s="14"/>
      <c r="AU44" s="14">
        <f t="shared" si="7"/>
        <v>0</v>
      </c>
      <c r="AV44" s="28">
        <v>27</v>
      </c>
      <c r="AW44" s="13"/>
      <c r="AX44" s="14"/>
      <c r="AY44" s="14"/>
      <c r="AZ44" s="14">
        <f t="shared" si="8"/>
        <v>0</v>
      </c>
      <c r="BA44" s="28">
        <v>27</v>
      </c>
      <c r="BB44" s="13"/>
      <c r="BC44" s="14"/>
      <c r="BD44" s="14"/>
      <c r="BE44" s="14">
        <f t="shared" si="9"/>
        <v>0</v>
      </c>
    </row>
    <row r="45" spans="8:57" s="2" customFormat="1" ht="85.15" customHeight="1">
      <c r="H45" s="28">
        <v>28</v>
      </c>
      <c r="I45" s="13"/>
      <c r="J45" s="14"/>
      <c r="K45" s="14"/>
      <c r="L45" s="14">
        <f t="shared" si="0"/>
        <v>0</v>
      </c>
      <c r="M45" s="28">
        <v>28</v>
      </c>
      <c r="N45" s="13"/>
      <c r="O45" s="14"/>
      <c r="P45" s="14"/>
      <c r="Q45" s="14">
        <f t="shared" si="1"/>
        <v>0</v>
      </c>
      <c r="R45" s="28">
        <v>28</v>
      </c>
      <c r="S45" s="13"/>
      <c r="T45" s="14"/>
      <c r="U45" s="14"/>
      <c r="V45" s="14">
        <f t="shared" si="2"/>
        <v>0</v>
      </c>
      <c r="W45" s="28">
        <v>28</v>
      </c>
      <c r="X45" s="13"/>
      <c r="Y45" s="14"/>
      <c r="Z45" s="14"/>
      <c r="AA45" s="14">
        <f t="shared" si="3"/>
        <v>0</v>
      </c>
      <c r="AB45" s="28">
        <v>28</v>
      </c>
      <c r="AC45" s="13"/>
      <c r="AD45" s="14"/>
      <c r="AE45" s="14"/>
      <c r="AF45" s="14">
        <f t="shared" si="4"/>
        <v>0</v>
      </c>
      <c r="AG45" s="28">
        <v>28</v>
      </c>
      <c r="AH45" s="13"/>
      <c r="AI45" s="14"/>
      <c r="AJ45" s="14"/>
      <c r="AK45" s="14">
        <f t="shared" si="5"/>
        <v>0</v>
      </c>
      <c r="AL45" s="28">
        <v>28</v>
      </c>
      <c r="AM45" s="13"/>
      <c r="AN45" s="14"/>
      <c r="AO45" s="14"/>
      <c r="AP45" s="14">
        <f t="shared" si="6"/>
        <v>0</v>
      </c>
      <c r="AQ45" s="28">
        <v>28</v>
      </c>
      <c r="AR45" s="13"/>
      <c r="AS45" s="14"/>
      <c r="AT45" s="14"/>
      <c r="AU45" s="14">
        <f t="shared" si="7"/>
        <v>0</v>
      </c>
      <c r="AV45" s="28">
        <v>28</v>
      </c>
      <c r="AW45" s="13"/>
      <c r="AX45" s="14"/>
      <c r="AY45" s="14"/>
      <c r="AZ45" s="14">
        <f t="shared" si="8"/>
        <v>0</v>
      </c>
      <c r="BA45" s="28">
        <v>28</v>
      </c>
      <c r="BB45" s="13"/>
      <c r="BC45" s="14"/>
      <c r="BD45" s="14"/>
      <c r="BE45" s="14">
        <f t="shared" si="9"/>
        <v>0</v>
      </c>
    </row>
    <row r="46" spans="8:57" s="2" customFormat="1" ht="85.15" customHeight="1">
      <c r="H46" s="28">
        <v>29</v>
      </c>
      <c r="I46" s="13"/>
      <c r="J46" s="14"/>
      <c r="K46" s="14"/>
      <c r="L46" s="14">
        <f t="shared" si="0"/>
        <v>0</v>
      </c>
      <c r="M46" s="28">
        <v>29</v>
      </c>
      <c r="N46" s="13"/>
      <c r="O46" s="14"/>
      <c r="P46" s="14"/>
      <c r="Q46" s="14">
        <f t="shared" si="1"/>
        <v>0</v>
      </c>
      <c r="R46" s="28">
        <v>29</v>
      </c>
      <c r="S46" s="13"/>
      <c r="T46" s="14"/>
      <c r="U46" s="14"/>
      <c r="V46" s="14">
        <f t="shared" si="2"/>
        <v>0</v>
      </c>
      <c r="W46" s="28">
        <v>29</v>
      </c>
      <c r="X46" s="13"/>
      <c r="Y46" s="14"/>
      <c r="Z46" s="14"/>
      <c r="AA46" s="14">
        <f t="shared" si="3"/>
        <v>0</v>
      </c>
      <c r="AB46" s="28">
        <v>29</v>
      </c>
      <c r="AC46" s="13"/>
      <c r="AD46" s="14"/>
      <c r="AE46" s="14"/>
      <c r="AF46" s="14">
        <f t="shared" si="4"/>
        <v>0</v>
      </c>
      <c r="AG46" s="28">
        <v>29</v>
      </c>
      <c r="AH46" s="13"/>
      <c r="AI46" s="14"/>
      <c r="AJ46" s="14"/>
      <c r="AK46" s="14">
        <f t="shared" si="5"/>
        <v>0</v>
      </c>
      <c r="AL46" s="28">
        <v>29</v>
      </c>
      <c r="AM46" s="13"/>
      <c r="AN46" s="14"/>
      <c r="AO46" s="14"/>
      <c r="AP46" s="14">
        <f t="shared" si="6"/>
        <v>0</v>
      </c>
      <c r="AQ46" s="28">
        <v>29</v>
      </c>
      <c r="AR46" s="13"/>
      <c r="AS46" s="14"/>
      <c r="AT46" s="14"/>
      <c r="AU46" s="14">
        <f t="shared" si="7"/>
        <v>0</v>
      </c>
      <c r="AV46" s="28">
        <v>29</v>
      </c>
      <c r="AW46" s="13"/>
      <c r="AX46" s="14"/>
      <c r="AY46" s="14"/>
      <c r="AZ46" s="14">
        <f t="shared" si="8"/>
        <v>0</v>
      </c>
      <c r="BA46" s="28">
        <v>29</v>
      </c>
      <c r="BB46" s="13"/>
      <c r="BC46" s="14"/>
      <c r="BD46" s="14"/>
      <c r="BE46" s="14">
        <f t="shared" si="9"/>
        <v>0</v>
      </c>
    </row>
    <row r="47" spans="8:57" s="2" customFormat="1" ht="85.15" customHeight="1">
      <c r="H47" s="28">
        <v>30</v>
      </c>
      <c r="I47" s="13"/>
      <c r="J47" s="14"/>
      <c r="K47" s="14"/>
      <c r="L47" s="14">
        <f t="shared" si="0"/>
        <v>0</v>
      </c>
      <c r="M47" s="28">
        <v>30</v>
      </c>
      <c r="N47" s="13"/>
      <c r="O47" s="14"/>
      <c r="P47" s="14"/>
      <c r="Q47" s="14">
        <f t="shared" si="1"/>
        <v>0</v>
      </c>
      <c r="R47" s="28">
        <v>30</v>
      </c>
      <c r="S47" s="13"/>
      <c r="T47" s="14"/>
      <c r="U47" s="14"/>
      <c r="V47" s="14">
        <f t="shared" si="2"/>
        <v>0</v>
      </c>
      <c r="W47" s="28">
        <v>30</v>
      </c>
      <c r="X47" s="13"/>
      <c r="Y47" s="14"/>
      <c r="Z47" s="14"/>
      <c r="AA47" s="14">
        <f t="shared" si="3"/>
        <v>0</v>
      </c>
      <c r="AB47" s="28">
        <v>30</v>
      </c>
      <c r="AC47" s="13"/>
      <c r="AD47" s="14"/>
      <c r="AE47" s="14"/>
      <c r="AF47" s="14">
        <f t="shared" si="4"/>
        <v>0</v>
      </c>
      <c r="AG47" s="28">
        <v>30</v>
      </c>
      <c r="AH47" s="13"/>
      <c r="AI47" s="14"/>
      <c r="AJ47" s="14"/>
      <c r="AK47" s="14">
        <f t="shared" si="5"/>
        <v>0</v>
      </c>
      <c r="AL47" s="28">
        <v>30</v>
      </c>
      <c r="AM47" s="13"/>
      <c r="AN47" s="14"/>
      <c r="AO47" s="14"/>
      <c r="AP47" s="14">
        <f t="shared" si="6"/>
        <v>0</v>
      </c>
      <c r="AQ47" s="28">
        <v>30</v>
      </c>
      <c r="AR47" s="13"/>
      <c r="AS47" s="14"/>
      <c r="AT47" s="14"/>
      <c r="AU47" s="14">
        <f t="shared" si="7"/>
        <v>0</v>
      </c>
      <c r="AV47" s="28">
        <v>30</v>
      </c>
      <c r="AW47" s="13"/>
      <c r="AX47" s="14"/>
      <c r="AY47" s="14"/>
      <c r="AZ47" s="14">
        <f t="shared" si="8"/>
        <v>0</v>
      </c>
      <c r="BA47" s="28">
        <v>30</v>
      </c>
      <c r="BB47" s="13"/>
      <c r="BC47" s="14"/>
      <c r="BD47" s="14"/>
      <c r="BE47" s="14">
        <f t="shared" si="9"/>
        <v>0</v>
      </c>
    </row>
    <row r="48" spans="8:57" s="2" customFormat="1" ht="85.15" customHeight="1">
      <c r="H48" s="28">
        <v>31</v>
      </c>
      <c r="I48" s="13"/>
      <c r="J48" s="14"/>
      <c r="K48" s="14"/>
      <c r="L48" s="14">
        <f t="shared" si="0"/>
        <v>0</v>
      </c>
      <c r="M48" s="28">
        <v>31</v>
      </c>
      <c r="N48" s="13"/>
      <c r="O48" s="14"/>
      <c r="P48" s="14"/>
      <c r="Q48" s="14">
        <f t="shared" si="1"/>
        <v>0</v>
      </c>
      <c r="R48" s="28">
        <v>31</v>
      </c>
      <c r="S48" s="13"/>
      <c r="T48" s="14"/>
      <c r="U48" s="14"/>
      <c r="V48" s="14">
        <f t="shared" si="2"/>
        <v>0</v>
      </c>
      <c r="W48" s="28">
        <v>31</v>
      </c>
      <c r="X48" s="13"/>
      <c r="Y48" s="14"/>
      <c r="Z48" s="14"/>
      <c r="AA48" s="14">
        <f t="shared" si="3"/>
        <v>0</v>
      </c>
      <c r="AB48" s="28">
        <v>31</v>
      </c>
      <c r="AC48" s="13"/>
      <c r="AD48" s="14"/>
      <c r="AE48" s="14"/>
      <c r="AF48" s="14">
        <f t="shared" si="4"/>
        <v>0</v>
      </c>
      <c r="AG48" s="28">
        <v>31</v>
      </c>
      <c r="AH48" s="13"/>
      <c r="AI48" s="14"/>
      <c r="AJ48" s="14"/>
      <c r="AK48" s="14">
        <f t="shared" si="5"/>
        <v>0</v>
      </c>
      <c r="AL48" s="28">
        <v>31</v>
      </c>
      <c r="AM48" s="13"/>
      <c r="AN48" s="14"/>
      <c r="AO48" s="14"/>
      <c r="AP48" s="14">
        <f t="shared" si="6"/>
        <v>0</v>
      </c>
      <c r="AQ48" s="28">
        <v>31</v>
      </c>
      <c r="AR48" s="13"/>
      <c r="AS48" s="14"/>
      <c r="AT48" s="14"/>
      <c r="AU48" s="14">
        <f t="shared" si="7"/>
        <v>0</v>
      </c>
      <c r="AV48" s="28">
        <v>31</v>
      </c>
      <c r="AW48" s="13"/>
      <c r="AX48" s="14"/>
      <c r="AY48" s="14"/>
      <c r="AZ48" s="14">
        <f t="shared" si="8"/>
        <v>0</v>
      </c>
      <c r="BA48" s="28">
        <v>31</v>
      </c>
      <c r="BB48" s="13"/>
      <c r="BC48" s="14"/>
      <c r="BD48" s="14"/>
      <c r="BE48" s="14">
        <f t="shared" si="9"/>
        <v>0</v>
      </c>
    </row>
    <row r="49" spans="8:57" s="2" customFormat="1" ht="85.15" customHeight="1">
      <c r="H49" s="28">
        <v>32</v>
      </c>
      <c r="I49" s="13"/>
      <c r="J49" s="14"/>
      <c r="K49" s="14"/>
      <c r="L49" s="14">
        <f t="shared" si="0"/>
        <v>0</v>
      </c>
      <c r="M49" s="28">
        <v>32</v>
      </c>
      <c r="N49" s="13"/>
      <c r="O49" s="14"/>
      <c r="P49" s="14"/>
      <c r="Q49" s="14">
        <f t="shared" si="1"/>
        <v>0</v>
      </c>
      <c r="R49" s="28">
        <v>32</v>
      </c>
      <c r="S49" s="13"/>
      <c r="T49" s="14"/>
      <c r="U49" s="14"/>
      <c r="V49" s="14">
        <f t="shared" si="2"/>
        <v>0</v>
      </c>
      <c r="W49" s="28">
        <v>32</v>
      </c>
      <c r="X49" s="13"/>
      <c r="Y49" s="14"/>
      <c r="Z49" s="14"/>
      <c r="AA49" s="14">
        <f t="shared" si="3"/>
        <v>0</v>
      </c>
      <c r="AB49" s="28">
        <v>32</v>
      </c>
      <c r="AC49" s="13"/>
      <c r="AD49" s="14"/>
      <c r="AE49" s="14"/>
      <c r="AF49" s="14">
        <f t="shared" si="4"/>
        <v>0</v>
      </c>
      <c r="AG49" s="28">
        <v>32</v>
      </c>
      <c r="AH49" s="13"/>
      <c r="AI49" s="14"/>
      <c r="AJ49" s="14"/>
      <c r="AK49" s="14">
        <f t="shared" si="5"/>
        <v>0</v>
      </c>
      <c r="AL49" s="28">
        <v>32</v>
      </c>
      <c r="AM49" s="13"/>
      <c r="AN49" s="14"/>
      <c r="AO49" s="14"/>
      <c r="AP49" s="14">
        <f t="shared" si="6"/>
        <v>0</v>
      </c>
      <c r="AQ49" s="28">
        <v>32</v>
      </c>
      <c r="AR49" s="13"/>
      <c r="AS49" s="14"/>
      <c r="AT49" s="14"/>
      <c r="AU49" s="14">
        <f t="shared" si="7"/>
        <v>0</v>
      </c>
      <c r="AV49" s="28">
        <v>32</v>
      </c>
      <c r="AW49" s="13"/>
      <c r="AX49" s="14"/>
      <c r="AY49" s="14"/>
      <c r="AZ49" s="14">
        <f t="shared" si="8"/>
        <v>0</v>
      </c>
      <c r="BA49" s="28">
        <v>32</v>
      </c>
      <c r="BB49" s="13"/>
      <c r="BC49" s="14"/>
      <c r="BD49" s="14"/>
      <c r="BE49" s="14">
        <f t="shared" si="9"/>
        <v>0</v>
      </c>
    </row>
    <row r="50" spans="8:57" s="2" customFormat="1" ht="85.15" customHeight="1">
      <c r="H50" s="28">
        <v>33</v>
      </c>
      <c r="I50" s="13"/>
      <c r="J50" s="14"/>
      <c r="K50" s="14"/>
      <c r="L50" s="14">
        <f t="shared" si="0"/>
        <v>0</v>
      </c>
      <c r="M50" s="28">
        <v>33</v>
      </c>
      <c r="N50" s="13"/>
      <c r="O50" s="14"/>
      <c r="P50" s="14"/>
      <c r="Q50" s="14">
        <f t="shared" si="1"/>
        <v>0</v>
      </c>
      <c r="R50" s="28">
        <v>33</v>
      </c>
      <c r="S50" s="13"/>
      <c r="T50" s="14"/>
      <c r="U50" s="14"/>
      <c r="V50" s="14">
        <f t="shared" si="2"/>
        <v>0</v>
      </c>
      <c r="W50" s="28">
        <v>33</v>
      </c>
      <c r="X50" s="13"/>
      <c r="Y50" s="14"/>
      <c r="Z50" s="14"/>
      <c r="AA50" s="14">
        <f t="shared" si="3"/>
        <v>0</v>
      </c>
      <c r="AB50" s="28">
        <v>33</v>
      </c>
      <c r="AC50" s="13"/>
      <c r="AD50" s="14"/>
      <c r="AE50" s="14"/>
      <c r="AF50" s="14">
        <f t="shared" si="4"/>
        <v>0</v>
      </c>
      <c r="AG50" s="28">
        <v>33</v>
      </c>
      <c r="AH50" s="13"/>
      <c r="AI50" s="14"/>
      <c r="AJ50" s="14"/>
      <c r="AK50" s="14">
        <f t="shared" si="5"/>
        <v>0</v>
      </c>
      <c r="AL50" s="28">
        <v>33</v>
      </c>
      <c r="AM50" s="13"/>
      <c r="AN50" s="14"/>
      <c r="AO50" s="14"/>
      <c r="AP50" s="14">
        <f t="shared" si="6"/>
        <v>0</v>
      </c>
      <c r="AQ50" s="28">
        <v>33</v>
      </c>
      <c r="AR50" s="13"/>
      <c r="AS50" s="14"/>
      <c r="AT50" s="14"/>
      <c r="AU50" s="14">
        <f t="shared" si="7"/>
        <v>0</v>
      </c>
      <c r="AV50" s="28">
        <v>33</v>
      </c>
      <c r="AW50" s="13"/>
      <c r="AX50" s="14"/>
      <c r="AY50" s="14"/>
      <c r="AZ50" s="14">
        <f t="shared" si="8"/>
        <v>0</v>
      </c>
      <c r="BA50" s="28">
        <v>33</v>
      </c>
      <c r="BB50" s="13"/>
      <c r="BC50" s="14"/>
      <c r="BD50" s="14"/>
      <c r="BE50" s="14">
        <f t="shared" si="9"/>
        <v>0</v>
      </c>
    </row>
    <row r="51" spans="8:57" s="2" customFormat="1" ht="85.15" customHeight="1">
      <c r="H51" s="28">
        <v>34</v>
      </c>
      <c r="I51" s="13"/>
      <c r="J51" s="14"/>
      <c r="K51" s="14"/>
      <c r="L51" s="14">
        <f t="shared" si="0"/>
        <v>0</v>
      </c>
      <c r="M51" s="28">
        <v>34</v>
      </c>
      <c r="N51" s="13"/>
      <c r="O51" s="14"/>
      <c r="P51" s="14"/>
      <c r="Q51" s="14">
        <f t="shared" si="1"/>
        <v>0</v>
      </c>
      <c r="R51" s="28">
        <v>34</v>
      </c>
      <c r="S51" s="13"/>
      <c r="T51" s="14"/>
      <c r="U51" s="14"/>
      <c r="V51" s="14">
        <f t="shared" si="2"/>
        <v>0</v>
      </c>
      <c r="W51" s="28">
        <v>34</v>
      </c>
      <c r="X51" s="13"/>
      <c r="Y51" s="14"/>
      <c r="Z51" s="14"/>
      <c r="AA51" s="14">
        <f t="shared" si="3"/>
        <v>0</v>
      </c>
      <c r="AB51" s="28">
        <v>34</v>
      </c>
      <c r="AC51" s="13"/>
      <c r="AD51" s="14"/>
      <c r="AE51" s="14"/>
      <c r="AF51" s="14">
        <f t="shared" si="4"/>
        <v>0</v>
      </c>
      <c r="AG51" s="28">
        <v>34</v>
      </c>
      <c r="AH51" s="13"/>
      <c r="AI51" s="14"/>
      <c r="AJ51" s="14"/>
      <c r="AK51" s="14">
        <f t="shared" si="5"/>
        <v>0</v>
      </c>
      <c r="AL51" s="28">
        <v>34</v>
      </c>
      <c r="AM51" s="13"/>
      <c r="AN51" s="14"/>
      <c r="AO51" s="14"/>
      <c r="AP51" s="14">
        <f t="shared" si="6"/>
        <v>0</v>
      </c>
      <c r="AQ51" s="28">
        <v>34</v>
      </c>
      <c r="AR51" s="13"/>
      <c r="AS51" s="14"/>
      <c r="AT51" s="14"/>
      <c r="AU51" s="14">
        <f t="shared" si="7"/>
        <v>0</v>
      </c>
      <c r="AV51" s="28">
        <v>34</v>
      </c>
      <c r="AW51" s="13"/>
      <c r="AX51" s="14"/>
      <c r="AY51" s="14"/>
      <c r="AZ51" s="14">
        <f t="shared" si="8"/>
        <v>0</v>
      </c>
      <c r="BA51" s="28">
        <v>34</v>
      </c>
      <c r="BB51" s="13"/>
      <c r="BC51" s="14"/>
      <c r="BD51" s="14"/>
      <c r="BE51" s="14">
        <f t="shared" si="9"/>
        <v>0</v>
      </c>
    </row>
    <row r="52" spans="8:57" s="2" customFormat="1" ht="85.15" customHeight="1">
      <c r="H52" s="28">
        <v>35</v>
      </c>
      <c r="I52" s="13"/>
      <c r="J52" s="14"/>
      <c r="K52" s="14"/>
      <c r="L52" s="14">
        <f t="shared" si="0"/>
        <v>0</v>
      </c>
      <c r="M52" s="28">
        <v>35</v>
      </c>
      <c r="N52" s="13"/>
      <c r="O52" s="14"/>
      <c r="P52" s="14"/>
      <c r="Q52" s="14">
        <f t="shared" si="1"/>
        <v>0</v>
      </c>
      <c r="R52" s="28">
        <v>35</v>
      </c>
      <c r="S52" s="13"/>
      <c r="T52" s="14"/>
      <c r="U52" s="14"/>
      <c r="V52" s="14">
        <f t="shared" si="2"/>
        <v>0</v>
      </c>
      <c r="W52" s="28">
        <v>35</v>
      </c>
      <c r="X52" s="13"/>
      <c r="Y52" s="14"/>
      <c r="Z52" s="14"/>
      <c r="AA52" s="14">
        <f t="shared" si="3"/>
        <v>0</v>
      </c>
      <c r="AB52" s="28">
        <v>35</v>
      </c>
      <c r="AC52" s="13"/>
      <c r="AD52" s="14"/>
      <c r="AE52" s="14"/>
      <c r="AF52" s="14">
        <f t="shared" si="4"/>
        <v>0</v>
      </c>
      <c r="AG52" s="28">
        <v>35</v>
      </c>
      <c r="AH52" s="13"/>
      <c r="AI52" s="14"/>
      <c r="AJ52" s="14"/>
      <c r="AK52" s="14">
        <f t="shared" si="5"/>
        <v>0</v>
      </c>
      <c r="AL52" s="28">
        <v>35</v>
      </c>
      <c r="AM52" s="13"/>
      <c r="AN52" s="14"/>
      <c r="AO52" s="14"/>
      <c r="AP52" s="14">
        <f t="shared" si="6"/>
        <v>0</v>
      </c>
      <c r="AQ52" s="28">
        <v>35</v>
      </c>
      <c r="AR52" s="13"/>
      <c r="AS52" s="14"/>
      <c r="AT52" s="14"/>
      <c r="AU52" s="14">
        <f t="shared" si="7"/>
        <v>0</v>
      </c>
      <c r="AV52" s="28">
        <v>35</v>
      </c>
      <c r="AW52" s="13"/>
      <c r="AX52" s="14"/>
      <c r="AY52" s="14"/>
      <c r="AZ52" s="14">
        <f t="shared" si="8"/>
        <v>0</v>
      </c>
      <c r="BA52" s="28">
        <v>35</v>
      </c>
      <c r="BB52" s="13"/>
      <c r="BC52" s="14"/>
      <c r="BD52" s="14"/>
      <c r="BE52" s="14">
        <f t="shared" si="9"/>
        <v>0</v>
      </c>
    </row>
    <row r="53" spans="8:57" s="2" customFormat="1" ht="85.15" customHeight="1">
      <c r="H53" s="28">
        <v>36</v>
      </c>
      <c r="I53" s="13"/>
      <c r="J53" s="14"/>
      <c r="K53" s="14"/>
      <c r="L53" s="14">
        <f t="shared" si="0"/>
        <v>0</v>
      </c>
      <c r="M53" s="28">
        <v>36</v>
      </c>
      <c r="N53" s="13"/>
      <c r="O53" s="14"/>
      <c r="P53" s="14"/>
      <c r="Q53" s="14">
        <f t="shared" si="1"/>
        <v>0</v>
      </c>
      <c r="R53" s="28">
        <v>36</v>
      </c>
      <c r="S53" s="13"/>
      <c r="T53" s="14"/>
      <c r="U53" s="14"/>
      <c r="V53" s="14">
        <f t="shared" si="2"/>
        <v>0</v>
      </c>
      <c r="W53" s="28">
        <v>36</v>
      </c>
      <c r="X53" s="13"/>
      <c r="Y53" s="14"/>
      <c r="Z53" s="14"/>
      <c r="AA53" s="14">
        <f t="shared" si="3"/>
        <v>0</v>
      </c>
      <c r="AB53" s="28">
        <v>36</v>
      </c>
      <c r="AC53" s="13"/>
      <c r="AD53" s="14"/>
      <c r="AE53" s="14"/>
      <c r="AF53" s="14">
        <f t="shared" si="4"/>
        <v>0</v>
      </c>
      <c r="AG53" s="28">
        <v>36</v>
      </c>
      <c r="AH53" s="13"/>
      <c r="AI53" s="14"/>
      <c r="AJ53" s="14"/>
      <c r="AK53" s="14">
        <f t="shared" si="5"/>
        <v>0</v>
      </c>
      <c r="AL53" s="28">
        <v>36</v>
      </c>
      <c r="AM53" s="13"/>
      <c r="AN53" s="14"/>
      <c r="AO53" s="14"/>
      <c r="AP53" s="14">
        <f t="shared" si="6"/>
        <v>0</v>
      </c>
      <c r="AQ53" s="28">
        <v>36</v>
      </c>
      <c r="AR53" s="13"/>
      <c r="AS53" s="14"/>
      <c r="AT53" s="14"/>
      <c r="AU53" s="14">
        <f t="shared" si="7"/>
        <v>0</v>
      </c>
      <c r="AV53" s="28">
        <v>36</v>
      </c>
      <c r="AW53" s="13"/>
      <c r="AX53" s="14"/>
      <c r="AY53" s="14"/>
      <c r="AZ53" s="14">
        <f t="shared" si="8"/>
        <v>0</v>
      </c>
      <c r="BA53" s="28">
        <v>36</v>
      </c>
      <c r="BB53" s="13"/>
      <c r="BC53" s="14"/>
      <c r="BD53" s="14"/>
      <c r="BE53" s="14">
        <f t="shared" si="9"/>
        <v>0</v>
      </c>
    </row>
    <row r="54" spans="8:57" s="2" customFormat="1" ht="85.15" customHeight="1">
      <c r="H54" s="28">
        <v>37</v>
      </c>
      <c r="I54" s="13"/>
      <c r="J54" s="14"/>
      <c r="K54" s="14"/>
      <c r="L54" s="14">
        <f t="shared" si="0"/>
        <v>0</v>
      </c>
      <c r="M54" s="28">
        <v>37</v>
      </c>
      <c r="N54" s="13"/>
      <c r="O54" s="14"/>
      <c r="P54" s="14"/>
      <c r="Q54" s="14">
        <f t="shared" si="1"/>
        <v>0</v>
      </c>
      <c r="R54" s="28">
        <v>37</v>
      </c>
      <c r="S54" s="13"/>
      <c r="T54" s="14"/>
      <c r="U54" s="14"/>
      <c r="V54" s="14">
        <f t="shared" si="2"/>
        <v>0</v>
      </c>
      <c r="W54" s="28">
        <v>37</v>
      </c>
      <c r="X54" s="13"/>
      <c r="Y54" s="14"/>
      <c r="Z54" s="14"/>
      <c r="AA54" s="14">
        <f t="shared" si="3"/>
        <v>0</v>
      </c>
      <c r="AB54" s="28">
        <v>37</v>
      </c>
      <c r="AC54" s="13"/>
      <c r="AD54" s="14"/>
      <c r="AE54" s="14"/>
      <c r="AF54" s="14">
        <f t="shared" si="4"/>
        <v>0</v>
      </c>
      <c r="AG54" s="28">
        <v>37</v>
      </c>
      <c r="AH54" s="13"/>
      <c r="AI54" s="14"/>
      <c r="AJ54" s="14"/>
      <c r="AK54" s="14">
        <f t="shared" si="5"/>
        <v>0</v>
      </c>
      <c r="AL54" s="28">
        <v>37</v>
      </c>
      <c r="AM54" s="13"/>
      <c r="AN54" s="14"/>
      <c r="AO54" s="14"/>
      <c r="AP54" s="14">
        <f t="shared" si="6"/>
        <v>0</v>
      </c>
      <c r="AQ54" s="28">
        <v>37</v>
      </c>
      <c r="AR54" s="13"/>
      <c r="AS54" s="14"/>
      <c r="AT54" s="14"/>
      <c r="AU54" s="14">
        <f t="shared" si="7"/>
        <v>0</v>
      </c>
      <c r="AV54" s="28">
        <v>37</v>
      </c>
      <c r="AW54" s="13"/>
      <c r="AX54" s="14"/>
      <c r="AY54" s="14"/>
      <c r="AZ54" s="14">
        <f t="shared" si="8"/>
        <v>0</v>
      </c>
      <c r="BA54" s="28">
        <v>37</v>
      </c>
      <c r="BB54" s="13"/>
      <c r="BC54" s="14"/>
      <c r="BD54" s="14"/>
      <c r="BE54" s="14">
        <f t="shared" si="9"/>
        <v>0</v>
      </c>
    </row>
    <row r="55" spans="8:57" s="2" customFormat="1" ht="85.15" customHeight="1">
      <c r="H55" s="28">
        <v>38</v>
      </c>
      <c r="I55" s="13"/>
      <c r="J55" s="14"/>
      <c r="K55" s="14"/>
      <c r="L55" s="14">
        <f t="shared" si="0"/>
        <v>0</v>
      </c>
      <c r="M55" s="28">
        <v>38</v>
      </c>
      <c r="N55" s="13"/>
      <c r="O55" s="14"/>
      <c r="P55" s="14"/>
      <c r="Q55" s="14">
        <f t="shared" si="1"/>
        <v>0</v>
      </c>
      <c r="R55" s="28">
        <v>38</v>
      </c>
      <c r="S55" s="13"/>
      <c r="T55" s="14"/>
      <c r="U55" s="14"/>
      <c r="V55" s="14">
        <f t="shared" si="2"/>
        <v>0</v>
      </c>
      <c r="W55" s="28">
        <v>38</v>
      </c>
      <c r="X55" s="13"/>
      <c r="Y55" s="14"/>
      <c r="Z55" s="14"/>
      <c r="AA55" s="14">
        <f t="shared" si="3"/>
        <v>0</v>
      </c>
      <c r="AB55" s="28">
        <v>38</v>
      </c>
      <c r="AC55" s="13"/>
      <c r="AD55" s="14"/>
      <c r="AE55" s="14"/>
      <c r="AF55" s="14">
        <f t="shared" si="4"/>
        <v>0</v>
      </c>
      <c r="AG55" s="28">
        <v>38</v>
      </c>
      <c r="AH55" s="13"/>
      <c r="AI55" s="14"/>
      <c r="AJ55" s="14"/>
      <c r="AK55" s="14">
        <f t="shared" si="5"/>
        <v>0</v>
      </c>
      <c r="AL55" s="28">
        <v>38</v>
      </c>
      <c r="AM55" s="13"/>
      <c r="AN55" s="14"/>
      <c r="AO55" s="14"/>
      <c r="AP55" s="14">
        <f t="shared" si="6"/>
        <v>0</v>
      </c>
      <c r="AQ55" s="28">
        <v>38</v>
      </c>
      <c r="AR55" s="13"/>
      <c r="AS55" s="14"/>
      <c r="AT55" s="14"/>
      <c r="AU55" s="14">
        <f t="shared" si="7"/>
        <v>0</v>
      </c>
      <c r="AV55" s="28">
        <v>38</v>
      </c>
      <c r="AW55" s="13"/>
      <c r="AX55" s="14"/>
      <c r="AY55" s="14"/>
      <c r="AZ55" s="14">
        <f t="shared" si="8"/>
        <v>0</v>
      </c>
      <c r="BA55" s="28">
        <v>38</v>
      </c>
      <c r="BB55" s="13"/>
      <c r="BC55" s="14"/>
      <c r="BD55" s="14"/>
      <c r="BE55" s="14">
        <f t="shared" si="9"/>
        <v>0</v>
      </c>
    </row>
    <row r="56" spans="8:57" s="2" customFormat="1" ht="85.15" customHeight="1">
      <c r="H56" s="28">
        <v>39</v>
      </c>
      <c r="I56" s="13"/>
      <c r="J56" s="14"/>
      <c r="K56" s="14"/>
      <c r="L56" s="14">
        <f t="shared" si="0"/>
        <v>0</v>
      </c>
      <c r="M56" s="28">
        <v>39</v>
      </c>
      <c r="N56" s="13"/>
      <c r="O56" s="14"/>
      <c r="P56" s="14"/>
      <c r="Q56" s="14">
        <f t="shared" si="1"/>
        <v>0</v>
      </c>
      <c r="R56" s="28">
        <v>39</v>
      </c>
      <c r="S56" s="13"/>
      <c r="T56" s="14"/>
      <c r="U56" s="14"/>
      <c r="V56" s="14">
        <f t="shared" si="2"/>
        <v>0</v>
      </c>
      <c r="W56" s="28">
        <v>39</v>
      </c>
      <c r="X56" s="13"/>
      <c r="Y56" s="14"/>
      <c r="Z56" s="14"/>
      <c r="AA56" s="14">
        <f t="shared" si="3"/>
        <v>0</v>
      </c>
      <c r="AB56" s="28">
        <v>39</v>
      </c>
      <c r="AC56" s="13"/>
      <c r="AD56" s="14"/>
      <c r="AE56" s="14"/>
      <c r="AF56" s="14">
        <f t="shared" si="4"/>
        <v>0</v>
      </c>
      <c r="AG56" s="28">
        <v>39</v>
      </c>
      <c r="AH56" s="13"/>
      <c r="AI56" s="14"/>
      <c r="AJ56" s="14"/>
      <c r="AK56" s="14">
        <f t="shared" si="5"/>
        <v>0</v>
      </c>
      <c r="AL56" s="28">
        <v>39</v>
      </c>
      <c r="AM56" s="13"/>
      <c r="AN56" s="14"/>
      <c r="AO56" s="14"/>
      <c r="AP56" s="14">
        <f t="shared" si="6"/>
        <v>0</v>
      </c>
      <c r="AQ56" s="28">
        <v>39</v>
      </c>
      <c r="AR56" s="13"/>
      <c r="AS56" s="14"/>
      <c r="AT56" s="14"/>
      <c r="AU56" s="14">
        <f t="shared" si="7"/>
        <v>0</v>
      </c>
      <c r="AV56" s="28">
        <v>39</v>
      </c>
      <c r="AW56" s="13"/>
      <c r="AX56" s="14"/>
      <c r="AY56" s="14"/>
      <c r="AZ56" s="14">
        <f t="shared" si="8"/>
        <v>0</v>
      </c>
      <c r="BA56" s="28">
        <v>39</v>
      </c>
      <c r="BB56" s="13"/>
      <c r="BC56" s="14"/>
      <c r="BD56" s="14"/>
      <c r="BE56" s="14">
        <f t="shared" si="9"/>
        <v>0</v>
      </c>
    </row>
    <row r="57" spans="8:57" s="2" customFormat="1" ht="85.15" customHeight="1">
      <c r="H57" s="28">
        <v>40</v>
      </c>
      <c r="I57" s="13"/>
      <c r="J57" s="14"/>
      <c r="K57" s="14"/>
      <c r="L57" s="14">
        <f t="shared" si="0"/>
        <v>0</v>
      </c>
      <c r="M57" s="28">
        <v>40</v>
      </c>
      <c r="N57" s="13"/>
      <c r="O57" s="14"/>
      <c r="P57" s="14"/>
      <c r="Q57" s="14">
        <f t="shared" si="1"/>
        <v>0</v>
      </c>
      <c r="R57" s="28">
        <v>40</v>
      </c>
      <c r="S57" s="13"/>
      <c r="T57" s="14"/>
      <c r="U57" s="14"/>
      <c r="V57" s="14">
        <f t="shared" si="2"/>
        <v>0</v>
      </c>
      <c r="W57" s="28">
        <v>40</v>
      </c>
      <c r="X57" s="13"/>
      <c r="Y57" s="14"/>
      <c r="Z57" s="14"/>
      <c r="AA57" s="14">
        <f t="shared" si="3"/>
        <v>0</v>
      </c>
      <c r="AB57" s="28">
        <v>40</v>
      </c>
      <c r="AC57" s="13"/>
      <c r="AD57" s="14"/>
      <c r="AE57" s="14"/>
      <c r="AF57" s="14">
        <f t="shared" si="4"/>
        <v>0</v>
      </c>
      <c r="AG57" s="28">
        <v>40</v>
      </c>
      <c r="AH57" s="13"/>
      <c r="AI57" s="14"/>
      <c r="AJ57" s="14"/>
      <c r="AK57" s="14">
        <f t="shared" si="5"/>
        <v>0</v>
      </c>
      <c r="AL57" s="28">
        <v>40</v>
      </c>
      <c r="AM57" s="13"/>
      <c r="AN57" s="14"/>
      <c r="AO57" s="14"/>
      <c r="AP57" s="14">
        <f t="shared" si="6"/>
        <v>0</v>
      </c>
      <c r="AQ57" s="28">
        <v>40</v>
      </c>
      <c r="AR57" s="13"/>
      <c r="AS57" s="14"/>
      <c r="AT57" s="14"/>
      <c r="AU57" s="14">
        <f t="shared" si="7"/>
        <v>0</v>
      </c>
      <c r="AV57" s="28">
        <v>40</v>
      </c>
      <c r="AW57" s="13"/>
      <c r="AX57" s="14"/>
      <c r="AY57" s="14"/>
      <c r="AZ57" s="14">
        <f t="shared" si="8"/>
        <v>0</v>
      </c>
      <c r="BA57" s="28">
        <v>40</v>
      </c>
      <c r="BB57" s="13"/>
      <c r="BC57" s="14"/>
      <c r="BD57" s="14"/>
      <c r="BE57" s="14">
        <f t="shared" si="9"/>
        <v>0</v>
      </c>
    </row>
    <row r="58" spans="8:57" s="2" customFormat="1" ht="85.15" customHeight="1">
      <c r="H58" s="28">
        <v>41</v>
      </c>
      <c r="I58" s="13"/>
      <c r="J58" s="14"/>
      <c r="K58" s="14"/>
      <c r="L58" s="14">
        <f t="shared" si="0"/>
        <v>0</v>
      </c>
      <c r="M58" s="28">
        <v>41</v>
      </c>
      <c r="N58" s="13"/>
      <c r="O58" s="14"/>
      <c r="P58" s="14"/>
      <c r="Q58" s="14">
        <f t="shared" si="1"/>
        <v>0</v>
      </c>
      <c r="R58" s="28">
        <v>41</v>
      </c>
      <c r="S58" s="13"/>
      <c r="T58" s="14"/>
      <c r="U58" s="14"/>
      <c r="V58" s="14">
        <f t="shared" si="2"/>
        <v>0</v>
      </c>
      <c r="W58" s="28">
        <v>41</v>
      </c>
      <c r="X58" s="13"/>
      <c r="Y58" s="14"/>
      <c r="Z58" s="14"/>
      <c r="AA58" s="14">
        <f t="shared" si="3"/>
        <v>0</v>
      </c>
      <c r="AB58" s="28">
        <v>41</v>
      </c>
      <c r="AC58" s="13"/>
      <c r="AD58" s="14"/>
      <c r="AE58" s="14"/>
      <c r="AF58" s="14">
        <f t="shared" si="4"/>
        <v>0</v>
      </c>
      <c r="AG58" s="28">
        <v>41</v>
      </c>
      <c r="AH58" s="13"/>
      <c r="AI58" s="14"/>
      <c r="AJ58" s="14"/>
      <c r="AK58" s="14">
        <f t="shared" si="5"/>
        <v>0</v>
      </c>
      <c r="AL58" s="28">
        <v>41</v>
      </c>
      <c r="AM58" s="13"/>
      <c r="AN58" s="14"/>
      <c r="AO58" s="14"/>
      <c r="AP58" s="14">
        <f t="shared" si="6"/>
        <v>0</v>
      </c>
      <c r="AQ58" s="28">
        <v>41</v>
      </c>
      <c r="AR58" s="13"/>
      <c r="AS58" s="14"/>
      <c r="AT58" s="14"/>
      <c r="AU58" s="14">
        <f t="shared" si="7"/>
        <v>0</v>
      </c>
      <c r="AV58" s="28">
        <v>41</v>
      </c>
      <c r="AW58" s="13"/>
      <c r="AX58" s="14"/>
      <c r="AY58" s="14"/>
      <c r="AZ58" s="14">
        <f t="shared" si="8"/>
        <v>0</v>
      </c>
      <c r="BA58" s="28">
        <v>41</v>
      </c>
      <c r="BB58" s="13"/>
      <c r="BC58" s="14"/>
      <c r="BD58" s="14"/>
      <c r="BE58" s="14">
        <f t="shared" si="9"/>
        <v>0</v>
      </c>
    </row>
    <row r="59" spans="8:57" s="2" customFormat="1" ht="85.15" customHeight="1">
      <c r="H59" s="28">
        <v>42</v>
      </c>
      <c r="I59" s="13"/>
      <c r="J59" s="14"/>
      <c r="K59" s="14"/>
      <c r="L59" s="14">
        <f t="shared" si="0"/>
        <v>0</v>
      </c>
      <c r="M59" s="28">
        <v>42</v>
      </c>
      <c r="N59" s="13"/>
      <c r="O59" s="14"/>
      <c r="P59" s="14"/>
      <c r="Q59" s="14">
        <f t="shared" si="1"/>
        <v>0</v>
      </c>
      <c r="R59" s="28">
        <v>42</v>
      </c>
      <c r="S59" s="13"/>
      <c r="T59" s="14"/>
      <c r="U59" s="14"/>
      <c r="V59" s="14">
        <f t="shared" si="2"/>
        <v>0</v>
      </c>
      <c r="W59" s="28">
        <v>42</v>
      </c>
      <c r="X59" s="13"/>
      <c r="Y59" s="14"/>
      <c r="Z59" s="14"/>
      <c r="AA59" s="14">
        <f t="shared" si="3"/>
        <v>0</v>
      </c>
      <c r="AB59" s="28">
        <v>42</v>
      </c>
      <c r="AC59" s="13"/>
      <c r="AD59" s="14"/>
      <c r="AE59" s="14"/>
      <c r="AF59" s="14">
        <f t="shared" si="4"/>
        <v>0</v>
      </c>
      <c r="AG59" s="28">
        <v>42</v>
      </c>
      <c r="AH59" s="13"/>
      <c r="AI59" s="14"/>
      <c r="AJ59" s="14"/>
      <c r="AK59" s="14">
        <f t="shared" si="5"/>
        <v>0</v>
      </c>
      <c r="AL59" s="28">
        <v>42</v>
      </c>
      <c r="AM59" s="13"/>
      <c r="AN59" s="14"/>
      <c r="AO59" s="14"/>
      <c r="AP59" s="14">
        <f t="shared" si="6"/>
        <v>0</v>
      </c>
      <c r="AQ59" s="28">
        <v>42</v>
      </c>
      <c r="AR59" s="13"/>
      <c r="AS59" s="14"/>
      <c r="AT59" s="14"/>
      <c r="AU59" s="14">
        <f t="shared" si="7"/>
        <v>0</v>
      </c>
      <c r="AV59" s="28">
        <v>42</v>
      </c>
      <c r="AW59" s="13"/>
      <c r="AX59" s="14"/>
      <c r="AY59" s="14"/>
      <c r="AZ59" s="14">
        <f t="shared" si="8"/>
        <v>0</v>
      </c>
      <c r="BA59" s="28">
        <v>42</v>
      </c>
      <c r="BB59" s="13"/>
      <c r="BC59" s="14"/>
      <c r="BD59" s="14"/>
      <c r="BE59" s="14">
        <f t="shared" si="9"/>
        <v>0</v>
      </c>
    </row>
    <row r="60" spans="8:57" s="2" customFormat="1" ht="85.15" customHeight="1">
      <c r="H60" s="28">
        <v>43</v>
      </c>
      <c r="I60" s="13"/>
      <c r="J60" s="14"/>
      <c r="K60" s="14"/>
      <c r="L60" s="14">
        <f t="shared" si="0"/>
        <v>0</v>
      </c>
      <c r="M60" s="28">
        <v>43</v>
      </c>
      <c r="N60" s="13"/>
      <c r="O60" s="14"/>
      <c r="P60" s="14"/>
      <c r="Q60" s="14">
        <f t="shared" si="1"/>
        <v>0</v>
      </c>
      <c r="R60" s="28">
        <v>43</v>
      </c>
      <c r="S60" s="13"/>
      <c r="T60" s="14"/>
      <c r="U60" s="14"/>
      <c r="V60" s="14">
        <f t="shared" si="2"/>
        <v>0</v>
      </c>
      <c r="W60" s="28">
        <v>43</v>
      </c>
      <c r="X60" s="13"/>
      <c r="Y60" s="14"/>
      <c r="Z60" s="14"/>
      <c r="AA60" s="14">
        <f t="shared" si="3"/>
        <v>0</v>
      </c>
      <c r="AB60" s="28">
        <v>43</v>
      </c>
      <c r="AC60" s="13"/>
      <c r="AD60" s="14"/>
      <c r="AE60" s="14"/>
      <c r="AF60" s="14">
        <f t="shared" si="4"/>
        <v>0</v>
      </c>
      <c r="AG60" s="28">
        <v>43</v>
      </c>
      <c r="AH60" s="13"/>
      <c r="AI60" s="14"/>
      <c r="AJ60" s="14"/>
      <c r="AK60" s="14">
        <f t="shared" si="5"/>
        <v>0</v>
      </c>
      <c r="AL60" s="28">
        <v>43</v>
      </c>
      <c r="AM60" s="13"/>
      <c r="AN60" s="14"/>
      <c r="AO60" s="14"/>
      <c r="AP60" s="14">
        <f t="shared" si="6"/>
        <v>0</v>
      </c>
      <c r="AQ60" s="28">
        <v>43</v>
      </c>
      <c r="AR60" s="13"/>
      <c r="AS60" s="14"/>
      <c r="AT60" s="14"/>
      <c r="AU60" s="14">
        <f t="shared" si="7"/>
        <v>0</v>
      </c>
      <c r="AV60" s="28">
        <v>43</v>
      </c>
      <c r="AW60" s="13"/>
      <c r="AX60" s="14"/>
      <c r="AY60" s="14"/>
      <c r="AZ60" s="14">
        <f t="shared" si="8"/>
        <v>0</v>
      </c>
      <c r="BA60" s="28">
        <v>43</v>
      </c>
      <c r="BB60" s="13"/>
      <c r="BC60" s="14"/>
      <c r="BD60" s="14"/>
      <c r="BE60" s="14">
        <f t="shared" si="9"/>
        <v>0</v>
      </c>
    </row>
    <row r="61" spans="8:57" s="2" customFormat="1" ht="85.15" customHeight="1">
      <c r="H61" s="28">
        <v>44</v>
      </c>
      <c r="I61" s="13"/>
      <c r="J61" s="14"/>
      <c r="K61" s="14"/>
      <c r="L61" s="14">
        <f t="shared" si="0"/>
        <v>0</v>
      </c>
      <c r="M61" s="28">
        <v>44</v>
      </c>
      <c r="N61" s="13"/>
      <c r="O61" s="14"/>
      <c r="P61" s="14"/>
      <c r="Q61" s="14">
        <f t="shared" si="1"/>
        <v>0</v>
      </c>
      <c r="R61" s="28">
        <v>44</v>
      </c>
      <c r="S61" s="13"/>
      <c r="T61" s="14"/>
      <c r="U61" s="14"/>
      <c r="V61" s="14">
        <f t="shared" si="2"/>
        <v>0</v>
      </c>
      <c r="W61" s="28">
        <v>44</v>
      </c>
      <c r="X61" s="13"/>
      <c r="Y61" s="14"/>
      <c r="Z61" s="14"/>
      <c r="AA61" s="14">
        <f t="shared" si="3"/>
        <v>0</v>
      </c>
      <c r="AB61" s="28">
        <v>44</v>
      </c>
      <c r="AC61" s="13"/>
      <c r="AD61" s="14"/>
      <c r="AE61" s="14"/>
      <c r="AF61" s="14">
        <f t="shared" si="4"/>
        <v>0</v>
      </c>
      <c r="AG61" s="28">
        <v>44</v>
      </c>
      <c r="AH61" s="13"/>
      <c r="AI61" s="14"/>
      <c r="AJ61" s="14"/>
      <c r="AK61" s="14">
        <f t="shared" si="5"/>
        <v>0</v>
      </c>
      <c r="AL61" s="28">
        <v>44</v>
      </c>
      <c r="AM61" s="13"/>
      <c r="AN61" s="14"/>
      <c r="AO61" s="14"/>
      <c r="AP61" s="14">
        <f t="shared" si="6"/>
        <v>0</v>
      </c>
      <c r="AQ61" s="28">
        <v>44</v>
      </c>
      <c r="AR61" s="13"/>
      <c r="AS61" s="14"/>
      <c r="AT61" s="14"/>
      <c r="AU61" s="14">
        <f t="shared" si="7"/>
        <v>0</v>
      </c>
      <c r="AV61" s="28">
        <v>44</v>
      </c>
      <c r="AW61" s="13"/>
      <c r="AX61" s="14"/>
      <c r="AY61" s="14"/>
      <c r="AZ61" s="14">
        <f t="shared" si="8"/>
        <v>0</v>
      </c>
      <c r="BA61" s="28">
        <v>44</v>
      </c>
      <c r="BB61" s="13"/>
      <c r="BC61" s="14"/>
      <c r="BD61" s="14"/>
      <c r="BE61" s="14">
        <f t="shared" si="9"/>
        <v>0</v>
      </c>
    </row>
    <row r="62" spans="8:57" s="2" customFormat="1" ht="85.15" customHeight="1">
      <c r="H62" s="28">
        <v>45</v>
      </c>
      <c r="I62" s="13"/>
      <c r="J62" s="14"/>
      <c r="K62" s="14"/>
      <c r="L62" s="14">
        <f t="shared" si="0"/>
        <v>0</v>
      </c>
      <c r="M62" s="28">
        <v>45</v>
      </c>
      <c r="N62" s="13"/>
      <c r="O62" s="14"/>
      <c r="P62" s="14"/>
      <c r="Q62" s="14">
        <f t="shared" si="1"/>
        <v>0</v>
      </c>
      <c r="R62" s="28">
        <v>45</v>
      </c>
      <c r="S62" s="13"/>
      <c r="T62" s="14"/>
      <c r="U62" s="14"/>
      <c r="V62" s="14">
        <f t="shared" si="2"/>
        <v>0</v>
      </c>
      <c r="W62" s="28">
        <v>45</v>
      </c>
      <c r="X62" s="13"/>
      <c r="Y62" s="14"/>
      <c r="Z62" s="14"/>
      <c r="AA62" s="14">
        <f t="shared" si="3"/>
        <v>0</v>
      </c>
      <c r="AB62" s="28">
        <v>45</v>
      </c>
      <c r="AC62" s="13"/>
      <c r="AD62" s="14"/>
      <c r="AE62" s="14"/>
      <c r="AF62" s="14">
        <f t="shared" si="4"/>
        <v>0</v>
      </c>
      <c r="AG62" s="28">
        <v>45</v>
      </c>
      <c r="AH62" s="13"/>
      <c r="AI62" s="14"/>
      <c r="AJ62" s="14"/>
      <c r="AK62" s="14">
        <f t="shared" si="5"/>
        <v>0</v>
      </c>
      <c r="AL62" s="28">
        <v>45</v>
      </c>
      <c r="AM62" s="13"/>
      <c r="AN62" s="14"/>
      <c r="AO62" s="14"/>
      <c r="AP62" s="14">
        <f t="shared" si="6"/>
        <v>0</v>
      </c>
      <c r="AQ62" s="28">
        <v>45</v>
      </c>
      <c r="AR62" s="13"/>
      <c r="AS62" s="14"/>
      <c r="AT62" s="14"/>
      <c r="AU62" s="14">
        <f t="shared" si="7"/>
        <v>0</v>
      </c>
      <c r="AV62" s="28">
        <v>45</v>
      </c>
      <c r="AW62" s="13"/>
      <c r="AX62" s="14"/>
      <c r="AY62" s="14"/>
      <c r="AZ62" s="14">
        <f t="shared" si="8"/>
        <v>0</v>
      </c>
      <c r="BA62" s="28">
        <v>45</v>
      </c>
      <c r="BB62" s="13"/>
      <c r="BC62" s="14"/>
      <c r="BD62" s="14"/>
      <c r="BE62" s="14">
        <f t="shared" si="9"/>
        <v>0</v>
      </c>
    </row>
    <row r="63" spans="8:57" s="2" customFormat="1" ht="85.15" customHeight="1">
      <c r="H63" s="28">
        <v>46</v>
      </c>
      <c r="I63" s="13"/>
      <c r="J63" s="14"/>
      <c r="K63" s="14"/>
      <c r="L63" s="14">
        <f t="shared" si="0"/>
        <v>0</v>
      </c>
      <c r="M63" s="28">
        <v>46</v>
      </c>
      <c r="N63" s="13"/>
      <c r="O63" s="14"/>
      <c r="P63" s="14"/>
      <c r="Q63" s="14">
        <f t="shared" si="1"/>
        <v>0</v>
      </c>
      <c r="R63" s="28">
        <v>46</v>
      </c>
      <c r="S63" s="13"/>
      <c r="T63" s="14"/>
      <c r="U63" s="14"/>
      <c r="V63" s="14">
        <f t="shared" si="2"/>
        <v>0</v>
      </c>
      <c r="W63" s="28">
        <v>46</v>
      </c>
      <c r="X63" s="13"/>
      <c r="Y63" s="14"/>
      <c r="Z63" s="14"/>
      <c r="AA63" s="14">
        <f t="shared" si="3"/>
        <v>0</v>
      </c>
      <c r="AB63" s="28">
        <v>46</v>
      </c>
      <c r="AC63" s="13"/>
      <c r="AD63" s="14"/>
      <c r="AE63" s="14"/>
      <c r="AF63" s="14">
        <f t="shared" si="4"/>
        <v>0</v>
      </c>
      <c r="AG63" s="28">
        <v>46</v>
      </c>
      <c r="AH63" s="13"/>
      <c r="AI63" s="14"/>
      <c r="AJ63" s="14"/>
      <c r="AK63" s="14">
        <f t="shared" si="5"/>
        <v>0</v>
      </c>
      <c r="AL63" s="28">
        <v>46</v>
      </c>
      <c r="AM63" s="13"/>
      <c r="AN63" s="14"/>
      <c r="AO63" s="14"/>
      <c r="AP63" s="14">
        <f t="shared" si="6"/>
        <v>0</v>
      </c>
      <c r="AQ63" s="28">
        <v>46</v>
      </c>
      <c r="AR63" s="13"/>
      <c r="AS63" s="14"/>
      <c r="AT63" s="14"/>
      <c r="AU63" s="14">
        <f t="shared" si="7"/>
        <v>0</v>
      </c>
      <c r="AV63" s="28">
        <v>46</v>
      </c>
      <c r="AW63" s="13"/>
      <c r="AX63" s="14"/>
      <c r="AY63" s="14"/>
      <c r="AZ63" s="14">
        <f t="shared" si="8"/>
        <v>0</v>
      </c>
      <c r="BA63" s="28">
        <v>46</v>
      </c>
      <c r="BB63" s="13"/>
      <c r="BC63" s="14"/>
      <c r="BD63" s="14"/>
      <c r="BE63" s="14">
        <f t="shared" si="9"/>
        <v>0</v>
      </c>
    </row>
    <row r="64" spans="8:57" s="2" customFormat="1" ht="85.15" customHeight="1">
      <c r="H64" s="28">
        <v>47</v>
      </c>
      <c r="I64" s="13"/>
      <c r="J64" s="14"/>
      <c r="K64" s="14"/>
      <c r="L64" s="14">
        <f t="shared" si="0"/>
        <v>0</v>
      </c>
      <c r="M64" s="28">
        <v>47</v>
      </c>
      <c r="N64" s="13"/>
      <c r="O64" s="14"/>
      <c r="P64" s="14"/>
      <c r="Q64" s="14">
        <f t="shared" si="1"/>
        <v>0</v>
      </c>
      <c r="R64" s="28">
        <v>47</v>
      </c>
      <c r="S64" s="13"/>
      <c r="T64" s="14"/>
      <c r="U64" s="14"/>
      <c r="V64" s="14">
        <f t="shared" si="2"/>
        <v>0</v>
      </c>
      <c r="W64" s="28">
        <v>47</v>
      </c>
      <c r="X64" s="13"/>
      <c r="Y64" s="14"/>
      <c r="Z64" s="14"/>
      <c r="AA64" s="14">
        <f t="shared" si="3"/>
        <v>0</v>
      </c>
      <c r="AB64" s="28">
        <v>47</v>
      </c>
      <c r="AC64" s="13"/>
      <c r="AD64" s="14"/>
      <c r="AE64" s="14"/>
      <c r="AF64" s="14">
        <f t="shared" si="4"/>
        <v>0</v>
      </c>
      <c r="AG64" s="28">
        <v>47</v>
      </c>
      <c r="AH64" s="13"/>
      <c r="AI64" s="14"/>
      <c r="AJ64" s="14"/>
      <c r="AK64" s="14">
        <f t="shared" si="5"/>
        <v>0</v>
      </c>
      <c r="AL64" s="28">
        <v>47</v>
      </c>
      <c r="AM64" s="13"/>
      <c r="AN64" s="14"/>
      <c r="AO64" s="14"/>
      <c r="AP64" s="14">
        <f t="shared" si="6"/>
        <v>0</v>
      </c>
      <c r="AQ64" s="28">
        <v>47</v>
      </c>
      <c r="AR64" s="13"/>
      <c r="AS64" s="14"/>
      <c r="AT64" s="14"/>
      <c r="AU64" s="14">
        <f t="shared" si="7"/>
        <v>0</v>
      </c>
      <c r="AV64" s="28">
        <v>47</v>
      </c>
      <c r="AW64" s="13"/>
      <c r="AX64" s="14"/>
      <c r="AY64" s="14"/>
      <c r="AZ64" s="14">
        <f t="shared" si="8"/>
        <v>0</v>
      </c>
      <c r="BA64" s="28">
        <v>47</v>
      </c>
      <c r="BB64" s="13"/>
      <c r="BC64" s="14"/>
      <c r="BD64" s="14"/>
      <c r="BE64" s="14">
        <f t="shared" si="9"/>
        <v>0</v>
      </c>
    </row>
    <row r="65" spans="8:57" s="2" customFormat="1" ht="85.15" customHeight="1">
      <c r="H65" s="28">
        <v>48</v>
      </c>
      <c r="I65" s="13"/>
      <c r="J65" s="14"/>
      <c r="K65" s="14"/>
      <c r="L65" s="14">
        <f t="shared" si="0"/>
        <v>0</v>
      </c>
      <c r="M65" s="28">
        <v>48</v>
      </c>
      <c r="N65" s="13"/>
      <c r="O65" s="14"/>
      <c r="P65" s="14"/>
      <c r="Q65" s="14">
        <f t="shared" si="1"/>
        <v>0</v>
      </c>
      <c r="R65" s="28">
        <v>48</v>
      </c>
      <c r="S65" s="13"/>
      <c r="T65" s="14"/>
      <c r="U65" s="14"/>
      <c r="V65" s="14">
        <f t="shared" si="2"/>
        <v>0</v>
      </c>
      <c r="W65" s="28">
        <v>48</v>
      </c>
      <c r="X65" s="13"/>
      <c r="Y65" s="14"/>
      <c r="Z65" s="14"/>
      <c r="AA65" s="14">
        <f t="shared" si="3"/>
        <v>0</v>
      </c>
      <c r="AB65" s="28">
        <v>48</v>
      </c>
      <c r="AC65" s="13"/>
      <c r="AD65" s="14"/>
      <c r="AE65" s="14"/>
      <c r="AF65" s="14">
        <f t="shared" si="4"/>
        <v>0</v>
      </c>
      <c r="AG65" s="28">
        <v>48</v>
      </c>
      <c r="AH65" s="13"/>
      <c r="AI65" s="14"/>
      <c r="AJ65" s="14"/>
      <c r="AK65" s="14">
        <f t="shared" si="5"/>
        <v>0</v>
      </c>
      <c r="AL65" s="28">
        <v>48</v>
      </c>
      <c r="AM65" s="13"/>
      <c r="AN65" s="14"/>
      <c r="AO65" s="14"/>
      <c r="AP65" s="14">
        <f t="shared" si="6"/>
        <v>0</v>
      </c>
      <c r="AQ65" s="28">
        <v>48</v>
      </c>
      <c r="AR65" s="13"/>
      <c r="AS65" s="14"/>
      <c r="AT65" s="14"/>
      <c r="AU65" s="14">
        <f t="shared" si="7"/>
        <v>0</v>
      </c>
      <c r="AV65" s="28">
        <v>48</v>
      </c>
      <c r="AW65" s="13"/>
      <c r="AX65" s="14"/>
      <c r="AY65" s="14"/>
      <c r="AZ65" s="14">
        <f t="shared" si="8"/>
        <v>0</v>
      </c>
      <c r="BA65" s="28">
        <v>48</v>
      </c>
      <c r="BB65" s="13"/>
      <c r="BC65" s="14"/>
      <c r="BD65" s="14"/>
      <c r="BE65" s="14">
        <f t="shared" si="9"/>
        <v>0</v>
      </c>
    </row>
    <row r="66" spans="8:57" s="2" customFormat="1" ht="85.15" customHeight="1">
      <c r="H66" s="28">
        <v>49</v>
      </c>
      <c r="I66" s="13"/>
      <c r="J66" s="14"/>
      <c r="K66" s="14"/>
      <c r="L66" s="14">
        <f t="shared" si="0"/>
        <v>0</v>
      </c>
      <c r="M66" s="28">
        <v>49</v>
      </c>
      <c r="N66" s="13"/>
      <c r="O66" s="14"/>
      <c r="P66" s="14"/>
      <c r="Q66" s="14">
        <f t="shared" si="1"/>
        <v>0</v>
      </c>
      <c r="R66" s="28">
        <v>49</v>
      </c>
      <c r="S66" s="13"/>
      <c r="T66" s="14"/>
      <c r="U66" s="14"/>
      <c r="V66" s="14">
        <f t="shared" si="2"/>
        <v>0</v>
      </c>
      <c r="W66" s="28">
        <v>49</v>
      </c>
      <c r="X66" s="13"/>
      <c r="Y66" s="14"/>
      <c r="Z66" s="14"/>
      <c r="AA66" s="14">
        <f t="shared" si="3"/>
        <v>0</v>
      </c>
      <c r="AB66" s="28">
        <v>49</v>
      </c>
      <c r="AC66" s="13"/>
      <c r="AD66" s="14"/>
      <c r="AE66" s="14"/>
      <c r="AF66" s="14">
        <f t="shared" si="4"/>
        <v>0</v>
      </c>
      <c r="AG66" s="28">
        <v>49</v>
      </c>
      <c r="AH66" s="13"/>
      <c r="AI66" s="14"/>
      <c r="AJ66" s="14"/>
      <c r="AK66" s="14">
        <f t="shared" si="5"/>
        <v>0</v>
      </c>
      <c r="AL66" s="28">
        <v>49</v>
      </c>
      <c r="AM66" s="13"/>
      <c r="AN66" s="14"/>
      <c r="AO66" s="14"/>
      <c r="AP66" s="14">
        <f t="shared" si="6"/>
        <v>0</v>
      </c>
      <c r="AQ66" s="28">
        <v>49</v>
      </c>
      <c r="AR66" s="13"/>
      <c r="AS66" s="14"/>
      <c r="AT66" s="14"/>
      <c r="AU66" s="14">
        <f t="shared" si="7"/>
        <v>0</v>
      </c>
      <c r="AV66" s="28">
        <v>49</v>
      </c>
      <c r="AW66" s="13"/>
      <c r="AX66" s="14"/>
      <c r="AY66" s="14"/>
      <c r="AZ66" s="14">
        <f t="shared" si="8"/>
        <v>0</v>
      </c>
      <c r="BA66" s="28">
        <v>49</v>
      </c>
      <c r="BB66" s="13"/>
      <c r="BC66" s="14"/>
      <c r="BD66" s="14"/>
      <c r="BE66" s="14">
        <f t="shared" si="9"/>
        <v>0</v>
      </c>
    </row>
    <row r="67" spans="8:57" s="2" customFormat="1" ht="85.15" customHeight="1">
      <c r="H67" s="28">
        <v>50</v>
      </c>
      <c r="I67" s="13"/>
      <c r="J67" s="14"/>
      <c r="K67" s="14"/>
      <c r="L67" s="14">
        <f t="shared" si="0"/>
        <v>0</v>
      </c>
      <c r="M67" s="28">
        <v>50</v>
      </c>
      <c r="N67" s="13"/>
      <c r="O67" s="14"/>
      <c r="P67" s="14"/>
      <c r="Q67" s="14">
        <f t="shared" si="1"/>
        <v>0</v>
      </c>
      <c r="R67" s="28">
        <v>50</v>
      </c>
      <c r="S67" s="13"/>
      <c r="T67" s="14"/>
      <c r="U67" s="14"/>
      <c r="V67" s="14">
        <f t="shared" si="2"/>
        <v>0</v>
      </c>
      <c r="W67" s="28">
        <v>50</v>
      </c>
      <c r="X67" s="13"/>
      <c r="Y67" s="14"/>
      <c r="Z67" s="14"/>
      <c r="AA67" s="14">
        <f t="shared" si="3"/>
        <v>0</v>
      </c>
      <c r="AB67" s="28">
        <v>50</v>
      </c>
      <c r="AC67" s="13"/>
      <c r="AD67" s="14"/>
      <c r="AE67" s="14"/>
      <c r="AF67" s="14">
        <f t="shared" si="4"/>
        <v>0</v>
      </c>
      <c r="AG67" s="28">
        <v>50</v>
      </c>
      <c r="AH67" s="13"/>
      <c r="AI67" s="14"/>
      <c r="AJ67" s="14"/>
      <c r="AK67" s="14">
        <f t="shared" si="5"/>
        <v>0</v>
      </c>
      <c r="AL67" s="28">
        <v>50</v>
      </c>
      <c r="AM67" s="13"/>
      <c r="AN67" s="14"/>
      <c r="AO67" s="14"/>
      <c r="AP67" s="14">
        <f t="shared" si="6"/>
        <v>0</v>
      </c>
      <c r="AQ67" s="28">
        <v>50</v>
      </c>
      <c r="AR67" s="13"/>
      <c r="AS67" s="14"/>
      <c r="AT67" s="14"/>
      <c r="AU67" s="14">
        <f t="shared" si="7"/>
        <v>0</v>
      </c>
      <c r="AV67" s="28">
        <v>50</v>
      </c>
      <c r="AW67" s="13"/>
      <c r="AX67" s="14"/>
      <c r="AY67" s="14"/>
      <c r="AZ67" s="14">
        <f t="shared" si="8"/>
        <v>0</v>
      </c>
      <c r="BA67" s="28">
        <v>50</v>
      </c>
      <c r="BB67" s="13"/>
      <c r="BC67" s="14"/>
      <c r="BD67" s="14"/>
      <c r="BE67" s="14">
        <f t="shared" si="9"/>
        <v>0</v>
      </c>
    </row>
    <row r="68" spans="8:57" s="2" customFormat="1" ht="85.15" customHeight="1">
      <c r="H68" s="28">
        <v>51</v>
      </c>
      <c r="I68" s="13"/>
      <c r="J68" s="14"/>
      <c r="K68" s="14"/>
      <c r="L68" s="14">
        <f t="shared" si="0"/>
        <v>0</v>
      </c>
      <c r="M68" s="28">
        <v>51</v>
      </c>
      <c r="N68" s="13"/>
      <c r="O68" s="14"/>
      <c r="P68" s="14"/>
      <c r="Q68" s="14">
        <f t="shared" si="1"/>
        <v>0</v>
      </c>
      <c r="R68" s="28">
        <v>51</v>
      </c>
      <c r="S68" s="13"/>
      <c r="T68" s="14"/>
      <c r="U68" s="14"/>
      <c r="V68" s="14">
        <f t="shared" si="2"/>
        <v>0</v>
      </c>
      <c r="W68" s="28">
        <v>51</v>
      </c>
      <c r="X68" s="13"/>
      <c r="Y68" s="14"/>
      <c r="Z68" s="14"/>
      <c r="AA68" s="14">
        <f t="shared" si="3"/>
        <v>0</v>
      </c>
      <c r="AB68" s="28">
        <v>51</v>
      </c>
      <c r="AC68" s="13"/>
      <c r="AD68" s="14"/>
      <c r="AE68" s="14"/>
      <c r="AF68" s="14">
        <f t="shared" si="4"/>
        <v>0</v>
      </c>
      <c r="AG68" s="28">
        <v>51</v>
      </c>
      <c r="AH68" s="13"/>
      <c r="AI68" s="14"/>
      <c r="AJ68" s="14"/>
      <c r="AK68" s="14">
        <f t="shared" si="5"/>
        <v>0</v>
      </c>
      <c r="AL68" s="28">
        <v>51</v>
      </c>
      <c r="AM68" s="13"/>
      <c r="AN68" s="14"/>
      <c r="AO68" s="14"/>
      <c r="AP68" s="14">
        <f t="shared" si="6"/>
        <v>0</v>
      </c>
      <c r="AQ68" s="28">
        <v>51</v>
      </c>
      <c r="AR68" s="13"/>
      <c r="AS68" s="14"/>
      <c r="AT68" s="14"/>
      <c r="AU68" s="14">
        <f t="shared" si="7"/>
        <v>0</v>
      </c>
      <c r="AV68" s="28">
        <v>51</v>
      </c>
      <c r="AW68" s="13"/>
      <c r="AX68" s="14"/>
      <c r="AY68" s="14"/>
      <c r="AZ68" s="14">
        <f t="shared" si="8"/>
        <v>0</v>
      </c>
      <c r="BA68" s="28">
        <v>51</v>
      </c>
      <c r="BB68" s="13"/>
      <c r="BC68" s="14"/>
      <c r="BD68" s="14"/>
      <c r="BE68" s="14">
        <f t="shared" si="9"/>
        <v>0</v>
      </c>
    </row>
    <row r="69" spans="8:57" s="2" customFormat="1" ht="85.15" customHeight="1">
      <c r="H69" s="28">
        <v>52</v>
      </c>
      <c r="I69" s="13"/>
      <c r="J69" s="14"/>
      <c r="K69" s="14"/>
      <c r="L69" s="14">
        <f t="shared" si="0"/>
        <v>0</v>
      </c>
      <c r="M69" s="28">
        <v>52</v>
      </c>
      <c r="N69" s="13"/>
      <c r="O69" s="14"/>
      <c r="P69" s="14"/>
      <c r="Q69" s="14">
        <f t="shared" si="1"/>
        <v>0</v>
      </c>
      <c r="R69" s="28">
        <v>52</v>
      </c>
      <c r="S69" s="13"/>
      <c r="T69" s="14"/>
      <c r="U69" s="14"/>
      <c r="V69" s="14">
        <f t="shared" si="2"/>
        <v>0</v>
      </c>
      <c r="W69" s="28">
        <v>52</v>
      </c>
      <c r="X69" s="13"/>
      <c r="Y69" s="14"/>
      <c r="Z69" s="14"/>
      <c r="AA69" s="14">
        <f t="shared" si="3"/>
        <v>0</v>
      </c>
      <c r="AB69" s="28">
        <v>52</v>
      </c>
      <c r="AC69" s="13"/>
      <c r="AD69" s="14"/>
      <c r="AE69" s="14"/>
      <c r="AF69" s="14">
        <f t="shared" si="4"/>
        <v>0</v>
      </c>
      <c r="AG69" s="28">
        <v>52</v>
      </c>
      <c r="AH69" s="13"/>
      <c r="AI69" s="14"/>
      <c r="AJ69" s="14"/>
      <c r="AK69" s="14">
        <f t="shared" si="5"/>
        <v>0</v>
      </c>
      <c r="AL69" s="28">
        <v>52</v>
      </c>
      <c r="AM69" s="13"/>
      <c r="AN69" s="14"/>
      <c r="AO69" s="14"/>
      <c r="AP69" s="14">
        <f t="shared" si="6"/>
        <v>0</v>
      </c>
      <c r="AQ69" s="28">
        <v>52</v>
      </c>
      <c r="AR69" s="13"/>
      <c r="AS69" s="14"/>
      <c r="AT69" s="14"/>
      <c r="AU69" s="14">
        <f t="shared" si="7"/>
        <v>0</v>
      </c>
      <c r="AV69" s="28">
        <v>52</v>
      </c>
      <c r="AW69" s="13"/>
      <c r="AX69" s="14"/>
      <c r="AY69" s="14"/>
      <c r="AZ69" s="14">
        <f t="shared" si="8"/>
        <v>0</v>
      </c>
      <c r="BA69" s="28">
        <v>52</v>
      </c>
      <c r="BB69" s="13"/>
      <c r="BC69" s="14"/>
      <c r="BD69" s="14"/>
      <c r="BE69" s="14">
        <f t="shared" si="9"/>
        <v>0</v>
      </c>
    </row>
    <row r="70" spans="8:57" s="2" customFormat="1" ht="85.15" customHeight="1">
      <c r="H70" s="28">
        <v>53</v>
      </c>
      <c r="I70" s="13"/>
      <c r="J70" s="14"/>
      <c r="K70" s="14"/>
      <c r="L70" s="14">
        <f t="shared" si="0"/>
        <v>0</v>
      </c>
      <c r="M70" s="28">
        <v>53</v>
      </c>
      <c r="N70" s="13"/>
      <c r="O70" s="14"/>
      <c r="P70" s="14"/>
      <c r="Q70" s="14">
        <f t="shared" si="1"/>
        <v>0</v>
      </c>
      <c r="R70" s="28">
        <v>53</v>
      </c>
      <c r="S70" s="13"/>
      <c r="T70" s="14"/>
      <c r="U70" s="14"/>
      <c r="V70" s="14">
        <f t="shared" si="2"/>
        <v>0</v>
      </c>
      <c r="W70" s="28">
        <v>53</v>
      </c>
      <c r="X70" s="13"/>
      <c r="Y70" s="14"/>
      <c r="Z70" s="14"/>
      <c r="AA70" s="14">
        <f t="shared" si="3"/>
        <v>0</v>
      </c>
      <c r="AB70" s="28">
        <v>53</v>
      </c>
      <c r="AC70" s="13"/>
      <c r="AD70" s="14"/>
      <c r="AE70" s="14"/>
      <c r="AF70" s="14">
        <f t="shared" si="4"/>
        <v>0</v>
      </c>
      <c r="AG70" s="28">
        <v>53</v>
      </c>
      <c r="AH70" s="13"/>
      <c r="AI70" s="14"/>
      <c r="AJ70" s="14"/>
      <c r="AK70" s="14">
        <f t="shared" si="5"/>
        <v>0</v>
      </c>
      <c r="AL70" s="28">
        <v>53</v>
      </c>
      <c r="AM70" s="13"/>
      <c r="AN70" s="14"/>
      <c r="AO70" s="14"/>
      <c r="AP70" s="14">
        <f t="shared" si="6"/>
        <v>0</v>
      </c>
      <c r="AQ70" s="28">
        <v>53</v>
      </c>
      <c r="AR70" s="13"/>
      <c r="AS70" s="14"/>
      <c r="AT70" s="14"/>
      <c r="AU70" s="14">
        <f t="shared" si="7"/>
        <v>0</v>
      </c>
      <c r="AV70" s="28">
        <v>53</v>
      </c>
      <c r="AW70" s="13"/>
      <c r="AX70" s="14"/>
      <c r="AY70" s="14"/>
      <c r="AZ70" s="14">
        <f t="shared" si="8"/>
        <v>0</v>
      </c>
      <c r="BA70" s="28">
        <v>53</v>
      </c>
      <c r="BB70" s="13"/>
      <c r="BC70" s="14"/>
      <c r="BD70" s="14"/>
      <c r="BE70" s="14">
        <f t="shared" si="9"/>
        <v>0</v>
      </c>
    </row>
    <row r="71" spans="8:57" s="2" customFormat="1" ht="85.15" customHeight="1">
      <c r="H71" s="28">
        <v>54</v>
      </c>
      <c r="I71" s="13"/>
      <c r="J71" s="14"/>
      <c r="K71" s="14"/>
      <c r="L71" s="14">
        <f t="shared" si="0"/>
        <v>0</v>
      </c>
      <c r="M71" s="28">
        <v>54</v>
      </c>
      <c r="N71" s="13"/>
      <c r="O71" s="14"/>
      <c r="P71" s="14"/>
      <c r="Q71" s="14">
        <f t="shared" si="1"/>
        <v>0</v>
      </c>
      <c r="R71" s="28">
        <v>54</v>
      </c>
      <c r="S71" s="13"/>
      <c r="T71" s="14"/>
      <c r="U71" s="14"/>
      <c r="V71" s="14">
        <f t="shared" si="2"/>
        <v>0</v>
      </c>
      <c r="W71" s="28">
        <v>54</v>
      </c>
      <c r="X71" s="13"/>
      <c r="Y71" s="14"/>
      <c r="Z71" s="14"/>
      <c r="AA71" s="14">
        <f t="shared" si="3"/>
        <v>0</v>
      </c>
      <c r="AB71" s="28">
        <v>54</v>
      </c>
      <c r="AC71" s="13"/>
      <c r="AD71" s="14"/>
      <c r="AE71" s="14"/>
      <c r="AF71" s="14">
        <f t="shared" si="4"/>
        <v>0</v>
      </c>
      <c r="AG71" s="28">
        <v>54</v>
      </c>
      <c r="AH71" s="13"/>
      <c r="AI71" s="14"/>
      <c r="AJ71" s="14"/>
      <c r="AK71" s="14">
        <f t="shared" si="5"/>
        <v>0</v>
      </c>
      <c r="AL71" s="28">
        <v>54</v>
      </c>
      <c r="AM71" s="13"/>
      <c r="AN71" s="14"/>
      <c r="AO71" s="14"/>
      <c r="AP71" s="14">
        <f t="shared" si="6"/>
        <v>0</v>
      </c>
      <c r="AQ71" s="28">
        <v>54</v>
      </c>
      <c r="AR71" s="13"/>
      <c r="AS71" s="14"/>
      <c r="AT71" s="14"/>
      <c r="AU71" s="14">
        <f t="shared" si="7"/>
        <v>0</v>
      </c>
      <c r="AV71" s="28">
        <v>54</v>
      </c>
      <c r="AW71" s="13"/>
      <c r="AX71" s="14"/>
      <c r="AY71" s="14"/>
      <c r="AZ71" s="14">
        <f t="shared" si="8"/>
        <v>0</v>
      </c>
      <c r="BA71" s="28">
        <v>54</v>
      </c>
      <c r="BB71" s="13"/>
      <c r="BC71" s="14"/>
      <c r="BD71" s="14"/>
      <c r="BE71" s="14">
        <f t="shared" si="9"/>
        <v>0</v>
      </c>
    </row>
    <row r="72" spans="8:57" s="2" customFormat="1" ht="85.15" customHeight="1">
      <c r="H72" s="28">
        <v>55</v>
      </c>
      <c r="I72" s="13"/>
      <c r="J72" s="14"/>
      <c r="K72" s="14"/>
      <c r="L72" s="14">
        <f t="shared" si="0"/>
        <v>0</v>
      </c>
      <c r="M72" s="28">
        <v>55</v>
      </c>
      <c r="N72" s="13"/>
      <c r="O72" s="14"/>
      <c r="P72" s="14"/>
      <c r="Q72" s="14">
        <f t="shared" si="1"/>
        <v>0</v>
      </c>
      <c r="R72" s="28">
        <v>55</v>
      </c>
      <c r="S72" s="13"/>
      <c r="T72" s="14"/>
      <c r="U72" s="14"/>
      <c r="V72" s="14">
        <f t="shared" si="2"/>
        <v>0</v>
      </c>
      <c r="W72" s="28">
        <v>55</v>
      </c>
      <c r="X72" s="13"/>
      <c r="Y72" s="14"/>
      <c r="Z72" s="14"/>
      <c r="AA72" s="14">
        <f t="shared" si="3"/>
        <v>0</v>
      </c>
      <c r="AB72" s="28">
        <v>55</v>
      </c>
      <c r="AC72" s="13"/>
      <c r="AD72" s="14"/>
      <c r="AE72" s="14"/>
      <c r="AF72" s="14">
        <f t="shared" si="4"/>
        <v>0</v>
      </c>
      <c r="AG72" s="28">
        <v>55</v>
      </c>
      <c r="AH72" s="13"/>
      <c r="AI72" s="14"/>
      <c r="AJ72" s="14"/>
      <c r="AK72" s="14">
        <f t="shared" si="5"/>
        <v>0</v>
      </c>
      <c r="AL72" s="28">
        <v>55</v>
      </c>
      <c r="AM72" s="13"/>
      <c r="AN72" s="14"/>
      <c r="AO72" s="14"/>
      <c r="AP72" s="14">
        <f t="shared" si="6"/>
        <v>0</v>
      </c>
      <c r="AQ72" s="28">
        <v>55</v>
      </c>
      <c r="AR72" s="13"/>
      <c r="AS72" s="14"/>
      <c r="AT72" s="14"/>
      <c r="AU72" s="14">
        <f t="shared" si="7"/>
        <v>0</v>
      </c>
      <c r="AV72" s="28">
        <v>55</v>
      </c>
      <c r="AW72" s="13"/>
      <c r="AX72" s="14"/>
      <c r="AY72" s="14"/>
      <c r="AZ72" s="14">
        <f t="shared" si="8"/>
        <v>0</v>
      </c>
      <c r="BA72" s="28">
        <v>55</v>
      </c>
      <c r="BB72" s="13"/>
      <c r="BC72" s="14"/>
      <c r="BD72" s="14"/>
      <c r="BE72" s="14">
        <f t="shared" si="9"/>
        <v>0</v>
      </c>
    </row>
    <row r="73" spans="8:57" s="2" customFormat="1" ht="85.15" customHeight="1">
      <c r="H73" s="28">
        <v>56</v>
      </c>
      <c r="I73" s="13"/>
      <c r="J73" s="14"/>
      <c r="K73" s="14"/>
      <c r="L73" s="14">
        <f t="shared" si="0"/>
        <v>0</v>
      </c>
      <c r="M73" s="28">
        <v>56</v>
      </c>
      <c r="N73" s="13"/>
      <c r="O73" s="14"/>
      <c r="P73" s="14"/>
      <c r="Q73" s="14">
        <f t="shared" si="1"/>
        <v>0</v>
      </c>
      <c r="R73" s="28">
        <v>56</v>
      </c>
      <c r="S73" s="13"/>
      <c r="T73" s="14"/>
      <c r="U73" s="14"/>
      <c r="V73" s="14">
        <f t="shared" si="2"/>
        <v>0</v>
      </c>
      <c r="W73" s="28">
        <v>56</v>
      </c>
      <c r="X73" s="13"/>
      <c r="Y73" s="14"/>
      <c r="Z73" s="14"/>
      <c r="AA73" s="14">
        <f t="shared" si="3"/>
        <v>0</v>
      </c>
      <c r="AB73" s="28">
        <v>56</v>
      </c>
      <c r="AC73" s="13"/>
      <c r="AD73" s="14"/>
      <c r="AE73" s="14"/>
      <c r="AF73" s="14">
        <f t="shared" si="4"/>
        <v>0</v>
      </c>
      <c r="AG73" s="28">
        <v>56</v>
      </c>
      <c r="AH73" s="13"/>
      <c r="AI73" s="14"/>
      <c r="AJ73" s="14"/>
      <c r="AK73" s="14">
        <f t="shared" si="5"/>
        <v>0</v>
      </c>
      <c r="AL73" s="28">
        <v>56</v>
      </c>
      <c r="AM73" s="13"/>
      <c r="AN73" s="14"/>
      <c r="AO73" s="14"/>
      <c r="AP73" s="14">
        <f t="shared" si="6"/>
        <v>0</v>
      </c>
      <c r="AQ73" s="28">
        <v>56</v>
      </c>
      <c r="AR73" s="13"/>
      <c r="AS73" s="14"/>
      <c r="AT73" s="14"/>
      <c r="AU73" s="14">
        <f t="shared" si="7"/>
        <v>0</v>
      </c>
      <c r="AV73" s="28">
        <v>56</v>
      </c>
      <c r="AW73" s="13"/>
      <c r="AX73" s="14"/>
      <c r="AY73" s="14"/>
      <c r="AZ73" s="14">
        <f t="shared" si="8"/>
        <v>0</v>
      </c>
      <c r="BA73" s="28">
        <v>56</v>
      </c>
      <c r="BB73" s="13"/>
      <c r="BC73" s="14"/>
      <c r="BD73" s="14"/>
      <c r="BE73" s="14">
        <f t="shared" si="9"/>
        <v>0</v>
      </c>
    </row>
    <row r="74" spans="8:57" s="1" customFormat="1" ht="85.15" customHeight="1">
      <c r="H74" s="4"/>
      <c r="M74" s="4"/>
      <c r="R74" s="4"/>
      <c r="W74" s="4"/>
      <c r="AB74" s="4"/>
      <c r="AG74" s="4"/>
      <c r="AL74" s="4"/>
      <c r="AQ74" s="4"/>
      <c r="AV74" s="4"/>
      <c r="BA74" s="4"/>
    </row>
    <row r="75" spans="8:57" s="1" customFormat="1" ht="85.15" customHeight="1">
      <c r="H75" s="4"/>
      <c r="M75" s="4"/>
      <c r="R75" s="4"/>
      <c r="W75" s="4"/>
      <c r="AB75" s="4"/>
      <c r="AG75" s="4"/>
      <c r="AL75" s="4"/>
      <c r="AQ75" s="4"/>
      <c r="AV75" s="4"/>
      <c r="BA75" s="4"/>
    </row>
    <row r="76" spans="8:57" s="1" customFormat="1" ht="85.15" customHeight="1">
      <c r="H76" s="4"/>
      <c r="M76" s="4"/>
      <c r="R76" s="4"/>
      <c r="W76" s="4"/>
      <c r="AB76" s="4"/>
      <c r="AG76" s="4"/>
      <c r="AL76" s="4"/>
      <c r="AQ76" s="4"/>
      <c r="AV76" s="4"/>
      <c r="BA76" s="4"/>
    </row>
    <row r="77" spans="8:57" s="1" customFormat="1" ht="85.15" customHeight="1">
      <c r="H77" s="4"/>
      <c r="M77" s="4"/>
      <c r="R77" s="4"/>
      <c r="W77" s="4"/>
      <c r="AB77" s="4"/>
      <c r="AG77" s="4"/>
      <c r="AL77" s="4"/>
      <c r="AQ77" s="4"/>
      <c r="AV77" s="4"/>
      <c r="BA77" s="4"/>
    </row>
    <row r="78" spans="8:57" s="1" customFormat="1" ht="85.15" customHeight="1">
      <c r="H78" s="4"/>
      <c r="M78" s="4"/>
      <c r="R78" s="4"/>
      <c r="W78" s="4"/>
      <c r="AB78" s="4"/>
      <c r="AG78" s="4"/>
      <c r="AL78" s="4"/>
      <c r="AQ78" s="4"/>
      <c r="AV78" s="4"/>
      <c r="BA78" s="4"/>
    </row>
    <row r="79" spans="8:57" s="1" customFormat="1" ht="85.15" customHeight="1">
      <c r="H79" s="4"/>
      <c r="M79" s="4"/>
      <c r="R79" s="4"/>
      <c r="W79" s="4"/>
      <c r="AB79" s="4"/>
      <c r="AG79" s="4"/>
      <c r="AL79" s="4"/>
      <c r="AQ79" s="4"/>
      <c r="AV79" s="4"/>
      <c r="BA79" s="4"/>
    </row>
    <row r="80" spans="8:57" s="1" customFormat="1" ht="85.15" customHeight="1">
      <c r="H80" s="4"/>
      <c r="M80" s="4"/>
      <c r="R80" s="4"/>
      <c r="W80" s="4"/>
      <c r="AB80" s="4"/>
      <c r="AG80" s="4"/>
      <c r="AL80" s="4"/>
      <c r="AQ80" s="4"/>
      <c r="AV80" s="4"/>
      <c r="BA80" s="4"/>
    </row>
    <row r="81" spans="8:53" s="1" customFormat="1" ht="85.15" customHeight="1">
      <c r="H81" s="4"/>
      <c r="M81" s="4"/>
      <c r="R81" s="4"/>
      <c r="W81" s="4"/>
      <c r="AB81" s="4"/>
      <c r="AG81" s="4"/>
      <c r="AL81" s="4"/>
      <c r="AQ81" s="4"/>
      <c r="AV81" s="4"/>
      <c r="BA81" s="4"/>
    </row>
    <row r="82" spans="8:53" s="1" customFormat="1" ht="85.15" customHeight="1">
      <c r="H82" s="4"/>
      <c r="M82" s="4"/>
      <c r="R82" s="4"/>
      <c r="W82" s="4"/>
      <c r="AB82" s="4"/>
      <c r="AG82" s="4"/>
      <c r="AL82" s="4"/>
      <c r="AQ82" s="4"/>
      <c r="AV82" s="4"/>
      <c r="BA82" s="4"/>
    </row>
    <row r="83" spans="8:53" s="1" customFormat="1" ht="85.15" customHeight="1">
      <c r="H83" s="4"/>
      <c r="M83" s="4"/>
      <c r="R83" s="4"/>
      <c r="W83" s="4"/>
      <c r="AB83" s="4"/>
      <c r="AG83" s="4"/>
      <c r="AL83" s="4"/>
      <c r="AQ83" s="4"/>
      <c r="AV83" s="4"/>
      <c r="BA83" s="4"/>
    </row>
    <row r="84" spans="8:53" s="1" customFormat="1" ht="85.15" customHeight="1">
      <c r="H84" s="4"/>
      <c r="M84" s="4"/>
      <c r="R84" s="4"/>
      <c r="W84" s="4"/>
      <c r="AB84" s="4"/>
      <c r="AG84" s="4"/>
      <c r="AL84" s="4"/>
      <c r="AQ84" s="4"/>
      <c r="AV84" s="4"/>
      <c r="BA84" s="4"/>
    </row>
    <row r="85" spans="8:53" s="1" customFormat="1" ht="85.15" customHeight="1">
      <c r="H85" s="4"/>
      <c r="M85" s="4"/>
      <c r="R85" s="4"/>
      <c r="W85" s="4"/>
      <c r="AB85" s="4"/>
      <c r="AG85" s="4"/>
      <c r="AL85" s="4"/>
      <c r="AQ85" s="4"/>
      <c r="AV85" s="4"/>
      <c r="BA85" s="4"/>
    </row>
    <row r="86" spans="8:53" s="1" customFormat="1" ht="85.15" customHeight="1">
      <c r="H86" s="4"/>
      <c r="M86" s="4"/>
      <c r="R86" s="4"/>
      <c r="W86" s="4"/>
      <c r="AB86" s="4"/>
      <c r="AG86" s="4"/>
      <c r="AL86" s="4"/>
      <c r="AQ86" s="4"/>
      <c r="AV86" s="4"/>
      <c r="BA86" s="4"/>
    </row>
    <row r="87" spans="8:53" s="1" customFormat="1" ht="85.15" customHeight="1">
      <c r="H87" s="4"/>
      <c r="M87" s="4"/>
      <c r="R87" s="4"/>
      <c r="W87" s="4"/>
      <c r="AB87" s="4"/>
      <c r="AG87" s="4"/>
      <c r="AL87" s="4"/>
      <c r="AQ87" s="4"/>
      <c r="AV87" s="4"/>
      <c r="BA87" s="4"/>
    </row>
    <row r="88" spans="8:53" s="1" customFormat="1" ht="85.15" customHeight="1">
      <c r="H88" s="4"/>
      <c r="M88" s="4"/>
      <c r="R88" s="4"/>
      <c r="W88" s="4"/>
      <c r="AB88" s="4"/>
      <c r="AG88" s="4"/>
      <c r="AL88" s="4"/>
      <c r="AQ88" s="4"/>
      <c r="AV88" s="4"/>
      <c r="BA88" s="4"/>
    </row>
    <row r="89" spans="8:53" s="1" customFormat="1" ht="85.15" customHeight="1">
      <c r="H89" s="4"/>
      <c r="M89" s="4"/>
      <c r="R89" s="4"/>
      <c r="W89" s="4"/>
      <c r="AB89" s="4"/>
      <c r="AG89" s="4"/>
      <c r="AL89" s="4"/>
      <c r="AQ89" s="4"/>
      <c r="AV89" s="4"/>
      <c r="BA89" s="4"/>
    </row>
    <row r="90" spans="8:53" s="1" customFormat="1" ht="85.15" customHeight="1">
      <c r="H90" s="4"/>
      <c r="M90" s="4"/>
      <c r="R90" s="4"/>
      <c r="W90" s="4"/>
      <c r="AB90" s="4"/>
      <c r="AG90" s="4"/>
      <c r="AL90" s="4"/>
      <c r="AQ90" s="4"/>
      <c r="AV90" s="4"/>
      <c r="BA90" s="4"/>
    </row>
    <row r="91" spans="8:53" s="1" customFormat="1" ht="85.15" customHeight="1">
      <c r="H91" s="4"/>
      <c r="M91" s="4"/>
      <c r="R91" s="4"/>
      <c r="W91" s="4"/>
      <c r="AB91" s="4"/>
      <c r="AG91" s="4"/>
      <c r="AL91" s="4"/>
      <c r="AQ91" s="4"/>
      <c r="AV91" s="4"/>
      <c r="BA91" s="4"/>
    </row>
    <row r="92" spans="8:53" s="1" customFormat="1" ht="85.15" customHeight="1">
      <c r="H92" s="4"/>
      <c r="M92" s="4"/>
      <c r="R92" s="4"/>
      <c r="W92" s="4"/>
      <c r="AB92" s="4"/>
      <c r="AG92" s="4"/>
      <c r="AL92" s="4"/>
      <c r="AQ92" s="4"/>
      <c r="AV92" s="4"/>
      <c r="BA92" s="4"/>
    </row>
    <row r="93" spans="8:53" s="1" customFormat="1" ht="85.15" customHeight="1">
      <c r="H93" s="4"/>
      <c r="M93" s="4"/>
      <c r="R93" s="4"/>
      <c r="W93" s="4"/>
      <c r="AB93" s="4"/>
      <c r="AG93" s="4"/>
      <c r="AL93" s="4"/>
      <c r="AQ93" s="4"/>
      <c r="AV93" s="4"/>
      <c r="BA93" s="4"/>
    </row>
    <row r="94" spans="8:53" s="1" customFormat="1" ht="85.15" customHeight="1">
      <c r="H94" s="4"/>
      <c r="M94" s="4"/>
      <c r="R94" s="4"/>
      <c r="W94" s="4"/>
      <c r="AB94" s="4"/>
      <c r="AG94" s="4"/>
      <c r="AL94" s="4"/>
      <c r="AQ94" s="4"/>
      <c r="AV94" s="4"/>
      <c r="BA94" s="4"/>
    </row>
    <row r="95" spans="8:53" s="1" customFormat="1" ht="85.15" customHeight="1">
      <c r="H95" s="4"/>
      <c r="M95" s="4"/>
      <c r="R95" s="4"/>
      <c r="W95" s="4"/>
      <c r="AB95" s="4"/>
      <c r="AG95" s="4"/>
      <c r="AL95" s="4"/>
      <c r="AQ95" s="4"/>
      <c r="AV95" s="4"/>
      <c r="BA95" s="4"/>
    </row>
    <row r="96" spans="8:53" s="1" customFormat="1" ht="85.15" customHeight="1">
      <c r="H96" s="4"/>
      <c r="M96" s="4"/>
      <c r="R96" s="4"/>
      <c r="W96" s="4"/>
      <c r="AB96" s="4"/>
      <c r="AG96" s="4"/>
      <c r="AL96" s="4"/>
      <c r="AQ96" s="4"/>
      <c r="AV96" s="4"/>
      <c r="BA96" s="4"/>
    </row>
    <row r="97" spans="8:53" s="1" customFormat="1" ht="85.15" customHeight="1">
      <c r="H97" s="4"/>
      <c r="M97" s="4"/>
      <c r="R97" s="4"/>
      <c r="W97" s="4"/>
      <c r="AB97" s="4"/>
      <c r="AG97" s="4"/>
      <c r="AL97" s="4"/>
      <c r="AQ97" s="4"/>
      <c r="AV97" s="4"/>
      <c r="BA97" s="4"/>
    </row>
    <row r="98" spans="8:53" s="1" customFormat="1" ht="85.15" customHeight="1">
      <c r="H98" s="4"/>
      <c r="M98" s="4"/>
      <c r="R98" s="4"/>
      <c r="W98" s="4"/>
      <c r="AB98" s="4"/>
      <c r="AG98" s="4"/>
      <c r="AL98" s="4"/>
      <c r="AQ98" s="4"/>
      <c r="AV98" s="4"/>
      <c r="BA98" s="4"/>
    </row>
    <row r="99" spans="8:53" s="1" customFormat="1" ht="85.15" customHeight="1">
      <c r="H99" s="4"/>
      <c r="M99" s="4"/>
      <c r="R99" s="4"/>
      <c r="W99" s="4"/>
      <c r="AB99" s="4"/>
      <c r="AG99" s="4"/>
      <c r="AL99" s="4"/>
      <c r="AQ99" s="4"/>
      <c r="AV99" s="4"/>
      <c r="BA99" s="4"/>
    </row>
    <row r="100" spans="8:53" s="1" customFormat="1" ht="85.15" customHeight="1">
      <c r="H100" s="4"/>
      <c r="M100" s="4"/>
      <c r="R100" s="4"/>
      <c r="W100" s="4"/>
      <c r="AB100" s="4"/>
      <c r="AG100" s="4"/>
      <c r="AL100" s="4"/>
      <c r="AQ100" s="4"/>
      <c r="AV100" s="4"/>
      <c r="BA100" s="4"/>
    </row>
    <row r="101" spans="8:53" s="1" customFormat="1" ht="85.15" customHeight="1">
      <c r="H101" s="4"/>
      <c r="M101" s="4"/>
      <c r="R101" s="4"/>
      <c r="W101" s="4"/>
      <c r="AB101" s="4"/>
      <c r="AG101" s="4"/>
      <c r="AL101" s="4"/>
      <c r="AQ101" s="4"/>
      <c r="AV101" s="4"/>
      <c r="BA101" s="4"/>
    </row>
    <row r="102" spans="8:53" s="1" customFormat="1" ht="85.15" customHeight="1">
      <c r="H102" s="4"/>
      <c r="M102" s="4"/>
      <c r="R102" s="4"/>
      <c r="W102" s="4"/>
      <c r="AB102" s="4"/>
      <c r="AG102" s="4"/>
      <c r="AL102" s="4"/>
      <c r="AQ102" s="4"/>
      <c r="AV102" s="4"/>
      <c r="BA102" s="4"/>
    </row>
    <row r="103" spans="8:53" s="1" customFormat="1" ht="85.15" customHeight="1">
      <c r="H103" s="4"/>
      <c r="M103" s="4"/>
      <c r="R103" s="4"/>
      <c r="W103" s="4"/>
      <c r="AB103" s="4"/>
      <c r="AG103" s="4"/>
      <c r="AL103" s="4"/>
      <c r="AQ103" s="4"/>
      <c r="AV103" s="4"/>
      <c r="BA103" s="4"/>
    </row>
    <row r="104" spans="8:53" s="1" customFormat="1" ht="85.15" customHeight="1">
      <c r="H104" s="4"/>
      <c r="M104" s="4"/>
      <c r="R104" s="4"/>
      <c r="W104" s="4"/>
      <c r="AB104" s="4"/>
      <c r="AG104" s="4"/>
      <c r="AL104" s="4"/>
      <c r="AQ104" s="4"/>
      <c r="AV104" s="4"/>
      <c r="BA104" s="4"/>
    </row>
    <row r="105" spans="8:53" s="1" customFormat="1" ht="85.15" customHeight="1">
      <c r="H105" s="4"/>
      <c r="M105" s="4"/>
      <c r="R105" s="4"/>
      <c r="W105" s="4"/>
      <c r="AB105" s="4"/>
      <c r="AG105" s="4"/>
      <c r="AL105" s="4"/>
      <c r="AQ105" s="4"/>
      <c r="AV105" s="4"/>
      <c r="BA105" s="4"/>
    </row>
    <row r="106" spans="8:53" s="1" customFormat="1" ht="85.15" customHeight="1">
      <c r="H106" s="4"/>
      <c r="M106" s="4"/>
      <c r="R106" s="4"/>
      <c r="W106" s="4"/>
      <c r="AB106" s="4"/>
      <c r="AG106" s="4"/>
      <c r="AL106" s="4"/>
      <c r="AQ106" s="4"/>
      <c r="AV106" s="4"/>
      <c r="BA106" s="4"/>
    </row>
    <row r="107" spans="8:53" s="1" customFormat="1" ht="85.15" customHeight="1">
      <c r="H107" s="4"/>
      <c r="M107" s="4"/>
      <c r="R107" s="4"/>
      <c r="W107" s="4"/>
      <c r="AB107" s="4"/>
      <c r="AG107" s="4"/>
      <c r="AL107" s="4"/>
      <c r="AQ107" s="4"/>
      <c r="AV107" s="4"/>
      <c r="BA107" s="4"/>
    </row>
    <row r="108" spans="8:53" s="1" customFormat="1" ht="85.15" customHeight="1">
      <c r="H108" s="4"/>
      <c r="M108" s="4"/>
      <c r="R108" s="4"/>
      <c r="W108" s="4"/>
      <c r="AB108" s="4"/>
      <c r="AG108" s="4"/>
      <c r="AL108" s="4"/>
      <c r="AQ108" s="4"/>
      <c r="AV108" s="4"/>
      <c r="BA108" s="4"/>
    </row>
    <row r="109" spans="8:53" s="1" customFormat="1" ht="85.15" customHeight="1">
      <c r="H109" s="4"/>
      <c r="M109" s="4"/>
      <c r="R109" s="4"/>
      <c r="W109" s="4"/>
      <c r="AB109" s="4"/>
      <c r="AG109" s="4"/>
      <c r="AL109" s="4"/>
      <c r="AQ109" s="4"/>
      <c r="AV109" s="4"/>
      <c r="BA109" s="4"/>
    </row>
    <row r="110" spans="8:53" s="1" customFormat="1" ht="85.15" customHeight="1">
      <c r="H110" s="4"/>
      <c r="M110" s="4"/>
      <c r="R110" s="4"/>
      <c r="W110" s="4"/>
      <c r="AB110" s="4"/>
      <c r="AG110" s="4"/>
      <c r="AL110" s="4"/>
      <c r="AQ110" s="4"/>
      <c r="AV110" s="4"/>
      <c r="BA110" s="4"/>
    </row>
    <row r="111" spans="8:53" s="1" customFormat="1" ht="85.15" customHeight="1">
      <c r="H111" s="4"/>
      <c r="M111" s="4"/>
      <c r="R111" s="4"/>
      <c r="W111" s="4"/>
      <c r="AB111" s="4"/>
      <c r="AG111" s="4"/>
      <c r="AL111" s="4"/>
      <c r="AQ111" s="4"/>
      <c r="AV111" s="4"/>
      <c r="BA111" s="4"/>
    </row>
    <row r="112" spans="8:53" s="1" customFormat="1" ht="85.15" customHeight="1">
      <c r="H112" s="4"/>
      <c r="M112" s="4"/>
      <c r="R112" s="4"/>
      <c r="W112" s="4"/>
      <c r="AB112" s="4"/>
      <c r="AG112" s="4"/>
      <c r="AL112" s="4"/>
      <c r="AQ112" s="4"/>
      <c r="AV112" s="4"/>
      <c r="BA112" s="4"/>
    </row>
    <row r="113" spans="8:53" s="1" customFormat="1" ht="85.15" customHeight="1">
      <c r="H113" s="4"/>
      <c r="M113" s="4"/>
      <c r="R113" s="4"/>
      <c r="W113" s="4"/>
      <c r="AB113" s="4"/>
      <c r="AG113" s="4"/>
      <c r="AL113" s="4"/>
      <c r="AQ113" s="4"/>
      <c r="AV113" s="4"/>
      <c r="BA113" s="4"/>
    </row>
    <row r="114" spans="8:53" s="1" customFormat="1" ht="85.15" customHeight="1">
      <c r="H114" s="4"/>
      <c r="M114" s="4"/>
      <c r="R114" s="4"/>
      <c r="W114" s="4"/>
      <c r="AB114" s="4"/>
      <c r="AG114" s="4"/>
      <c r="AL114" s="4"/>
      <c r="AQ114" s="4"/>
      <c r="AV114" s="4"/>
      <c r="BA114" s="4"/>
    </row>
    <row r="115" spans="8:53" s="1" customFormat="1" ht="85.15" customHeight="1">
      <c r="H115" s="4"/>
      <c r="M115" s="4"/>
      <c r="R115" s="4"/>
      <c r="W115" s="4"/>
      <c r="AB115" s="4"/>
      <c r="AG115" s="4"/>
      <c r="AL115" s="4"/>
      <c r="AQ115" s="4"/>
      <c r="AV115" s="4"/>
      <c r="BA115" s="4"/>
    </row>
    <row r="116" spans="8:53" s="1" customFormat="1" ht="85.15" customHeight="1">
      <c r="H116" s="4"/>
      <c r="M116" s="4"/>
      <c r="R116" s="4"/>
      <c r="W116" s="4"/>
      <c r="AB116" s="4"/>
      <c r="AG116" s="4"/>
      <c r="AL116" s="4"/>
      <c r="AQ116" s="4"/>
      <c r="AV116" s="4"/>
      <c r="BA116" s="4"/>
    </row>
    <row r="117" spans="8:53" s="1" customFormat="1" ht="85.15" customHeight="1">
      <c r="H117" s="4"/>
      <c r="M117" s="4"/>
      <c r="R117" s="4"/>
      <c r="W117" s="4"/>
      <c r="AB117" s="4"/>
      <c r="AG117" s="4"/>
      <c r="AL117" s="4"/>
      <c r="AQ117" s="4"/>
      <c r="AV117" s="4"/>
      <c r="BA117" s="4"/>
    </row>
    <row r="118" spans="8:53" s="1" customFormat="1" ht="85.15" customHeight="1">
      <c r="H118" s="4"/>
      <c r="M118" s="4"/>
      <c r="R118" s="4"/>
      <c r="W118" s="4"/>
      <c r="AB118" s="4"/>
      <c r="AG118" s="4"/>
      <c r="AL118" s="4"/>
      <c r="AQ118" s="4"/>
      <c r="AV118" s="4"/>
      <c r="BA118" s="4"/>
    </row>
    <row r="119" spans="8:53" s="1" customFormat="1" ht="85.15" customHeight="1">
      <c r="H119" s="4"/>
      <c r="M119" s="4"/>
      <c r="R119" s="4"/>
      <c r="W119" s="4"/>
      <c r="AB119" s="4"/>
      <c r="AG119" s="4"/>
      <c r="AL119" s="4"/>
      <c r="AQ119" s="4"/>
      <c r="AV119" s="4"/>
      <c r="BA119" s="4"/>
    </row>
    <row r="120" spans="8:53" s="1" customFormat="1" ht="85.15" customHeight="1">
      <c r="H120" s="4"/>
      <c r="M120" s="4"/>
      <c r="R120" s="4"/>
      <c r="W120" s="4"/>
      <c r="AB120" s="4"/>
      <c r="AG120" s="4"/>
      <c r="AL120" s="4"/>
      <c r="AQ120" s="4"/>
      <c r="AV120" s="4"/>
      <c r="BA120" s="4"/>
    </row>
    <row r="121" spans="8:53" s="1" customFormat="1" ht="85.15" customHeight="1">
      <c r="H121" s="4"/>
      <c r="M121" s="4"/>
      <c r="R121" s="4"/>
      <c r="W121" s="4"/>
      <c r="AB121" s="4"/>
      <c r="AG121" s="4"/>
      <c r="AL121" s="4"/>
      <c r="AQ121" s="4"/>
      <c r="AV121" s="4"/>
      <c r="BA121" s="4"/>
    </row>
    <row r="122" spans="8:53" s="1" customFormat="1" ht="85.15" customHeight="1">
      <c r="H122" s="4"/>
      <c r="M122" s="4"/>
      <c r="R122" s="4"/>
      <c r="W122" s="4"/>
      <c r="AB122" s="4"/>
      <c r="AG122" s="4"/>
      <c r="AL122" s="4"/>
      <c r="AQ122" s="4"/>
      <c r="AV122" s="4"/>
      <c r="BA122" s="4"/>
    </row>
    <row r="123" spans="8:53" s="1" customFormat="1" ht="85.15" customHeight="1">
      <c r="H123" s="4"/>
      <c r="M123" s="4"/>
      <c r="R123" s="4"/>
      <c r="W123" s="4"/>
      <c r="AB123" s="4"/>
      <c r="AG123" s="4"/>
      <c r="AL123" s="4"/>
      <c r="AQ123" s="4"/>
      <c r="AV123" s="4"/>
      <c r="BA123" s="4"/>
    </row>
    <row r="124" spans="8:53" s="1" customFormat="1" ht="85.15" customHeight="1">
      <c r="H124" s="4"/>
      <c r="M124" s="4"/>
      <c r="R124" s="4"/>
      <c r="W124" s="4"/>
      <c r="AB124" s="4"/>
      <c r="AG124" s="4"/>
      <c r="AL124" s="4"/>
      <c r="AQ124" s="4"/>
      <c r="AV124" s="4"/>
      <c r="BA124" s="4"/>
    </row>
    <row r="125" spans="8:53" s="1" customFormat="1" ht="85.15" customHeight="1">
      <c r="H125" s="4"/>
      <c r="M125" s="4"/>
      <c r="R125" s="4"/>
      <c r="W125" s="4"/>
      <c r="AB125" s="4"/>
      <c r="AG125" s="4"/>
      <c r="AL125" s="4"/>
      <c r="AQ125" s="4"/>
      <c r="AV125" s="4"/>
      <c r="BA125" s="4"/>
    </row>
    <row r="126" spans="8:53" s="1" customFormat="1" ht="85.15" customHeight="1">
      <c r="H126" s="4"/>
      <c r="M126" s="4"/>
      <c r="R126" s="4"/>
      <c r="W126" s="4"/>
      <c r="AB126" s="4"/>
      <c r="AG126" s="4"/>
      <c r="AL126" s="4"/>
      <c r="AQ126" s="4"/>
      <c r="AV126" s="4"/>
      <c r="BA126" s="4"/>
    </row>
    <row r="127" spans="8:53" s="1" customFormat="1" ht="85.15" customHeight="1">
      <c r="H127" s="4"/>
      <c r="M127" s="4"/>
      <c r="R127" s="4"/>
      <c r="W127" s="4"/>
      <c r="AB127" s="4"/>
      <c r="AG127" s="4"/>
      <c r="AL127" s="4"/>
      <c r="AQ127" s="4"/>
      <c r="AV127" s="4"/>
      <c r="BA127" s="4"/>
    </row>
    <row r="128" spans="8:53" s="1" customFormat="1" ht="85.15" customHeight="1">
      <c r="H128" s="4"/>
      <c r="M128" s="4"/>
      <c r="R128" s="4"/>
      <c r="W128" s="4"/>
      <c r="AB128" s="4"/>
      <c r="AG128" s="4"/>
      <c r="AL128" s="4"/>
      <c r="AQ128" s="4"/>
      <c r="AV128" s="4"/>
      <c r="BA128" s="4"/>
    </row>
    <row r="129" spans="8:53" s="1" customFormat="1" ht="85.15" customHeight="1">
      <c r="H129" s="4"/>
      <c r="M129" s="4"/>
      <c r="R129" s="4"/>
      <c r="W129" s="4"/>
      <c r="AB129" s="4"/>
      <c r="AG129" s="4"/>
      <c r="AL129" s="4"/>
      <c r="AQ129" s="4"/>
      <c r="AV129" s="4"/>
      <c r="BA129" s="4"/>
    </row>
    <row r="130" spans="8:53" s="1" customFormat="1" ht="85.15" customHeight="1">
      <c r="H130" s="4"/>
      <c r="M130" s="4"/>
      <c r="R130" s="4"/>
      <c r="W130" s="4"/>
      <c r="AB130" s="4"/>
      <c r="AG130" s="4"/>
      <c r="AL130" s="4"/>
      <c r="AQ130" s="4"/>
      <c r="AV130" s="4"/>
      <c r="BA130" s="4"/>
    </row>
    <row r="131" spans="8:53" s="1" customFormat="1" ht="85.15" customHeight="1">
      <c r="H131" s="4"/>
      <c r="M131" s="4"/>
      <c r="R131" s="4"/>
      <c r="W131" s="4"/>
      <c r="AB131" s="4"/>
      <c r="AG131" s="4"/>
      <c r="AL131" s="4"/>
      <c r="AQ131" s="4"/>
      <c r="AV131" s="4"/>
      <c r="BA131" s="4"/>
    </row>
    <row r="132" spans="8:53" s="1" customFormat="1" ht="85.15" customHeight="1">
      <c r="H132" s="4"/>
      <c r="M132" s="4"/>
      <c r="R132" s="4"/>
      <c r="W132" s="4"/>
      <c r="AB132" s="4"/>
      <c r="AG132" s="4"/>
      <c r="AL132" s="4"/>
      <c r="AQ132" s="4"/>
      <c r="AV132" s="4"/>
      <c r="BA132" s="4"/>
    </row>
    <row r="133" spans="8:53" s="1" customFormat="1" ht="85.15" customHeight="1">
      <c r="H133" s="4"/>
      <c r="M133" s="4"/>
      <c r="R133" s="4"/>
      <c r="W133" s="4"/>
      <c r="AB133" s="4"/>
      <c r="AG133" s="4"/>
      <c r="AL133" s="4"/>
      <c r="AQ133" s="4"/>
      <c r="AV133" s="4"/>
      <c r="BA133" s="4"/>
    </row>
    <row r="134" spans="8:53" s="1" customFormat="1" ht="85.15" customHeight="1">
      <c r="H134" s="4"/>
      <c r="M134" s="4"/>
      <c r="R134" s="4"/>
      <c r="W134" s="4"/>
      <c r="AB134" s="4"/>
      <c r="AG134" s="4"/>
      <c r="AL134" s="4"/>
      <c r="AQ134" s="4"/>
      <c r="AV134" s="4"/>
      <c r="BA134" s="4"/>
    </row>
    <row r="135" spans="8:53" s="1" customFormat="1" ht="85.15" customHeight="1">
      <c r="H135" s="4"/>
      <c r="M135" s="4"/>
      <c r="R135" s="4"/>
      <c r="W135" s="4"/>
      <c r="AB135" s="4"/>
      <c r="AG135" s="4"/>
      <c r="AL135" s="4"/>
      <c r="AQ135" s="4"/>
      <c r="AV135" s="4"/>
      <c r="BA135" s="4"/>
    </row>
    <row r="136" spans="8:53" s="1" customFormat="1" ht="85.15" customHeight="1">
      <c r="H136" s="4"/>
      <c r="M136" s="4"/>
      <c r="R136" s="4"/>
      <c r="W136" s="4"/>
      <c r="AB136" s="4"/>
      <c r="AG136" s="4"/>
      <c r="AL136" s="4"/>
      <c r="AQ136" s="4"/>
      <c r="AV136" s="4"/>
      <c r="BA136" s="4"/>
    </row>
    <row r="137" spans="8:53" s="1" customFormat="1" ht="85.15" customHeight="1">
      <c r="H137" s="4"/>
      <c r="M137" s="4"/>
      <c r="R137" s="4"/>
      <c r="W137" s="4"/>
      <c r="AB137" s="4"/>
      <c r="AG137" s="4"/>
      <c r="AL137" s="4"/>
      <c r="AQ137" s="4"/>
      <c r="AV137" s="4"/>
      <c r="BA137" s="4"/>
    </row>
    <row r="138" spans="8:53" s="1" customFormat="1" ht="85.15" customHeight="1">
      <c r="H138" s="4"/>
      <c r="M138" s="4"/>
      <c r="R138" s="4"/>
      <c r="W138" s="4"/>
      <c r="AB138" s="4"/>
      <c r="AG138" s="4"/>
      <c r="AL138" s="4"/>
      <c r="AQ138" s="4"/>
      <c r="AV138" s="4"/>
      <c r="BA138" s="4"/>
    </row>
    <row r="139" spans="8:53" s="1" customFormat="1" ht="85.15" customHeight="1">
      <c r="H139" s="4"/>
      <c r="M139" s="4"/>
      <c r="R139" s="4"/>
      <c r="W139" s="4"/>
      <c r="AB139" s="4"/>
      <c r="AG139" s="4"/>
      <c r="AL139" s="4"/>
      <c r="AQ139" s="4"/>
      <c r="AV139" s="4"/>
      <c r="BA139" s="4"/>
    </row>
    <row r="140" spans="8:53" s="1" customFormat="1" ht="85.15" customHeight="1">
      <c r="H140" s="4"/>
      <c r="M140" s="4"/>
      <c r="R140" s="4"/>
      <c r="W140" s="4"/>
      <c r="AB140" s="4"/>
      <c r="AG140" s="4"/>
      <c r="AL140" s="4"/>
      <c r="AQ140" s="4"/>
      <c r="AV140" s="4"/>
      <c r="BA140" s="4"/>
    </row>
    <row r="141" spans="8:53" s="1" customFormat="1" ht="85.15" customHeight="1">
      <c r="H141" s="4"/>
      <c r="M141" s="4"/>
      <c r="R141" s="4"/>
      <c r="W141" s="4"/>
      <c r="AB141" s="4"/>
      <c r="AG141" s="4"/>
      <c r="AL141" s="4"/>
      <c r="AQ141" s="4"/>
      <c r="AV141" s="4"/>
      <c r="BA141" s="4"/>
    </row>
    <row r="142" spans="8:53" s="1" customFormat="1" ht="85.15" customHeight="1">
      <c r="H142" s="4"/>
      <c r="M142" s="4"/>
      <c r="R142" s="4"/>
      <c r="W142" s="4"/>
      <c r="AB142" s="4"/>
      <c r="AG142" s="4"/>
      <c r="AL142" s="4"/>
      <c r="AQ142" s="4"/>
      <c r="AV142" s="4"/>
      <c r="BA142" s="4"/>
    </row>
    <row r="143" spans="8:53" s="1" customFormat="1" ht="85.15" customHeight="1">
      <c r="H143" s="4"/>
      <c r="M143" s="4"/>
      <c r="R143" s="4"/>
      <c r="W143" s="4"/>
      <c r="AB143" s="4"/>
      <c r="AG143" s="4"/>
      <c r="AL143" s="4"/>
      <c r="AQ143" s="4"/>
      <c r="AV143" s="4"/>
      <c r="BA143" s="4"/>
    </row>
    <row r="144" spans="8:53" s="1" customFormat="1" ht="85.15" customHeight="1">
      <c r="H144" s="4"/>
      <c r="M144" s="4"/>
      <c r="R144" s="4"/>
      <c r="W144" s="4"/>
      <c r="AB144" s="4"/>
      <c r="AG144" s="4"/>
      <c r="AL144" s="4"/>
      <c r="AQ144" s="4"/>
      <c r="AV144" s="4"/>
      <c r="BA144" s="4"/>
    </row>
    <row r="145" spans="8:53" s="1" customFormat="1" ht="85.15" customHeight="1">
      <c r="H145" s="4"/>
      <c r="M145" s="4"/>
      <c r="R145" s="4"/>
      <c r="W145" s="4"/>
      <c r="AB145" s="4"/>
      <c r="AG145" s="4"/>
      <c r="AL145" s="4"/>
      <c r="AQ145" s="4"/>
      <c r="AV145" s="4"/>
      <c r="BA145" s="4"/>
    </row>
    <row r="146" spans="8:53" s="1" customFormat="1" ht="85.15" customHeight="1">
      <c r="H146" s="4"/>
      <c r="M146" s="4"/>
      <c r="R146" s="4"/>
      <c r="W146" s="4"/>
      <c r="AB146" s="4"/>
      <c r="AG146" s="4"/>
      <c r="AL146" s="4"/>
      <c r="AQ146" s="4"/>
      <c r="AV146" s="4"/>
      <c r="BA146" s="4"/>
    </row>
    <row r="147" spans="8:53" s="1" customFormat="1" ht="85.15" customHeight="1">
      <c r="H147" s="4"/>
      <c r="M147" s="4"/>
      <c r="R147" s="4"/>
      <c r="W147" s="4"/>
      <c r="AB147" s="4"/>
      <c r="AG147" s="4"/>
      <c r="AL147" s="4"/>
      <c r="AQ147" s="4"/>
      <c r="AV147" s="4"/>
      <c r="BA147" s="4"/>
    </row>
    <row r="148" spans="8:53" s="1" customFormat="1" ht="85.15" customHeight="1">
      <c r="H148" s="4"/>
      <c r="M148" s="4"/>
      <c r="R148" s="4"/>
      <c r="W148" s="4"/>
      <c r="AB148" s="4"/>
      <c r="AG148" s="4"/>
      <c r="AL148" s="4"/>
      <c r="AQ148" s="4"/>
      <c r="AV148" s="4"/>
      <c r="BA148" s="4"/>
    </row>
    <row r="149" spans="8:53" s="1" customFormat="1" ht="85.15" customHeight="1">
      <c r="H149" s="4"/>
      <c r="M149" s="4"/>
      <c r="R149" s="4"/>
      <c r="W149" s="4"/>
      <c r="AB149" s="4"/>
      <c r="AG149" s="4"/>
      <c r="AL149" s="4"/>
      <c r="AQ149" s="4"/>
      <c r="AV149" s="4"/>
      <c r="BA149" s="4"/>
    </row>
    <row r="150" spans="8:53" s="1" customFormat="1" ht="85.15" customHeight="1">
      <c r="H150" s="4"/>
      <c r="M150" s="4"/>
      <c r="R150" s="4"/>
      <c r="W150" s="4"/>
      <c r="AB150" s="4"/>
      <c r="AG150" s="4"/>
      <c r="AL150" s="4"/>
      <c r="AQ150" s="4"/>
      <c r="AV150" s="4"/>
      <c r="BA150" s="4"/>
    </row>
    <row r="151" spans="8:53" s="1" customFormat="1" ht="85.15" customHeight="1">
      <c r="H151" s="4"/>
      <c r="M151" s="4"/>
      <c r="R151" s="4"/>
      <c r="W151" s="4"/>
      <c r="AB151" s="4"/>
      <c r="AG151" s="4"/>
      <c r="AL151" s="4"/>
      <c r="AQ151" s="4"/>
      <c r="AV151" s="4"/>
      <c r="BA151" s="4"/>
    </row>
    <row r="152" spans="8:53" s="1" customFormat="1" ht="85.15" customHeight="1">
      <c r="H152" s="4"/>
      <c r="M152" s="4"/>
      <c r="R152" s="4"/>
      <c r="W152" s="4"/>
      <c r="AB152" s="4"/>
      <c r="AG152" s="4"/>
      <c r="AL152" s="4"/>
      <c r="AQ152" s="4"/>
      <c r="AV152" s="4"/>
      <c r="BA152" s="4"/>
    </row>
    <row r="153" spans="8:53" s="1" customFormat="1" ht="85.15" customHeight="1">
      <c r="H153" s="4"/>
      <c r="M153" s="4"/>
      <c r="R153" s="4"/>
      <c r="W153" s="4"/>
      <c r="AB153" s="4"/>
      <c r="AG153" s="4"/>
      <c r="AL153" s="4"/>
      <c r="AQ153" s="4"/>
      <c r="AV153" s="4"/>
      <c r="BA153" s="4"/>
    </row>
    <row r="154" spans="8:53" s="1" customFormat="1" ht="85.15" customHeight="1">
      <c r="H154" s="4"/>
      <c r="M154" s="4"/>
      <c r="R154" s="4"/>
      <c r="W154" s="4"/>
      <c r="AB154" s="4"/>
      <c r="AG154" s="4"/>
      <c r="AL154" s="4"/>
      <c r="AQ154" s="4"/>
      <c r="AV154" s="4"/>
      <c r="BA154" s="4"/>
    </row>
    <row r="155" spans="8:53" s="1" customFormat="1" ht="85.15" customHeight="1">
      <c r="H155" s="4"/>
      <c r="M155" s="4"/>
      <c r="R155" s="4"/>
      <c r="W155" s="4"/>
      <c r="AB155" s="4"/>
      <c r="AG155" s="4"/>
      <c r="AL155" s="4"/>
      <c r="AQ155" s="4"/>
      <c r="AV155" s="4"/>
      <c r="BA155" s="4"/>
    </row>
    <row r="156" spans="8:53" s="1" customFormat="1" ht="85.15" customHeight="1">
      <c r="H156" s="4"/>
      <c r="M156" s="4"/>
      <c r="R156" s="4"/>
      <c r="W156" s="4"/>
      <c r="AB156" s="4"/>
      <c r="AG156" s="4"/>
      <c r="AL156" s="4"/>
      <c r="AQ156" s="4"/>
      <c r="AV156" s="4"/>
      <c r="BA156" s="4"/>
    </row>
    <row r="157" spans="8:53" s="1" customFormat="1" ht="85.15" customHeight="1">
      <c r="H157" s="4"/>
      <c r="M157" s="4"/>
      <c r="R157" s="4"/>
      <c r="W157" s="4"/>
      <c r="AB157" s="4"/>
      <c r="AG157" s="4"/>
      <c r="AL157" s="4"/>
      <c r="AQ157" s="4"/>
      <c r="AV157" s="4"/>
      <c r="BA157" s="4"/>
    </row>
    <row r="158" spans="8:53" s="1" customFormat="1" ht="85.15" customHeight="1">
      <c r="H158" s="4"/>
      <c r="M158" s="4"/>
      <c r="R158" s="4"/>
      <c r="W158" s="4"/>
      <c r="AB158" s="4"/>
      <c r="AG158" s="4"/>
      <c r="AL158" s="4"/>
      <c r="AQ158" s="4"/>
      <c r="AV158" s="4"/>
      <c r="BA158" s="4"/>
    </row>
    <row r="159" spans="8:53" s="1" customFormat="1" ht="85.15" customHeight="1">
      <c r="H159" s="4"/>
      <c r="M159" s="4"/>
      <c r="R159" s="4"/>
      <c r="W159" s="4"/>
      <c r="AB159" s="4"/>
      <c r="AG159" s="4"/>
      <c r="AL159" s="4"/>
      <c r="AQ159" s="4"/>
      <c r="AV159" s="4"/>
      <c r="BA159" s="4"/>
    </row>
    <row r="160" spans="8:53" s="1" customFormat="1" ht="85.15" customHeight="1">
      <c r="H160" s="4"/>
      <c r="M160" s="4"/>
      <c r="R160" s="4"/>
      <c r="W160" s="4"/>
      <c r="AB160" s="4"/>
      <c r="AG160" s="4"/>
      <c r="AL160" s="4"/>
      <c r="AQ160" s="4"/>
      <c r="AV160" s="4"/>
      <c r="BA160" s="4"/>
    </row>
    <row r="161" spans="8:53" s="1" customFormat="1" ht="85.15" customHeight="1">
      <c r="H161" s="4"/>
      <c r="M161" s="4"/>
      <c r="R161" s="4"/>
      <c r="W161" s="4"/>
      <c r="AB161" s="4"/>
      <c r="AG161" s="4"/>
      <c r="AL161" s="4"/>
      <c r="AQ161" s="4"/>
      <c r="AV161" s="4"/>
      <c r="BA161" s="4"/>
    </row>
    <row r="162" spans="8:53" s="1" customFormat="1" ht="85.15" customHeight="1">
      <c r="H162" s="4"/>
      <c r="M162" s="4"/>
      <c r="R162" s="4"/>
      <c r="W162" s="4"/>
      <c r="AB162" s="4"/>
      <c r="AG162" s="4"/>
      <c r="AL162" s="4"/>
      <c r="AQ162" s="4"/>
      <c r="AV162" s="4"/>
      <c r="BA162" s="4"/>
    </row>
    <row r="163" spans="8:53" s="1" customFormat="1" ht="85.15" customHeight="1">
      <c r="H163" s="4"/>
      <c r="M163" s="4"/>
      <c r="R163" s="4"/>
      <c r="W163" s="4"/>
      <c r="AB163" s="4"/>
      <c r="AG163" s="4"/>
      <c r="AL163" s="4"/>
      <c r="AQ163" s="4"/>
      <c r="AV163" s="4"/>
      <c r="BA163" s="4"/>
    </row>
    <row r="164" spans="8:53" s="1" customFormat="1" ht="85.15" customHeight="1">
      <c r="H164" s="4"/>
      <c r="M164" s="4"/>
      <c r="R164" s="4"/>
      <c r="W164" s="4"/>
      <c r="AB164" s="4"/>
      <c r="AG164" s="4"/>
      <c r="AL164" s="4"/>
      <c r="AQ164" s="4"/>
      <c r="AV164" s="4"/>
      <c r="BA164" s="4"/>
    </row>
    <row r="165" spans="8:53" s="1" customFormat="1" ht="85.15" customHeight="1">
      <c r="H165" s="4"/>
      <c r="M165" s="4"/>
      <c r="R165" s="4"/>
      <c r="W165" s="4"/>
      <c r="AB165" s="4"/>
      <c r="AG165" s="4"/>
      <c r="AL165" s="4"/>
      <c r="AQ165" s="4"/>
      <c r="AV165" s="4"/>
      <c r="BA165" s="4"/>
    </row>
    <row r="166" spans="8:53" s="1" customFormat="1" ht="85.15" customHeight="1">
      <c r="H166" s="4"/>
      <c r="M166" s="4"/>
      <c r="R166" s="4"/>
      <c r="W166" s="4"/>
      <c r="AB166" s="4"/>
      <c r="AG166" s="4"/>
      <c r="AL166" s="4"/>
      <c r="AQ166" s="4"/>
      <c r="AV166" s="4"/>
      <c r="BA166" s="4"/>
    </row>
    <row r="167" spans="8:53" s="1" customFormat="1" ht="85.15" customHeight="1">
      <c r="H167" s="4"/>
      <c r="M167" s="4"/>
      <c r="R167" s="4"/>
      <c r="W167" s="4"/>
      <c r="AB167" s="4"/>
      <c r="AG167" s="4"/>
      <c r="AL167" s="4"/>
      <c r="AQ167" s="4"/>
      <c r="AV167" s="4"/>
      <c r="BA167" s="4"/>
    </row>
    <row r="168" spans="8:53" s="1" customFormat="1" ht="85.15" customHeight="1">
      <c r="H168" s="4"/>
      <c r="M168" s="4"/>
      <c r="R168" s="4"/>
      <c r="W168" s="4"/>
      <c r="AB168" s="4"/>
      <c r="AG168" s="4"/>
      <c r="AL168" s="4"/>
      <c r="AQ168" s="4"/>
      <c r="AV168" s="4"/>
      <c r="BA168" s="4"/>
    </row>
    <row r="169" spans="8:53" s="1" customFormat="1" ht="85.15" customHeight="1">
      <c r="H169" s="4"/>
      <c r="M169" s="4"/>
      <c r="R169" s="4"/>
      <c r="W169" s="4"/>
      <c r="AB169" s="4"/>
      <c r="AG169" s="4"/>
      <c r="AL169" s="4"/>
      <c r="AQ169" s="4"/>
      <c r="AV169" s="4"/>
      <c r="BA169" s="4"/>
    </row>
    <row r="170" spans="8:53" s="1" customFormat="1" ht="85.15" customHeight="1">
      <c r="H170" s="4"/>
      <c r="M170" s="4"/>
      <c r="R170" s="4"/>
      <c r="W170" s="4"/>
      <c r="AB170" s="4"/>
      <c r="AG170" s="4"/>
      <c r="AL170" s="4"/>
      <c r="AQ170" s="4"/>
      <c r="AV170" s="4"/>
      <c r="BA170" s="4"/>
    </row>
    <row r="171" spans="8:53" s="1" customFormat="1" ht="85.15" customHeight="1">
      <c r="H171" s="4"/>
      <c r="M171" s="4"/>
      <c r="R171" s="4"/>
      <c r="W171" s="4"/>
      <c r="AB171" s="4"/>
      <c r="AG171" s="4"/>
      <c r="AL171" s="4"/>
      <c r="AQ171" s="4"/>
      <c r="AV171" s="4"/>
      <c r="BA171" s="4"/>
    </row>
    <row r="172" spans="8:53" s="1" customFormat="1" ht="85.15" customHeight="1">
      <c r="H172" s="4"/>
      <c r="M172" s="4"/>
      <c r="R172" s="4"/>
      <c r="W172" s="4"/>
      <c r="AB172" s="4"/>
      <c r="AG172" s="4"/>
      <c r="AL172" s="4"/>
      <c r="AQ172" s="4"/>
      <c r="AV172" s="4"/>
      <c r="BA172" s="4"/>
    </row>
    <row r="173" spans="8:53" s="1" customFormat="1" ht="85.15" customHeight="1">
      <c r="H173" s="4"/>
      <c r="M173" s="4"/>
      <c r="R173" s="4"/>
      <c r="W173" s="4"/>
      <c r="AB173" s="4"/>
      <c r="AG173" s="4"/>
      <c r="AL173" s="4"/>
      <c r="AQ173" s="4"/>
      <c r="AV173" s="4"/>
      <c r="BA173" s="4"/>
    </row>
    <row r="174" spans="8:53" s="1" customFormat="1" ht="85.15" customHeight="1">
      <c r="H174" s="4"/>
      <c r="M174" s="4"/>
      <c r="R174" s="4"/>
      <c r="W174" s="4"/>
      <c r="AB174" s="4"/>
      <c r="AG174" s="4"/>
      <c r="AL174" s="4"/>
      <c r="AQ174" s="4"/>
      <c r="AV174" s="4"/>
      <c r="BA174" s="4"/>
    </row>
    <row r="175" spans="8:53" s="1" customFormat="1" ht="85.15" customHeight="1">
      <c r="H175" s="4"/>
      <c r="M175" s="4"/>
      <c r="R175" s="4"/>
      <c r="W175" s="4"/>
      <c r="AB175" s="4"/>
      <c r="AG175" s="4"/>
      <c r="AL175" s="4"/>
      <c r="AQ175" s="4"/>
      <c r="AV175" s="4"/>
      <c r="BA175" s="4"/>
    </row>
    <row r="176" spans="8:53" s="1" customFormat="1" ht="85.15" customHeight="1">
      <c r="H176" s="4"/>
      <c r="M176" s="4"/>
      <c r="R176" s="4"/>
      <c r="W176" s="4"/>
      <c r="AB176" s="4"/>
      <c r="AG176" s="4"/>
      <c r="AL176" s="4"/>
      <c r="AQ176" s="4"/>
      <c r="AV176" s="4"/>
      <c r="BA176" s="4"/>
    </row>
    <row r="177" spans="8:53" s="1" customFormat="1" ht="85.15" customHeight="1">
      <c r="H177" s="4"/>
      <c r="M177" s="4"/>
      <c r="R177" s="4"/>
      <c r="W177" s="4"/>
      <c r="AB177" s="4"/>
      <c r="AG177" s="4"/>
      <c r="AL177" s="4"/>
      <c r="AQ177" s="4"/>
      <c r="AV177" s="4"/>
      <c r="BA177" s="4"/>
    </row>
    <row r="178" spans="8:53" s="1" customFormat="1" ht="85.15" customHeight="1">
      <c r="H178" s="4"/>
      <c r="M178" s="4"/>
      <c r="R178" s="4"/>
      <c r="W178" s="4"/>
      <c r="AB178" s="4"/>
      <c r="AG178" s="4"/>
      <c r="AL178" s="4"/>
      <c r="AQ178" s="4"/>
      <c r="AV178" s="4"/>
      <c r="BA178" s="4"/>
    </row>
    <row r="179" spans="8:53" s="1" customFormat="1" ht="85.15" customHeight="1">
      <c r="H179" s="4"/>
      <c r="M179" s="4"/>
      <c r="R179" s="4"/>
      <c r="W179" s="4"/>
      <c r="AB179" s="4"/>
      <c r="AG179" s="4"/>
      <c r="AL179" s="4"/>
      <c r="AQ179" s="4"/>
      <c r="AV179" s="4"/>
      <c r="BA179" s="4"/>
    </row>
    <row r="180" spans="8:53" s="1" customFormat="1" ht="85.15" customHeight="1">
      <c r="H180" s="4"/>
      <c r="M180" s="4"/>
      <c r="R180" s="4"/>
      <c r="W180" s="4"/>
      <c r="AB180" s="4"/>
      <c r="AG180" s="4"/>
      <c r="AL180" s="4"/>
      <c r="AQ180" s="4"/>
      <c r="AV180" s="4"/>
      <c r="BA180" s="4"/>
    </row>
    <row r="181" spans="8:53" s="1" customFormat="1" ht="85.15" customHeight="1">
      <c r="H181" s="4"/>
      <c r="M181" s="4"/>
      <c r="R181" s="4"/>
      <c r="W181" s="4"/>
      <c r="AB181" s="4"/>
      <c r="AG181" s="4"/>
      <c r="AL181" s="4"/>
      <c r="AQ181" s="4"/>
      <c r="AV181" s="4"/>
      <c r="BA181" s="4"/>
    </row>
    <row r="182" spans="8:53" s="1" customFormat="1" ht="85.15" customHeight="1">
      <c r="H182" s="4"/>
      <c r="M182" s="4"/>
      <c r="R182" s="4"/>
      <c r="W182" s="4"/>
      <c r="AB182" s="4"/>
      <c r="AG182" s="4"/>
      <c r="AL182" s="4"/>
      <c r="AQ182" s="4"/>
      <c r="AV182" s="4"/>
      <c r="BA182" s="4"/>
    </row>
    <row r="183" spans="8:53" s="1" customFormat="1" ht="85.15" customHeight="1">
      <c r="H183" s="4"/>
      <c r="M183" s="4"/>
      <c r="R183" s="4"/>
      <c r="W183" s="4"/>
      <c r="AB183" s="4"/>
      <c r="AG183" s="4"/>
      <c r="AL183" s="4"/>
      <c r="AQ183" s="4"/>
      <c r="AV183" s="4"/>
      <c r="BA183" s="4"/>
    </row>
    <row r="184" spans="8:53" s="1" customFormat="1" ht="85.15" customHeight="1">
      <c r="H184" s="4"/>
      <c r="M184" s="4"/>
      <c r="R184" s="4"/>
      <c r="W184" s="4"/>
      <c r="AB184" s="4"/>
      <c r="AG184" s="4"/>
      <c r="AL184" s="4"/>
      <c r="AQ184" s="4"/>
      <c r="AV184" s="4"/>
      <c r="BA184" s="4"/>
    </row>
    <row r="185" spans="8:53" s="1" customFormat="1" ht="53.45" customHeight="1">
      <c r="H185" s="4"/>
      <c r="M185" s="4"/>
      <c r="R185" s="4"/>
      <c r="W185" s="4"/>
      <c r="AB185" s="4"/>
      <c r="AG185" s="4"/>
      <c r="AL185" s="4"/>
      <c r="AQ185" s="4"/>
      <c r="AV185" s="4"/>
      <c r="BA185" s="4"/>
    </row>
    <row r="186" spans="8:53" s="1" customFormat="1" ht="53.45" customHeight="1">
      <c r="H186" s="4"/>
      <c r="M186" s="4"/>
      <c r="R186" s="4"/>
      <c r="W186" s="4"/>
      <c r="AB186" s="4"/>
      <c r="AG186" s="4"/>
      <c r="AL186" s="4"/>
      <c r="AQ186" s="4"/>
      <c r="AV186" s="4"/>
      <c r="BA186" s="4"/>
    </row>
    <row r="187" spans="8:53" s="1" customFormat="1" ht="53.45" customHeight="1">
      <c r="H187" s="4"/>
      <c r="M187" s="4"/>
      <c r="R187" s="4"/>
      <c r="W187" s="4"/>
      <c r="AB187" s="4"/>
      <c r="AG187" s="4"/>
      <c r="AL187" s="4"/>
      <c r="AQ187" s="4"/>
      <c r="AV187" s="4"/>
      <c r="BA187" s="4"/>
    </row>
    <row r="188" spans="8:53" s="1" customFormat="1" ht="53.45" customHeight="1">
      <c r="H188" s="4"/>
      <c r="M188" s="4"/>
      <c r="R188" s="4"/>
      <c r="W188" s="4"/>
      <c r="AB188" s="4"/>
      <c r="AG188" s="4"/>
      <c r="AL188" s="4"/>
      <c r="AQ188" s="4"/>
      <c r="AV188" s="4"/>
      <c r="BA188" s="4"/>
    </row>
    <row r="189" spans="8:53" s="1" customFormat="1" ht="53.45" customHeight="1">
      <c r="H189" s="4"/>
      <c r="M189" s="4"/>
      <c r="R189" s="4"/>
      <c r="W189" s="4"/>
      <c r="AB189" s="4"/>
      <c r="AG189" s="4"/>
      <c r="AL189" s="4"/>
      <c r="AQ189" s="4"/>
      <c r="AV189" s="4"/>
      <c r="BA189" s="4"/>
    </row>
    <row r="190" spans="8:53" s="1" customFormat="1" ht="53.45" customHeight="1">
      <c r="H190" s="4"/>
      <c r="M190" s="4"/>
      <c r="R190" s="4"/>
      <c r="W190" s="4"/>
      <c r="AB190" s="4"/>
      <c r="AG190" s="4"/>
      <c r="AL190" s="4"/>
      <c r="AQ190" s="4"/>
      <c r="AV190" s="4"/>
      <c r="BA190" s="4"/>
    </row>
    <row r="191" spans="8:53" s="1" customFormat="1" ht="53.45" customHeight="1">
      <c r="H191" s="4"/>
      <c r="M191" s="4"/>
      <c r="R191" s="4"/>
      <c r="W191" s="4"/>
      <c r="AB191" s="4"/>
      <c r="AG191" s="4"/>
      <c r="AL191" s="4"/>
      <c r="AQ191" s="4"/>
      <c r="AV191" s="4"/>
      <c r="BA191" s="4"/>
    </row>
    <row r="192" spans="8:53" s="1" customFormat="1" ht="53.45" customHeight="1">
      <c r="H192" s="4"/>
      <c r="M192" s="4"/>
      <c r="R192" s="4"/>
      <c r="W192" s="4"/>
      <c r="AB192" s="4"/>
      <c r="AG192" s="4"/>
      <c r="AL192" s="4"/>
      <c r="AQ192" s="4"/>
      <c r="AV192" s="4"/>
      <c r="BA192" s="4"/>
    </row>
    <row r="193" spans="8:53" s="1" customFormat="1" ht="53.45" customHeight="1">
      <c r="H193" s="4"/>
      <c r="M193" s="4"/>
      <c r="R193" s="4"/>
      <c r="W193" s="4"/>
      <c r="AB193" s="4"/>
      <c r="AG193" s="4"/>
      <c r="AL193" s="4"/>
      <c r="AQ193" s="4"/>
      <c r="AV193" s="4"/>
      <c r="BA193" s="4"/>
    </row>
    <row r="194" spans="8:53" s="1" customFormat="1" ht="53.45" customHeight="1">
      <c r="H194" s="4"/>
      <c r="M194" s="4"/>
      <c r="R194" s="4"/>
      <c r="W194" s="4"/>
      <c r="AB194" s="4"/>
      <c r="AG194" s="4"/>
      <c r="AL194" s="4"/>
      <c r="AQ194" s="4"/>
      <c r="AV194" s="4"/>
      <c r="BA194" s="4"/>
    </row>
    <row r="195" spans="8:53" s="1" customFormat="1" ht="53.45" customHeight="1">
      <c r="H195" s="4"/>
      <c r="M195" s="4"/>
      <c r="R195" s="4"/>
      <c r="W195" s="4"/>
      <c r="AB195" s="4"/>
      <c r="AG195" s="4"/>
      <c r="AL195" s="4"/>
      <c r="AQ195" s="4"/>
      <c r="AV195" s="4"/>
      <c r="BA195" s="4"/>
    </row>
    <row r="196" spans="8:53" s="1" customFormat="1" ht="53.45" customHeight="1">
      <c r="H196" s="4"/>
      <c r="M196" s="4"/>
      <c r="R196" s="4"/>
      <c r="W196" s="4"/>
      <c r="AB196" s="4"/>
      <c r="AG196" s="4"/>
      <c r="AL196" s="4"/>
      <c r="AQ196" s="4"/>
      <c r="AV196" s="4"/>
      <c r="BA196" s="4"/>
    </row>
    <row r="197" spans="8:53" s="1" customFormat="1" ht="53.45" customHeight="1">
      <c r="H197" s="4"/>
      <c r="M197" s="4"/>
      <c r="R197" s="4"/>
      <c r="W197" s="4"/>
      <c r="AB197" s="4"/>
      <c r="AG197" s="4"/>
      <c r="AL197" s="4"/>
      <c r="AQ197" s="4"/>
      <c r="AV197" s="4"/>
      <c r="BA197" s="4"/>
    </row>
    <row r="198" spans="8:53" s="1" customFormat="1" ht="53.45" customHeight="1">
      <c r="H198" s="4"/>
      <c r="M198" s="4"/>
      <c r="R198" s="4"/>
      <c r="W198" s="4"/>
      <c r="AB198" s="4"/>
      <c r="AG198" s="4"/>
      <c r="AL198" s="4"/>
      <c r="AQ198" s="4"/>
      <c r="AV198" s="4"/>
      <c r="BA198" s="4"/>
    </row>
    <row r="199" spans="8:53" s="1" customFormat="1" ht="53.45" customHeight="1">
      <c r="H199" s="4"/>
      <c r="M199" s="4"/>
      <c r="R199" s="4"/>
      <c r="W199" s="4"/>
      <c r="AB199" s="4"/>
      <c r="AG199" s="4"/>
      <c r="AL199" s="4"/>
      <c r="AQ199" s="4"/>
      <c r="AV199" s="4"/>
      <c r="BA199" s="4"/>
    </row>
    <row r="200" spans="8:53" s="1" customFormat="1" ht="53.45" customHeight="1">
      <c r="H200" s="4"/>
      <c r="M200" s="4"/>
      <c r="R200" s="4"/>
      <c r="W200" s="4"/>
      <c r="AB200" s="4"/>
      <c r="AG200" s="4"/>
      <c r="AL200" s="4"/>
      <c r="AQ200" s="4"/>
      <c r="AV200" s="4"/>
      <c r="BA200" s="4"/>
    </row>
    <row r="201" spans="8:53" s="1" customFormat="1" ht="53.45" customHeight="1">
      <c r="H201" s="4"/>
      <c r="M201" s="4"/>
      <c r="R201" s="4"/>
      <c r="W201" s="4"/>
      <c r="AB201" s="4"/>
      <c r="AG201" s="4"/>
      <c r="AL201" s="4"/>
      <c r="AQ201" s="4"/>
      <c r="AV201" s="4"/>
      <c r="BA201" s="4"/>
    </row>
    <row r="202" spans="8:53" s="1" customFormat="1" ht="53.45" customHeight="1">
      <c r="H202" s="4"/>
      <c r="M202" s="4"/>
      <c r="R202" s="4"/>
      <c r="W202" s="4"/>
      <c r="AB202" s="4"/>
      <c r="AG202" s="4"/>
      <c r="AL202" s="4"/>
      <c r="AQ202" s="4"/>
      <c r="AV202" s="4"/>
      <c r="BA202" s="4"/>
    </row>
    <row r="203" spans="8:53" s="1" customFormat="1" ht="53.45" customHeight="1">
      <c r="H203" s="4"/>
      <c r="M203" s="4"/>
      <c r="R203" s="4"/>
      <c r="W203" s="4"/>
      <c r="AB203" s="4"/>
      <c r="AG203" s="4"/>
      <c r="AL203" s="4"/>
      <c r="AQ203" s="4"/>
      <c r="AV203" s="4"/>
      <c r="BA203" s="4"/>
    </row>
    <row r="204" spans="8:53" s="1" customFormat="1" ht="53.45" customHeight="1">
      <c r="H204" s="4"/>
      <c r="M204" s="4"/>
      <c r="R204" s="4"/>
      <c r="W204" s="4"/>
      <c r="AB204" s="4"/>
      <c r="AG204" s="4"/>
      <c r="AL204" s="4"/>
      <c r="AQ204" s="4"/>
      <c r="AV204" s="4"/>
      <c r="BA204" s="4"/>
    </row>
    <row r="205" spans="8:53" s="1" customFormat="1" ht="53.45" customHeight="1">
      <c r="H205" s="4"/>
      <c r="M205" s="4"/>
      <c r="R205" s="4"/>
      <c r="W205" s="4"/>
      <c r="AB205" s="4"/>
      <c r="AG205" s="4"/>
      <c r="AL205" s="4"/>
      <c r="AQ205" s="4"/>
      <c r="AV205" s="4"/>
      <c r="BA205" s="4"/>
    </row>
    <row r="206" spans="8:53" s="1" customFormat="1" ht="53.45" customHeight="1">
      <c r="H206" s="4"/>
      <c r="M206" s="4"/>
      <c r="R206" s="4"/>
      <c r="W206" s="4"/>
      <c r="AB206" s="4"/>
      <c r="AG206" s="4"/>
      <c r="AL206" s="4"/>
      <c r="AQ206" s="4"/>
      <c r="AV206" s="4"/>
      <c r="BA206" s="4"/>
    </row>
    <row r="207" spans="8:53" s="1" customFormat="1" ht="53.45" customHeight="1">
      <c r="H207" s="4"/>
      <c r="M207" s="4"/>
      <c r="R207" s="4"/>
      <c r="W207" s="4"/>
      <c r="AB207" s="4"/>
      <c r="AG207" s="4"/>
      <c r="AL207" s="4"/>
      <c r="AQ207" s="4"/>
      <c r="AV207" s="4"/>
      <c r="BA207" s="4"/>
    </row>
    <row r="208" spans="8:53" s="1" customFormat="1" ht="53.45" customHeight="1">
      <c r="H208" s="4"/>
      <c r="M208" s="4"/>
      <c r="R208" s="4"/>
      <c r="W208" s="4"/>
      <c r="AB208" s="4"/>
      <c r="AG208" s="4"/>
      <c r="AL208" s="4"/>
      <c r="AQ208" s="4"/>
      <c r="AV208" s="4"/>
      <c r="BA208" s="4"/>
    </row>
    <row r="209" spans="8:53" s="1" customFormat="1" ht="53.45" customHeight="1">
      <c r="H209" s="4"/>
      <c r="M209" s="4"/>
      <c r="R209" s="4"/>
      <c r="W209" s="4"/>
      <c r="AB209" s="4"/>
      <c r="AG209" s="4"/>
      <c r="AL209" s="4"/>
      <c r="AQ209" s="4"/>
      <c r="AV209" s="4"/>
      <c r="BA209" s="4"/>
    </row>
    <row r="210" spans="8:53" s="1" customFormat="1" ht="53.45" customHeight="1">
      <c r="H210" s="4"/>
      <c r="M210" s="4"/>
      <c r="R210" s="4"/>
      <c r="W210" s="4"/>
      <c r="AB210" s="4"/>
      <c r="AG210" s="4"/>
      <c r="AL210" s="4"/>
      <c r="AQ210" s="4"/>
      <c r="AV210" s="4"/>
      <c r="BA210" s="4"/>
    </row>
    <row r="211" spans="8:53" s="1" customFormat="1" ht="53.45" customHeight="1">
      <c r="H211" s="4"/>
      <c r="M211" s="4"/>
      <c r="R211" s="4"/>
      <c r="W211" s="4"/>
      <c r="AB211" s="4"/>
      <c r="AG211" s="4"/>
      <c r="AL211" s="4"/>
      <c r="AQ211" s="4"/>
      <c r="AV211" s="4"/>
      <c r="BA211" s="4"/>
    </row>
    <row r="212" spans="8:53" s="1" customFormat="1" ht="53.45" customHeight="1">
      <c r="H212" s="4"/>
      <c r="M212" s="4"/>
      <c r="R212" s="4"/>
      <c r="W212" s="4"/>
      <c r="AB212" s="4"/>
      <c r="AG212" s="4"/>
      <c r="AL212" s="4"/>
      <c r="AQ212" s="4"/>
      <c r="AV212" s="4"/>
      <c r="BA212" s="4"/>
    </row>
    <row r="213" spans="8:53" s="1" customFormat="1" ht="53.45" customHeight="1">
      <c r="H213" s="4"/>
      <c r="M213" s="4"/>
      <c r="R213" s="4"/>
      <c r="W213" s="4"/>
      <c r="AB213" s="4"/>
      <c r="AG213" s="4"/>
      <c r="AL213" s="4"/>
      <c r="AQ213" s="4"/>
      <c r="AV213" s="4"/>
      <c r="BA213" s="4"/>
    </row>
    <row r="214" spans="8:53" s="1" customFormat="1" ht="53.45" customHeight="1">
      <c r="H214" s="4"/>
      <c r="M214" s="4"/>
      <c r="R214" s="4"/>
      <c r="W214" s="4"/>
      <c r="AB214" s="4"/>
      <c r="AG214" s="4"/>
      <c r="AL214" s="4"/>
      <c r="AQ214" s="4"/>
      <c r="AV214" s="4"/>
      <c r="BA214" s="4"/>
    </row>
    <row r="215" spans="8:53" s="1" customFormat="1" ht="53.45" customHeight="1">
      <c r="H215" s="4"/>
      <c r="M215" s="4"/>
      <c r="R215" s="4"/>
      <c r="W215" s="4"/>
      <c r="AB215" s="4"/>
      <c r="AG215" s="4"/>
      <c r="AL215" s="4"/>
      <c r="AQ215" s="4"/>
      <c r="AV215" s="4"/>
      <c r="BA215" s="4"/>
    </row>
    <row r="216" spans="8:53" s="1" customFormat="1" ht="53.45" customHeight="1">
      <c r="H216" s="4"/>
      <c r="M216" s="4"/>
      <c r="R216" s="4"/>
      <c r="W216" s="4"/>
      <c r="AB216" s="4"/>
      <c r="AG216" s="4"/>
      <c r="AL216" s="4"/>
      <c r="AQ216" s="4"/>
      <c r="AV216" s="4"/>
      <c r="BA216" s="4"/>
    </row>
    <row r="217" spans="8:53" s="1" customFormat="1" ht="53.45" customHeight="1">
      <c r="H217" s="4"/>
      <c r="M217" s="4"/>
      <c r="R217" s="4"/>
      <c r="W217" s="4"/>
      <c r="AB217" s="4"/>
      <c r="AG217" s="4"/>
      <c r="AL217" s="4"/>
      <c r="AQ217" s="4"/>
      <c r="AV217" s="4"/>
      <c r="BA217" s="4"/>
    </row>
    <row r="218" spans="8:53" s="1" customFormat="1" ht="53.45" customHeight="1">
      <c r="H218" s="4"/>
      <c r="M218" s="4"/>
      <c r="R218" s="4"/>
      <c r="W218" s="4"/>
      <c r="AB218" s="4"/>
      <c r="AG218" s="4"/>
      <c r="AL218" s="4"/>
      <c r="AQ218" s="4"/>
      <c r="AV218" s="4"/>
      <c r="BA218" s="4"/>
    </row>
    <row r="219" spans="8:53" s="1" customFormat="1" ht="53.45" customHeight="1">
      <c r="H219" s="4"/>
      <c r="M219" s="4"/>
      <c r="R219" s="4"/>
      <c r="W219" s="4"/>
      <c r="AB219" s="4"/>
      <c r="AG219" s="4"/>
      <c r="AL219" s="4"/>
      <c r="AQ219" s="4"/>
      <c r="AV219" s="4"/>
      <c r="BA219" s="4"/>
    </row>
    <row r="220" spans="8:53" s="1" customFormat="1" ht="53.45" customHeight="1">
      <c r="H220" s="4"/>
      <c r="M220" s="4"/>
      <c r="R220" s="4"/>
      <c r="W220" s="4"/>
      <c r="AB220" s="4"/>
      <c r="AG220" s="4"/>
      <c r="AL220" s="4"/>
      <c r="AQ220" s="4"/>
      <c r="AV220" s="4"/>
      <c r="BA220" s="4"/>
    </row>
    <row r="221" spans="8:53" s="1" customFormat="1" ht="53.45" customHeight="1">
      <c r="H221" s="4"/>
      <c r="M221" s="4"/>
      <c r="R221" s="4"/>
      <c r="W221" s="4"/>
      <c r="AB221" s="4"/>
      <c r="AG221" s="4"/>
      <c r="AL221" s="4"/>
      <c r="AQ221" s="4"/>
      <c r="AV221" s="4"/>
      <c r="BA221" s="4"/>
    </row>
    <row r="222" spans="8:53" s="1" customFormat="1" ht="53.45" customHeight="1">
      <c r="H222" s="4"/>
      <c r="M222" s="4"/>
      <c r="R222" s="4"/>
      <c r="W222" s="4"/>
      <c r="AB222" s="4"/>
      <c r="AG222" s="4"/>
      <c r="AL222" s="4"/>
      <c r="AQ222" s="4"/>
      <c r="AV222" s="4"/>
      <c r="BA222" s="4"/>
    </row>
    <row r="223" spans="8:53" s="1" customFormat="1" ht="53.45" customHeight="1">
      <c r="H223" s="4"/>
      <c r="M223" s="4"/>
      <c r="R223" s="4"/>
      <c r="W223" s="4"/>
      <c r="AB223" s="4"/>
      <c r="AG223" s="4"/>
      <c r="AL223" s="4"/>
      <c r="AQ223" s="4"/>
      <c r="AV223" s="4"/>
      <c r="BA223" s="4"/>
    </row>
    <row r="224" spans="8:53" s="1" customFormat="1" ht="53.45" customHeight="1">
      <c r="H224" s="4"/>
      <c r="M224" s="4"/>
      <c r="R224" s="4"/>
      <c r="W224" s="4"/>
      <c r="AB224" s="4"/>
      <c r="AG224" s="4"/>
      <c r="AL224" s="4"/>
      <c r="AQ224" s="4"/>
      <c r="AV224" s="4"/>
      <c r="BA224" s="4"/>
    </row>
    <row r="225" spans="8:53" s="1" customFormat="1" ht="53.45" customHeight="1">
      <c r="H225" s="4"/>
      <c r="M225" s="4"/>
      <c r="R225" s="4"/>
      <c r="W225" s="4"/>
      <c r="AB225" s="4"/>
      <c r="AG225" s="4"/>
      <c r="AL225" s="4"/>
      <c r="AQ225" s="4"/>
      <c r="AV225" s="4"/>
      <c r="BA225" s="4"/>
    </row>
    <row r="226" spans="8:53" s="1" customFormat="1" ht="53.45" customHeight="1">
      <c r="H226" s="4"/>
      <c r="M226" s="4"/>
      <c r="R226" s="4"/>
      <c r="W226" s="4"/>
      <c r="AB226" s="4"/>
      <c r="AG226" s="4"/>
      <c r="AL226" s="4"/>
      <c r="AQ226" s="4"/>
      <c r="AV226" s="4"/>
      <c r="BA226" s="4"/>
    </row>
    <row r="227" spans="8:53" s="1" customFormat="1" ht="53.45" customHeight="1">
      <c r="H227" s="4"/>
      <c r="M227" s="4"/>
      <c r="R227" s="4"/>
      <c r="W227" s="4"/>
      <c r="AB227" s="4"/>
      <c r="AG227" s="4"/>
      <c r="AL227" s="4"/>
      <c r="AQ227" s="4"/>
      <c r="AV227" s="4"/>
      <c r="BA227" s="4"/>
    </row>
    <row r="228" spans="8:53" s="1" customFormat="1" ht="53.45" customHeight="1">
      <c r="H228" s="4"/>
      <c r="M228" s="4"/>
      <c r="R228" s="4"/>
      <c r="W228" s="4"/>
      <c r="AB228" s="4"/>
      <c r="AG228" s="4"/>
      <c r="AL228" s="4"/>
      <c r="AQ228" s="4"/>
      <c r="AV228" s="4"/>
      <c r="BA228" s="4"/>
    </row>
    <row r="229" spans="8:53" s="1" customFormat="1" ht="53.45" customHeight="1">
      <c r="H229" s="4"/>
      <c r="M229" s="4"/>
      <c r="R229" s="4"/>
      <c r="W229" s="4"/>
      <c r="AB229" s="4"/>
      <c r="AG229" s="4"/>
      <c r="AL229" s="4"/>
      <c r="AQ229" s="4"/>
      <c r="AV229" s="4"/>
      <c r="BA229" s="4"/>
    </row>
    <row r="230" spans="8:53" s="1" customFormat="1" ht="53.45" customHeight="1">
      <c r="H230" s="4"/>
      <c r="M230" s="4"/>
      <c r="R230" s="4"/>
      <c r="W230" s="4"/>
      <c r="AB230" s="4"/>
      <c r="AG230" s="4"/>
      <c r="AL230" s="4"/>
      <c r="AQ230" s="4"/>
      <c r="AV230" s="4"/>
      <c r="BA230" s="4"/>
    </row>
    <row r="231" spans="8:53" s="1" customFormat="1" ht="53.45" customHeight="1">
      <c r="H231" s="4"/>
      <c r="M231" s="4"/>
      <c r="R231" s="4"/>
      <c r="W231" s="4"/>
      <c r="AB231" s="4"/>
      <c r="AG231" s="4"/>
      <c r="AL231" s="4"/>
      <c r="AQ231" s="4"/>
      <c r="AV231" s="4"/>
      <c r="BA231" s="4"/>
    </row>
    <row r="232" spans="8:53" s="1" customFormat="1" ht="53.45" customHeight="1">
      <c r="H232" s="4"/>
      <c r="M232" s="4"/>
      <c r="R232" s="4"/>
      <c r="W232" s="4"/>
      <c r="AB232" s="4"/>
      <c r="AG232" s="4"/>
      <c r="AL232" s="4"/>
      <c r="AQ232" s="4"/>
      <c r="AV232" s="4"/>
      <c r="BA232" s="4"/>
    </row>
    <row r="233" spans="8:53" s="1" customFormat="1" ht="53.45" customHeight="1">
      <c r="H233" s="4"/>
      <c r="M233" s="4"/>
      <c r="R233" s="4"/>
      <c r="W233" s="4"/>
      <c r="AB233" s="4"/>
      <c r="AG233" s="4"/>
      <c r="AL233" s="4"/>
      <c r="AQ233" s="4"/>
      <c r="AV233" s="4"/>
      <c r="BA233" s="4"/>
    </row>
    <row r="234" spans="8:53" s="1" customFormat="1" ht="53.45" customHeight="1">
      <c r="H234" s="4"/>
      <c r="M234" s="4"/>
      <c r="R234" s="4"/>
      <c r="W234" s="4"/>
      <c r="AB234" s="4"/>
      <c r="AG234" s="4"/>
      <c r="AL234" s="4"/>
      <c r="AQ234" s="4"/>
      <c r="AV234" s="4"/>
      <c r="BA234" s="4"/>
    </row>
    <row r="235" spans="8:53" s="1" customFormat="1" ht="53.45" customHeight="1">
      <c r="H235" s="4"/>
      <c r="M235" s="4"/>
      <c r="R235" s="4"/>
      <c r="W235" s="4"/>
      <c r="AB235" s="4"/>
      <c r="AG235" s="4"/>
      <c r="AL235" s="4"/>
      <c r="AQ235" s="4"/>
      <c r="AV235" s="4"/>
      <c r="BA235" s="4"/>
    </row>
    <row r="236" spans="8:53" s="1" customFormat="1" ht="53.45" customHeight="1">
      <c r="H236" s="4"/>
      <c r="M236" s="4"/>
      <c r="R236" s="4"/>
      <c r="W236" s="4"/>
      <c r="AB236" s="4"/>
      <c r="AG236" s="4"/>
      <c r="AL236" s="4"/>
      <c r="AQ236" s="4"/>
      <c r="AV236" s="4"/>
      <c r="BA236" s="4"/>
    </row>
    <row r="237" spans="8:53" s="1" customFormat="1" ht="53.45" customHeight="1">
      <c r="H237" s="4"/>
      <c r="M237" s="4"/>
      <c r="R237" s="4"/>
      <c r="W237" s="4"/>
      <c r="AB237" s="4"/>
      <c r="AG237" s="4"/>
      <c r="AL237" s="4"/>
      <c r="AQ237" s="4"/>
      <c r="AV237" s="4"/>
      <c r="BA237" s="4"/>
    </row>
    <row r="238" spans="8:53" s="1" customFormat="1" ht="53.45" customHeight="1">
      <c r="H238" s="4"/>
      <c r="M238" s="4"/>
      <c r="R238" s="4"/>
      <c r="W238" s="4"/>
      <c r="AB238" s="4"/>
      <c r="AG238" s="4"/>
      <c r="AL238" s="4"/>
      <c r="AQ238" s="4"/>
      <c r="AV238" s="4"/>
      <c r="BA238" s="4"/>
    </row>
    <row r="239" spans="8:53" s="1" customFormat="1" ht="53.45" customHeight="1">
      <c r="H239" s="4"/>
      <c r="M239" s="4"/>
      <c r="R239" s="4"/>
      <c r="W239" s="4"/>
      <c r="AB239" s="4"/>
      <c r="AG239" s="4"/>
      <c r="AL239" s="4"/>
      <c r="AQ239" s="4"/>
      <c r="AV239" s="4"/>
      <c r="BA239" s="4"/>
    </row>
    <row r="240" spans="8:53" s="1" customFormat="1" ht="53.45" customHeight="1">
      <c r="H240" s="4"/>
      <c r="M240" s="4"/>
      <c r="R240" s="4"/>
      <c r="W240" s="4"/>
      <c r="AB240" s="4"/>
      <c r="AG240" s="4"/>
      <c r="AL240" s="4"/>
      <c r="AQ240" s="4"/>
      <c r="AV240" s="4"/>
      <c r="BA240" s="4"/>
    </row>
    <row r="241" spans="8:53" s="1" customFormat="1" ht="53.45" customHeight="1">
      <c r="H241" s="4"/>
      <c r="M241" s="4"/>
      <c r="R241" s="4"/>
      <c r="W241" s="4"/>
      <c r="AB241" s="4"/>
      <c r="AG241" s="4"/>
      <c r="AL241" s="4"/>
      <c r="AQ241" s="4"/>
      <c r="AV241" s="4"/>
      <c r="BA241" s="4"/>
    </row>
    <row r="242" spans="8:53" s="1" customFormat="1" ht="53.45" customHeight="1">
      <c r="H242" s="4"/>
      <c r="M242" s="4"/>
      <c r="R242" s="4"/>
      <c r="W242" s="4"/>
      <c r="AB242" s="4"/>
      <c r="AG242" s="4"/>
      <c r="AL242" s="4"/>
      <c r="AQ242" s="4"/>
      <c r="AV242" s="4"/>
      <c r="BA242" s="4"/>
    </row>
    <row r="243" spans="8:53" s="1" customFormat="1" ht="53.45" customHeight="1">
      <c r="H243" s="4"/>
      <c r="M243" s="4"/>
      <c r="R243" s="4"/>
      <c r="W243" s="4"/>
      <c r="AB243" s="4"/>
      <c r="AG243" s="4"/>
      <c r="AL243" s="4"/>
      <c r="AQ243" s="4"/>
      <c r="AV243" s="4"/>
      <c r="BA243" s="4"/>
    </row>
    <row r="244" spans="8:53" s="1" customFormat="1" ht="53.45" customHeight="1">
      <c r="H244" s="4"/>
      <c r="M244" s="4"/>
      <c r="R244" s="4"/>
      <c r="W244" s="4"/>
      <c r="AB244" s="4"/>
      <c r="AG244" s="4"/>
      <c r="AL244" s="4"/>
      <c r="AQ244" s="4"/>
      <c r="AV244" s="4"/>
      <c r="BA244" s="4"/>
    </row>
    <row r="245" spans="8:53" s="1" customFormat="1" ht="53.45" customHeight="1">
      <c r="H245" s="4"/>
      <c r="M245" s="4"/>
      <c r="R245" s="4"/>
      <c r="W245" s="4"/>
      <c r="AB245" s="4"/>
      <c r="AG245" s="4"/>
      <c r="AL245" s="4"/>
      <c r="AQ245" s="4"/>
      <c r="AV245" s="4"/>
      <c r="BA245" s="4"/>
    </row>
    <row r="246" spans="8:53" s="1" customFormat="1" ht="53.45" customHeight="1">
      <c r="H246" s="4"/>
      <c r="M246" s="4"/>
      <c r="R246" s="4"/>
      <c r="W246" s="4"/>
      <c r="AB246" s="4"/>
      <c r="AG246" s="4"/>
      <c r="AL246" s="4"/>
      <c r="AQ246" s="4"/>
      <c r="AV246" s="4"/>
      <c r="BA246" s="4"/>
    </row>
    <row r="247" spans="8:53" s="1" customFormat="1" ht="53.45" customHeight="1">
      <c r="H247" s="4"/>
      <c r="M247" s="4"/>
      <c r="R247" s="4"/>
      <c r="W247" s="4"/>
      <c r="AB247" s="4"/>
      <c r="AG247" s="4"/>
      <c r="AL247" s="4"/>
      <c r="AQ247" s="4"/>
      <c r="AV247" s="4"/>
      <c r="BA247" s="4"/>
    </row>
    <row r="248" spans="8:53" s="1" customFormat="1" ht="53.45" customHeight="1">
      <c r="H248" s="4"/>
      <c r="M248" s="4"/>
      <c r="R248" s="4"/>
      <c r="W248" s="4"/>
      <c r="AB248" s="4"/>
      <c r="AG248" s="4"/>
      <c r="AL248" s="4"/>
      <c r="AQ248" s="4"/>
      <c r="AV248" s="4"/>
      <c r="BA248" s="4"/>
    </row>
    <row r="249" spans="8:53" s="1" customFormat="1" ht="53.45" customHeight="1">
      <c r="H249" s="4"/>
      <c r="M249" s="4"/>
      <c r="R249" s="4"/>
      <c r="W249" s="4"/>
      <c r="AB249" s="4"/>
      <c r="AG249" s="4"/>
      <c r="AL249" s="4"/>
      <c r="AQ249" s="4"/>
      <c r="AV249" s="4"/>
      <c r="BA249" s="4"/>
    </row>
    <row r="250" spans="8:53" s="1" customFormat="1" ht="53.45" customHeight="1">
      <c r="H250" s="4"/>
      <c r="M250" s="4"/>
      <c r="R250" s="4"/>
      <c r="W250" s="4"/>
      <c r="AB250" s="4"/>
      <c r="AG250" s="4"/>
      <c r="AL250" s="4"/>
      <c r="AQ250" s="4"/>
      <c r="AV250" s="4"/>
      <c r="BA250" s="4"/>
    </row>
    <row r="251" spans="8:53" s="1" customFormat="1" ht="53.45" customHeight="1">
      <c r="H251" s="4"/>
      <c r="M251" s="4"/>
      <c r="R251" s="4"/>
      <c r="W251" s="4"/>
      <c r="AB251" s="4"/>
      <c r="AG251" s="4"/>
      <c r="AL251" s="4"/>
      <c r="AQ251" s="4"/>
      <c r="AV251" s="4"/>
      <c r="BA251" s="4"/>
    </row>
    <row r="252" spans="8:53" s="1" customFormat="1" ht="53.45" customHeight="1">
      <c r="H252" s="4"/>
      <c r="M252" s="4"/>
      <c r="R252" s="4"/>
      <c r="W252" s="4"/>
      <c r="AB252" s="4"/>
      <c r="AG252" s="4"/>
      <c r="AL252" s="4"/>
      <c r="AQ252" s="4"/>
      <c r="AV252" s="4"/>
      <c r="BA252" s="4"/>
    </row>
    <row r="253" spans="8:53" s="1" customFormat="1" ht="53.45" customHeight="1">
      <c r="H253" s="4"/>
      <c r="M253" s="4"/>
      <c r="R253" s="4"/>
      <c r="W253" s="4"/>
      <c r="AB253" s="4"/>
      <c r="AG253" s="4"/>
      <c r="AL253" s="4"/>
      <c r="AQ253" s="4"/>
      <c r="AV253" s="4"/>
      <c r="BA253" s="4"/>
    </row>
    <row r="254" spans="8:53" s="1" customFormat="1" ht="53.45" customHeight="1">
      <c r="H254" s="4"/>
      <c r="M254" s="4"/>
      <c r="R254" s="4"/>
      <c r="W254" s="4"/>
      <c r="AB254" s="4"/>
      <c r="AG254" s="4"/>
      <c r="AL254" s="4"/>
      <c r="AQ254" s="4"/>
      <c r="AV254" s="4"/>
      <c r="BA254" s="4"/>
    </row>
    <row r="255" spans="8:53" s="1" customFormat="1" ht="53.45" customHeight="1">
      <c r="H255" s="4"/>
      <c r="M255" s="4"/>
      <c r="R255" s="4"/>
      <c r="W255" s="4"/>
      <c r="AB255" s="4"/>
      <c r="AG255" s="4"/>
      <c r="AL255" s="4"/>
      <c r="AQ255" s="4"/>
      <c r="AV255" s="4"/>
      <c r="BA255" s="4"/>
    </row>
    <row r="256" spans="8:53" s="1" customFormat="1" ht="53.45" customHeight="1">
      <c r="H256" s="4"/>
      <c r="M256" s="4"/>
      <c r="R256" s="4"/>
      <c r="W256" s="4"/>
      <c r="AB256" s="4"/>
      <c r="AG256" s="4"/>
      <c r="AL256" s="4"/>
      <c r="AQ256" s="4"/>
      <c r="AV256" s="4"/>
      <c r="BA256" s="4"/>
    </row>
    <row r="257" spans="8:53" s="1" customFormat="1" ht="53.45" customHeight="1">
      <c r="H257" s="4"/>
      <c r="M257" s="4"/>
      <c r="R257" s="4"/>
      <c r="W257" s="4"/>
      <c r="AB257" s="4"/>
      <c r="AG257" s="4"/>
      <c r="AL257" s="4"/>
      <c r="AQ257" s="4"/>
      <c r="AV257" s="4"/>
      <c r="BA257" s="4"/>
    </row>
    <row r="258" spans="8:53" s="1" customFormat="1" ht="53.45" customHeight="1">
      <c r="H258" s="4"/>
      <c r="M258" s="4"/>
      <c r="R258" s="4"/>
      <c r="W258" s="4"/>
      <c r="AB258" s="4"/>
      <c r="AG258" s="4"/>
      <c r="AL258" s="4"/>
      <c r="AQ258" s="4"/>
      <c r="AV258" s="4"/>
      <c r="BA258" s="4"/>
    </row>
    <row r="259" spans="8:53" s="1" customFormat="1" ht="53.45" customHeight="1">
      <c r="H259" s="4"/>
      <c r="M259" s="4"/>
      <c r="R259" s="4"/>
      <c r="W259" s="4"/>
      <c r="AB259" s="4"/>
      <c r="AG259" s="4"/>
      <c r="AL259" s="4"/>
      <c r="AQ259" s="4"/>
      <c r="AV259" s="4"/>
      <c r="BA259" s="4"/>
    </row>
    <row r="260" spans="8:53" s="1" customFormat="1" ht="53.45" customHeight="1">
      <c r="H260" s="4"/>
      <c r="M260" s="4"/>
      <c r="R260" s="4"/>
      <c r="W260" s="4"/>
      <c r="AB260" s="4"/>
      <c r="AG260" s="4"/>
      <c r="AL260" s="4"/>
      <c r="AQ260" s="4"/>
      <c r="AV260" s="4"/>
      <c r="BA260" s="4"/>
    </row>
    <row r="261" spans="8:53" s="1" customFormat="1" ht="53.45" customHeight="1">
      <c r="H261" s="4"/>
      <c r="M261" s="4"/>
      <c r="R261" s="4"/>
      <c r="W261" s="4"/>
      <c r="AB261" s="4"/>
      <c r="AG261" s="4"/>
      <c r="AL261" s="4"/>
      <c r="AQ261" s="4"/>
      <c r="AV261" s="4"/>
      <c r="BA261" s="4"/>
    </row>
    <row r="262" spans="8:53" s="1" customFormat="1" ht="53.45" customHeight="1">
      <c r="H262" s="4"/>
      <c r="M262" s="4"/>
      <c r="R262" s="4"/>
      <c r="W262" s="4"/>
      <c r="AB262" s="4"/>
      <c r="AG262" s="4"/>
      <c r="AL262" s="4"/>
      <c r="AQ262" s="4"/>
      <c r="AV262" s="4"/>
      <c r="BA262" s="4"/>
    </row>
    <row r="263" spans="8:53" s="1" customFormat="1" ht="53.45" customHeight="1">
      <c r="H263" s="4"/>
      <c r="M263" s="4"/>
      <c r="R263" s="4"/>
      <c r="W263" s="4"/>
      <c r="AB263" s="4"/>
      <c r="AG263" s="4"/>
      <c r="AL263" s="4"/>
      <c r="AQ263" s="4"/>
      <c r="AV263" s="4"/>
      <c r="BA263" s="4"/>
    </row>
    <row r="264" spans="8:53" s="1" customFormat="1" ht="53.45" customHeight="1">
      <c r="H264" s="4"/>
      <c r="M264" s="4"/>
      <c r="R264" s="4"/>
      <c r="W264" s="4"/>
      <c r="AB264" s="4"/>
      <c r="AG264" s="4"/>
      <c r="AL264" s="4"/>
      <c r="AQ264" s="4"/>
      <c r="AV264" s="4"/>
      <c r="BA264" s="4"/>
    </row>
    <row r="265" spans="8:53" s="1" customFormat="1" ht="53.45" customHeight="1">
      <c r="H265" s="4"/>
      <c r="M265" s="4"/>
      <c r="R265" s="4"/>
      <c r="W265" s="4"/>
      <c r="AB265" s="4"/>
      <c r="AG265" s="4"/>
      <c r="AL265" s="4"/>
      <c r="AQ265" s="4"/>
      <c r="AV265" s="4"/>
      <c r="BA265" s="4"/>
    </row>
    <row r="266" spans="8:53" s="1" customFormat="1" ht="53.45" customHeight="1">
      <c r="H266" s="4"/>
      <c r="M266" s="4"/>
      <c r="R266" s="4"/>
      <c r="W266" s="4"/>
      <c r="AB266" s="4"/>
      <c r="AG266" s="4"/>
      <c r="AL266" s="4"/>
      <c r="AQ266" s="4"/>
      <c r="AV266" s="4"/>
      <c r="BA266" s="4"/>
    </row>
    <row r="267" spans="8:53" s="1" customFormat="1" ht="53.45" customHeight="1">
      <c r="H267" s="4"/>
      <c r="M267" s="4"/>
      <c r="R267" s="4"/>
      <c r="W267" s="4"/>
      <c r="AB267" s="4"/>
      <c r="AG267" s="4"/>
      <c r="AL267" s="4"/>
      <c r="AQ267" s="4"/>
      <c r="AV267" s="4"/>
      <c r="BA267" s="4"/>
    </row>
    <row r="268" spans="8:53" s="1" customFormat="1" ht="53.45" customHeight="1">
      <c r="H268" s="4"/>
      <c r="M268" s="4"/>
      <c r="R268" s="4"/>
      <c r="W268" s="4"/>
      <c r="AB268" s="4"/>
      <c r="AG268" s="4"/>
      <c r="AL268" s="4"/>
      <c r="AQ268" s="4"/>
      <c r="AV268" s="4"/>
      <c r="BA268" s="4"/>
    </row>
    <row r="269" spans="8:53" s="1" customFormat="1" ht="53.45" customHeight="1">
      <c r="H269" s="4"/>
      <c r="M269" s="4"/>
      <c r="R269" s="4"/>
      <c r="W269" s="4"/>
      <c r="AB269" s="4"/>
      <c r="AG269" s="4"/>
      <c r="AL269" s="4"/>
      <c r="AQ269" s="4"/>
      <c r="AV269" s="4"/>
      <c r="BA269" s="4"/>
    </row>
    <row r="270" spans="8:53" s="1" customFormat="1" ht="53.45" customHeight="1">
      <c r="H270" s="4"/>
      <c r="M270" s="4"/>
      <c r="R270" s="4"/>
      <c r="W270" s="4"/>
      <c r="AB270" s="4"/>
      <c r="AG270" s="4"/>
      <c r="AL270" s="4"/>
      <c r="AQ270" s="4"/>
      <c r="AV270" s="4"/>
      <c r="BA270" s="4"/>
    </row>
    <row r="271" spans="8:53" s="1" customFormat="1" ht="53.45" customHeight="1">
      <c r="H271" s="4"/>
      <c r="M271" s="4"/>
      <c r="R271" s="4"/>
      <c r="W271" s="4"/>
      <c r="AB271" s="4"/>
      <c r="AG271" s="4"/>
      <c r="AL271" s="4"/>
      <c r="AQ271" s="4"/>
      <c r="AV271" s="4"/>
      <c r="BA271" s="4"/>
    </row>
    <row r="272" spans="8:53" s="1" customFormat="1" ht="53.45" customHeight="1">
      <c r="H272" s="4"/>
      <c r="M272" s="4"/>
      <c r="R272" s="4"/>
      <c r="W272" s="4"/>
      <c r="AB272" s="4"/>
      <c r="AG272" s="4"/>
      <c r="AL272" s="4"/>
      <c r="AQ272" s="4"/>
      <c r="AV272" s="4"/>
      <c r="BA272" s="4"/>
    </row>
    <row r="273" spans="8:53" s="1" customFormat="1" ht="53.45" customHeight="1">
      <c r="H273" s="4"/>
      <c r="M273" s="4"/>
      <c r="R273" s="4"/>
      <c r="W273" s="4"/>
      <c r="AB273" s="4"/>
      <c r="AG273" s="4"/>
      <c r="AL273" s="4"/>
      <c r="AQ273" s="4"/>
      <c r="AV273" s="4"/>
      <c r="BA273" s="4"/>
    </row>
    <row r="274" spans="8:53" s="1" customFormat="1" ht="53.45" customHeight="1">
      <c r="H274" s="4"/>
      <c r="M274" s="4"/>
      <c r="R274" s="4"/>
      <c r="W274" s="4"/>
      <c r="AB274" s="4"/>
      <c r="AG274" s="4"/>
      <c r="AL274" s="4"/>
      <c r="AQ274" s="4"/>
      <c r="AV274" s="4"/>
      <c r="BA274" s="4"/>
    </row>
    <row r="275" spans="8:53" s="1" customFormat="1" ht="53.45" customHeight="1">
      <c r="H275" s="4"/>
      <c r="M275" s="4"/>
      <c r="R275" s="4"/>
      <c r="W275" s="4"/>
      <c r="AB275" s="4"/>
      <c r="AG275" s="4"/>
      <c r="AL275" s="4"/>
      <c r="AQ275" s="4"/>
      <c r="AV275" s="4"/>
      <c r="BA275" s="4"/>
    </row>
    <row r="276" spans="8:53" s="1" customFormat="1" ht="53.45" customHeight="1">
      <c r="H276" s="4"/>
      <c r="M276" s="4"/>
      <c r="R276" s="4"/>
      <c r="W276" s="4"/>
      <c r="AB276" s="4"/>
      <c r="AG276" s="4"/>
      <c r="AL276" s="4"/>
      <c r="AQ276" s="4"/>
      <c r="AV276" s="4"/>
      <c r="BA276" s="4"/>
    </row>
    <row r="277" spans="8:53" s="1" customFormat="1" ht="53.45" customHeight="1">
      <c r="H277" s="4"/>
      <c r="M277" s="4"/>
      <c r="R277" s="4"/>
      <c r="W277" s="4"/>
      <c r="AB277" s="4"/>
      <c r="AG277" s="4"/>
      <c r="AL277" s="4"/>
      <c r="AQ277" s="4"/>
      <c r="AV277" s="4"/>
      <c r="BA277" s="4"/>
    </row>
    <row r="278" spans="8:53" s="1" customFormat="1" ht="53.45" customHeight="1">
      <c r="H278" s="4"/>
      <c r="M278" s="4"/>
      <c r="R278" s="4"/>
      <c r="W278" s="4"/>
      <c r="AB278" s="4"/>
      <c r="AG278" s="4"/>
      <c r="AL278" s="4"/>
      <c r="AQ278" s="4"/>
      <c r="AV278" s="4"/>
      <c r="BA278" s="4"/>
    </row>
    <row r="279" spans="8:53" s="1" customFormat="1" ht="53.45" customHeight="1">
      <c r="H279" s="4"/>
      <c r="M279" s="4"/>
      <c r="R279" s="4"/>
      <c r="W279" s="4"/>
      <c r="AB279" s="4"/>
      <c r="AG279" s="4"/>
      <c r="AL279" s="4"/>
      <c r="AQ279" s="4"/>
      <c r="AV279" s="4"/>
      <c r="BA279" s="4"/>
    </row>
    <row r="280" spans="8:53" s="1" customFormat="1" ht="53.45" customHeight="1">
      <c r="H280" s="4"/>
      <c r="M280" s="4"/>
      <c r="R280" s="4"/>
      <c r="W280" s="4"/>
      <c r="AB280" s="4"/>
      <c r="AG280" s="4"/>
      <c r="AL280" s="4"/>
      <c r="AQ280" s="4"/>
      <c r="AV280" s="4"/>
      <c r="BA280" s="4"/>
    </row>
    <row r="281" spans="8:53" s="1" customFormat="1" ht="53.45" customHeight="1">
      <c r="H281" s="4"/>
      <c r="M281" s="4"/>
      <c r="R281" s="4"/>
      <c r="W281" s="4"/>
      <c r="AB281" s="4"/>
      <c r="AG281" s="4"/>
      <c r="AL281" s="4"/>
      <c r="AQ281" s="4"/>
      <c r="AV281" s="4"/>
      <c r="BA281" s="4"/>
    </row>
    <row r="282" spans="8:53" s="1" customFormat="1" ht="53.45" customHeight="1">
      <c r="H282" s="4"/>
      <c r="M282" s="4"/>
      <c r="R282" s="4"/>
      <c r="W282" s="4"/>
      <c r="AB282" s="4"/>
      <c r="AG282" s="4"/>
      <c r="AL282" s="4"/>
      <c r="AQ282" s="4"/>
      <c r="AV282" s="4"/>
      <c r="BA282" s="4"/>
    </row>
    <row r="283" spans="8:53" s="1" customFormat="1" ht="53.45" customHeight="1">
      <c r="H283" s="4"/>
      <c r="M283" s="4"/>
      <c r="R283" s="4"/>
      <c r="W283" s="4"/>
      <c r="AB283" s="4"/>
      <c r="AG283" s="4"/>
      <c r="AL283" s="4"/>
      <c r="AQ283" s="4"/>
      <c r="AV283" s="4"/>
      <c r="BA283" s="4"/>
    </row>
    <row r="284" spans="8:53" s="1" customFormat="1" ht="53.45" customHeight="1">
      <c r="H284" s="4"/>
      <c r="M284" s="4"/>
      <c r="R284" s="4"/>
      <c r="W284" s="4"/>
      <c r="AB284" s="4"/>
      <c r="AG284" s="4"/>
      <c r="AL284" s="4"/>
      <c r="AQ284" s="4"/>
      <c r="AV284" s="4"/>
      <c r="BA284" s="4"/>
    </row>
    <row r="285" spans="8:53" s="1" customFormat="1" ht="53.45" customHeight="1">
      <c r="H285" s="4"/>
      <c r="M285" s="4"/>
      <c r="R285" s="4"/>
      <c r="W285" s="4"/>
      <c r="AB285" s="4"/>
      <c r="AG285" s="4"/>
      <c r="AL285" s="4"/>
      <c r="AQ285" s="4"/>
      <c r="AV285" s="4"/>
      <c r="BA285" s="4"/>
    </row>
    <row r="286" spans="8:53" s="1" customFormat="1" ht="53.45" customHeight="1">
      <c r="H286" s="4"/>
      <c r="M286" s="4"/>
      <c r="R286" s="4"/>
      <c r="W286" s="4"/>
      <c r="AB286" s="4"/>
      <c r="AG286" s="4"/>
      <c r="AL286" s="4"/>
      <c r="AQ286" s="4"/>
      <c r="AV286" s="4"/>
      <c r="BA286" s="4"/>
    </row>
    <row r="287" spans="8:53" s="1" customFormat="1" ht="53.45" customHeight="1">
      <c r="H287" s="4"/>
      <c r="M287" s="4"/>
      <c r="R287" s="4"/>
      <c r="W287" s="4"/>
      <c r="AB287" s="4"/>
      <c r="AG287" s="4"/>
      <c r="AL287" s="4"/>
      <c r="AQ287" s="4"/>
      <c r="AV287" s="4"/>
      <c r="BA287" s="4"/>
    </row>
    <row r="288" spans="8:53" s="1" customFormat="1" ht="53.45" customHeight="1">
      <c r="H288" s="4"/>
      <c r="M288" s="4"/>
      <c r="R288" s="4"/>
      <c r="W288" s="4"/>
      <c r="AB288" s="4"/>
      <c r="AG288" s="4"/>
      <c r="AL288" s="4"/>
      <c r="AQ288" s="4"/>
      <c r="AV288" s="4"/>
      <c r="BA288" s="4"/>
    </row>
    <row r="289" spans="8:53" s="1" customFormat="1" ht="53.45" customHeight="1">
      <c r="H289" s="4"/>
      <c r="M289" s="4"/>
      <c r="R289" s="4"/>
      <c r="W289" s="4"/>
      <c r="AB289" s="4"/>
      <c r="AG289" s="4"/>
      <c r="AL289" s="4"/>
      <c r="AQ289" s="4"/>
      <c r="AV289" s="4"/>
      <c r="BA289" s="4"/>
    </row>
    <row r="290" spans="8:53" s="1" customFormat="1" ht="53.45" customHeight="1">
      <c r="H290" s="4"/>
      <c r="M290" s="4"/>
      <c r="R290" s="4"/>
      <c r="W290" s="4"/>
      <c r="AB290" s="4"/>
      <c r="AG290" s="4"/>
      <c r="AL290" s="4"/>
      <c r="AQ290" s="4"/>
      <c r="AV290" s="4"/>
      <c r="BA290" s="4"/>
    </row>
    <row r="291" spans="8:53" s="1" customFormat="1" ht="53.45" customHeight="1">
      <c r="H291" s="4"/>
      <c r="M291" s="4"/>
      <c r="R291" s="4"/>
      <c r="W291" s="4"/>
      <c r="AB291" s="4"/>
      <c r="AG291" s="4"/>
      <c r="AL291" s="4"/>
      <c r="AQ291" s="4"/>
      <c r="AV291" s="4"/>
      <c r="BA291" s="4"/>
    </row>
    <row r="292" spans="8:53" s="1" customFormat="1" ht="53.45" customHeight="1">
      <c r="H292" s="4"/>
      <c r="M292" s="4"/>
      <c r="R292" s="4"/>
      <c r="W292" s="4"/>
      <c r="AB292" s="4"/>
      <c r="AG292" s="4"/>
      <c r="AL292" s="4"/>
      <c r="AQ292" s="4"/>
      <c r="AV292" s="4"/>
      <c r="BA292" s="4"/>
    </row>
    <row r="293" spans="8:53" s="1" customFormat="1" ht="53.45" customHeight="1">
      <c r="H293" s="4"/>
      <c r="M293" s="4"/>
      <c r="R293" s="4"/>
      <c r="W293" s="4"/>
      <c r="AB293" s="4"/>
      <c r="AG293" s="4"/>
      <c r="AL293" s="4"/>
      <c r="AQ293" s="4"/>
      <c r="AV293" s="4"/>
      <c r="BA293" s="4"/>
    </row>
    <row r="294" spans="8:53" s="1" customFormat="1" ht="53.45" customHeight="1">
      <c r="H294" s="4"/>
      <c r="M294" s="4"/>
      <c r="R294" s="4"/>
      <c r="W294" s="4"/>
      <c r="AB294" s="4"/>
      <c r="AG294" s="4"/>
      <c r="AL294" s="4"/>
      <c r="AQ294" s="4"/>
      <c r="AV294" s="4"/>
      <c r="BA294" s="4"/>
    </row>
    <row r="295" spans="8:53" s="1" customFormat="1" ht="53.45" customHeight="1">
      <c r="H295" s="4"/>
      <c r="M295" s="4"/>
      <c r="R295" s="4"/>
      <c r="W295" s="4"/>
      <c r="AB295" s="4"/>
      <c r="AG295" s="4"/>
      <c r="AL295" s="4"/>
      <c r="AQ295" s="4"/>
      <c r="AV295" s="4"/>
      <c r="BA295" s="4"/>
    </row>
    <row r="296" spans="8:53" s="1" customFormat="1" ht="53.45" customHeight="1">
      <c r="H296" s="4"/>
      <c r="M296" s="4"/>
      <c r="R296" s="4"/>
      <c r="W296" s="4"/>
      <c r="AB296" s="4"/>
      <c r="AG296" s="4"/>
      <c r="AL296" s="4"/>
      <c r="AQ296" s="4"/>
      <c r="AV296" s="4"/>
      <c r="BA296" s="4"/>
    </row>
    <row r="297" spans="8:53" s="1" customFormat="1" ht="53.45" customHeight="1">
      <c r="H297" s="4"/>
      <c r="M297" s="4"/>
      <c r="R297" s="4"/>
      <c r="W297" s="4"/>
      <c r="AB297" s="4"/>
      <c r="AG297" s="4"/>
      <c r="AL297" s="4"/>
      <c r="AQ297" s="4"/>
      <c r="AV297" s="4"/>
      <c r="BA297" s="4"/>
    </row>
    <row r="298" spans="8:53" s="1" customFormat="1" ht="53.45" customHeight="1">
      <c r="H298" s="4"/>
      <c r="M298" s="4"/>
      <c r="R298" s="4"/>
      <c r="W298" s="4"/>
      <c r="AB298" s="4"/>
      <c r="AG298" s="4"/>
      <c r="AL298" s="4"/>
      <c r="AQ298" s="4"/>
      <c r="AV298" s="4"/>
      <c r="BA298" s="4"/>
    </row>
    <row r="299" spans="8:53" s="1" customFormat="1" ht="53.45" customHeight="1">
      <c r="H299" s="4"/>
      <c r="M299" s="4"/>
      <c r="R299" s="4"/>
      <c r="W299" s="4"/>
      <c r="AB299" s="4"/>
      <c r="AG299" s="4"/>
      <c r="AL299" s="4"/>
      <c r="AQ299" s="4"/>
      <c r="AV299" s="4"/>
      <c r="BA299" s="4"/>
    </row>
    <row r="300" spans="8:53" s="1" customFormat="1" ht="53.45" customHeight="1">
      <c r="H300" s="4"/>
      <c r="M300" s="4"/>
      <c r="R300" s="4"/>
      <c r="W300" s="4"/>
      <c r="AB300" s="4"/>
      <c r="AG300" s="4"/>
      <c r="AL300" s="4"/>
      <c r="AQ300" s="4"/>
      <c r="AV300" s="4"/>
      <c r="BA300" s="4"/>
    </row>
    <row r="301" spans="8:53" s="1" customFormat="1" ht="53.45" customHeight="1">
      <c r="H301" s="4"/>
      <c r="M301" s="4"/>
      <c r="R301" s="4"/>
      <c r="W301" s="4"/>
      <c r="AB301" s="4"/>
      <c r="AG301" s="4"/>
      <c r="AL301" s="4"/>
      <c r="AQ301" s="4"/>
      <c r="AV301" s="4"/>
      <c r="BA301" s="4"/>
    </row>
    <row r="302" spans="8:53" s="1" customFormat="1" ht="53.45" customHeight="1">
      <c r="H302" s="4"/>
      <c r="M302" s="4"/>
      <c r="R302" s="4"/>
      <c r="W302" s="4"/>
      <c r="AB302" s="4"/>
      <c r="AG302" s="4"/>
      <c r="AL302" s="4"/>
      <c r="AQ302" s="4"/>
      <c r="AV302" s="4"/>
      <c r="BA302" s="4"/>
    </row>
    <row r="303" spans="8:53" s="1" customFormat="1" ht="53.45" customHeight="1">
      <c r="H303" s="4"/>
      <c r="M303" s="4"/>
      <c r="R303" s="4"/>
      <c r="W303" s="4"/>
      <c r="AB303" s="4"/>
      <c r="AG303" s="4"/>
      <c r="AL303" s="4"/>
      <c r="AQ303" s="4"/>
      <c r="AV303" s="4"/>
      <c r="BA303" s="4"/>
    </row>
    <row r="304" spans="8:53" s="1" customFormat="1" ht="53.45" customHeight="1">
      <c r="H304" s="4"/>
      <c r="M304" s="4"/>
      <c r="R304" s="4"/>
      <c r="W304" s="4"/>
      <c r="AB304" s="4"/>
      <c r="AG304" s="4"/>
      <c r="AL304" s="4"/>
      <c r="AQ304" s="4"/>
      <c r="AV304" s="4"/>
      <c r="BA304" s="4"/>
    </row>
    <row r="305" spans="8:53" s="1" customFormat="1" ht="53.45" customHeight="1">
      <c r="H305" s="4"/>
      <c r="M305" s="4"/>
      <c r="R305" s="4"/>
      <c r="W305" s="4"/>
      <c r="AB305" s="4"/>
      <c r="AG305" s="4"/>
      <c r="AL305" s="4"/>
      <c r="AQ305" s="4"/>
      <c r="AV305" s="4"/>
      <c r="BA305" s="4"/>
    </row>
    <row r="306" spans="8:53" s="1" customFormat="1" ht="53.45" customHeight="1">
      <c r="H306" s="4"/>
      <c r="M306" s="4"/>
      <c r="R306" s="4"/>
      <c r="W306" s="4"/>
      <c r="AB306" s="4"/>
      <c r="AG306" s="4"/>
      <c r="AL306" s="4"/>
      <c r="AQ306" s="4"/>
      <c r="AV306" s="4"/>
      <c r="BA306" s="4"/>
    </row>
    <row r="307" spans="8:53" s="1" customFormat="1" ht="53.45" customHeight="1">
      <c r="H307" s="4"/>
      <c r="M307" s="4"/>
      <c r="R307" s="4"/>
      <c r="W307" s="4"/>
      <c r="AB307" s="4"/>
      <c r="AG307" s="4"/>
      <c r="AL307" s="4"/>
      <c r="AQ307" s="4"/>
      <c r="AV307" s="4"/>
      <c r="BA307" s="4"/>
    </row>
    <row r="308" spans="8:53" s="1" customFormat="1" ht="53.45" customHeight="1">
      <c r="H308" s="4"/>
      <c r="M308" s="4"/>
      <c r="R308" s="4"/>
      <c r="W308" s="4"/>
      <c r="AB308" s="4"/>
      <c r="AG308" s="4"/>
      <c r="AL308" s="4"/>
      <c r="AQ308" s="4"/>
      <c r="AV308" s="4"/>
      <c r="BA308" s="4"/>
    </row>
    <row r="309" spans="8:53" s="1" customFormat="1" ht="53.45" customHeight="1">
      <c r="H309" s="4"/>
      <c r="M309" s="4"/>
      <c r="R309" s="4"/>
      <c r="W309" s="4"/>
      <c r="AB309" s="4"/>
      <c r="AG309" s="4"/>
      <c r="AL309" s="4"/>
      <c r="AQ309" s="4"/>
      <c r="AV309" s="4"/>
      <c r="BA309" s="4"/>
    </row>
    <row r="310" spans="8:53" s="1" customFormat="1" ht="53.45" customHeight="1">
      <c r="H310" s="4"/>
      <c r="M310" s="4"/>
      <c r="R310" s="4"/>
      <c r="W310" s="4"/>
      <c r="AB310" s="4"/>
      <c r="AG310" s="4"/>
      <c r="AL310" s="4"/>
      <c r="AQ310" s="4"/>
      <c r="AV310" s="4"/>
      <c r="BA310" s="4"/>
    </row>
    <row r="311" spans="8:53" s="1" customFormat="1" ht="53.45" customHeight="1">
      <c r="H311" s="4"/>
      <c r="M311" s="4"/>
      <c r="R311" s="4"/>
      <c r="W311" s="4"/>
      <c r="AB311" s="4"/>
      <c r="AG311" s="4"/>
      <c r="AL311" s="4"/>
      <c r="AQ311" s="4"/>
      <c r="AV311" s="4"/>
      <c r="BA311" s="4"/>
    </row>
    <row r="312" spans="8:53" s="1" customFormat="1" ht="53.45" customHeight="1">
      <c r="H312" s="4"/>
      <c r="M312" s="4"/>
      <c r="R312" s="4"/>
      <c r="W312" s="4"/>
      <c r="AB312" s="4"/>
      <c r="AG312" s="4"/>
      <c r="AL312" s="4"/>
      <c r="AQ312" s="4"/>
      <c r="AV312" s="4"/>
      <c r="BA312" s="4"/>
    </row>
    <row r="313" spans="8:53" s="1" customFormat="1" ht="53.45" customHeight="1">
      <c r="H313" s="4"/>
      <c r="M313" s="4"/>
      <c r="R313" s="4"/>
      <c r="W313" s="4"/>
      <c r="AB313" s="4"/>
      <c r="AG313" s="4"/>
      <c r="AL313" s="4"/>
      <c r="AQ313" s="4"/>
      <c r="AV313" s="4"/>
      <c r="BA313" s="4"/>
    </row>
    <row r="314" spans="8:53" s="1" customFormat="1" ht="53.45" customHeight="1">
      <c r="H314" s="4"/>
      <c r="M314" s="4"/>
      <c r="R314" s="4"/>
      <c r="W314" s="4"/>
      <c r="AB314" s="4"/>
      <c r="AG314" s="4"/>
      <c r="AL314" s="4"/>
      <c r="AQ314" s="4"/>
      <c r="AV314" s="4"/>
      <c r="BA314" s="4"/>
    </row>
    <row r="315" spans="8:53" s="1" customFormat="1" ht="53.45" customHeight="1">
      <c r="H315" s="4"/>
      <c r="M315" s="4"/>
      <c r="R315" s="4"/>
      <c r="W315" s="4"/>
      <c r="AB315" s="4"/>
      <c r="AG315" s="4"/>
      <c r="AL315" s="4"/>
      <c r="AQ315" s="4"/>
      <c r="AV315" s="4"/>
      <c r="BA315" s="4"/>
    </row>
    <row r="316" spans="8:53" s="1" customFormat="1" ht="53.45" customHeight="1">
      <c r="H316" s="4"/>
      <c r="M316" s="4"/>
      <c r="R316" s="4"/>
      <c r="W316" s="4"/>
      <c r="AB316" s="4"/>
      <c r="AG316" s="4"/>
      <c r="AL316" s="4"/>
      <c r="AQ316" s="4"/>
      <c r="AV316" s="4"/>
      <c r="BA316" s="4"/>
    </row>
    <row r="317" spans="8:53" s="1" customFormat="1" ht="53.45" customHeight="1">
      <c r="H317" s="4"/>
      <c r="M317" s="4"/>
      <c r="R317" s="4"/>
      <c r="W317" s="4"/>
      <c r="AB317" s="4"/>
      <c r="AG317" s="4"/>
      <c r="AL317" s="4"/>
      <c r="AQ317" s="4"/>
      <c r="AV317" s="4"/>
      <c r="BA317" s="4"/>
    </row>
    <row r="318" spans="8:53" s="1" customFormat="1" ht="53.45" customHeight="1">
      <c r="H318" s="4"/>
      <c r="M318" s="4"/>
      <c r="R318" s="4"/>
      <c r="W318" s="4"/>
      <c r="AB318" s="4"/>
      <c r="AG318" s="4"/>
      <c r="AL318" s="4"/>
      <c r="AQ318" s="4"/>
      <c r="AV318" s="4"/>
      <c r="BA318" s="4"/>
    </row>
    <row r="319" spans="8:53" s="1" customFormat="1" ht="53.45" customHeight="1">
      <c r="H319" s="4"/>
      <c r="M319" s="4"/>
      <c r="R319" s="4"/>
      <c r="W319" s="4"/>
      <c r="AB319" s="4"/>
      <c r="AG319" s="4"/>
      <c r="AL319" s="4"/>
      <c r="AQ319" s="4"/>
      <c r="AV319" s="4"/>
      <c r="BA319" s="4"/>
    </row>
    <row r="320" spans="8:53" s="1" customFormat="1" ht="53.45" customHeight="1">
      <c r="H320" s="4"/>
      <c r="M320" s="4"/>
      <c r="R320" s="4"/>
      <c r="W320" s="4"/>
      <c r="AB320" s="4"/>
      <c r="AG320" s="4"/>
      <c r="AL320" s="4"/>
      <c r="AQ320" s="4"/>
      <c r="AV320" s="4"/>
      <c r="BA320" s="4"/>
    </row>
    <row r="321" spans="8:53" s="1" customFormat="1" ht="53.45" customHeight="1">
      <c r="H321" s="4"/>
      <c r="M321" s="4"/>
      <c r="R321" s="4"/>
      <c r="W321" s="4"/>
      <c r="AB321" s="4"/>
      <c r="AG321" s="4"/>
      <c r="AL321" s="4"/>
      <c r="AQ321" s="4"/>
      <c r="AV321" s="4"/>
      <c r="BA321" s="4"/>
    </row>
    <row r="322" spans="8:53" s="1" customFormat="1" ht="53.45" customHeight="1">
      <c r="H322" s="4"/>
      <c r="M322" s="4"/>
      <c r="R322" s="4"/>
      <c r="W322" s="4"/>
      <c r="AB322" s="4"/>
      <c r="AG322" s="4"/>
      <c r="AL322" s="4"/>
      <c r="AQ322" s="4"/>
      <c r="AV322" s="4"/>
      <c r="BA322" s="4"/>
    </row>
    <row r="323" spans="8:53" s="1" customFormat="1" ht="53.45" customHeight="1">
      <c r="H323" s="4"/>
      <c r="M323" s="4"/>
      <c r="R323" s="4"/>
      <c r="W323" s="4"/>
      <c r="AB323" s="4"/>
      <c r="AG323" s="4"/>
      <c r="AL323" s="4"/>
      <c r="AQ323" s="4"/>
      <c r="AV323" s="4"/>
      <c r="BA323" s="4"/>
    </row>
    <row r="324" spans="8:53" s="1" customFormat="1" ht="53.45" customHeight="1">
      <c r="H324" s="4"/>
      <c r="M324" s="4"/>
      <c r="R324" s="4"/>
      <c r="W324" s="4"/>
      <c r="AB324" s="4"/>
      <c r="AG324" s="4"/>
      <c r="AL324" s="4"/>
      <c r="AQ324" s="4"/>
      <c r="AV324" s="4"/>
      <c r="BA324" s="4"/>
    </row>
    <row r="325" spans="8:53" s="1" customFormat="1" ht="53.45" customHeight="1">
      <c r="H325" s="4"/>
      <c r="M325" s="4"/>
      <c r="R325" s="4"/>
      <c r="W325" s="4"/>
      <c r="AB325" s="4"/>
      <c r="AG325" s="4"/>
      <c r="AL325" s="4"/>
      <c r="AQ325" s="4"/>
      <c r="AV325" s="4"/>
      <c r="BA325" s="4"/>
    </row>
    <row r="326" spans="8:53" s="1" customFormat="1" ht="53.45" customHeight="1">
      <c r="H326" s="4"/>
      <c r="M326" s="4"/>
      <c r="R326" s="4"/>
      <c r="W326" s="4"/>
      <c r="AB326" s="4"/>
      <c r="AG326" s="4"/>
      <c r="AL326" s="4"/>
      <c r="AQ326" s="4"/>
      <c r="AV326" s="4"/>
      <c r="BA326" s="4"/>
    </row>
    <row r="327" spans="8:53" s="1" customFormat="1" ht="53.45" customHeight="1">
      <c r="H327" s="4"/>
      <c r="M327" s="4"/>
      <c r="R327" s="4"/>
      <c r="W327" s="4"/>
      <c r="AB327" s="4"/>
      <c r="AG327" s="4"/>
      <c r="AL327" s="4"/>
      <c r="AQ327" s="4"/>
      <c r="AV327" s="4"/>
      <c r="BA327" s="4"/>
    </row>
    <row r="328" spans="8:53" s="1" customFormat="1" ht="53.45" customHeight="1">
      <c r="H328" s="4"/>
      <c r="M328" s="4"/>
      <c r="R328" s="4"/>
      <c r="W328" s="4"/>
      <c r="AB328" s="4"/>
      <c r="AG328" s="4"/>
      <c r="AL328" s="4"/>
      <c r="AQ328" s="4"/>
      <c r="AV328" s="4"/>
      <c r="BA328" s="4"/>
    </row>
    <row r="329" spans="8:53" s="1" customFormat="1" ht="53.45" customHeight="1">
      <c r="H329" s="4"/>
      <c r="M329" s="4"/>
      <c r="R329" s="4"/>
      <c r="W329" s="4"/>
      <c r="AB329" s="4"/>
      <c r="AG329" s="4"/>
      <c r="AL329" s="4"/>
      <c r="AQ329" s="4"/>
      <c r="AV329" s="4"/>
      <c r="BA329" s="4"/>
    </row>
    <row r="330" spans="8:53" s="1" customFormat="1" ht="53.45" customHeight="1">
      <c r="H330" s="4"/>
      <c r="M330" s="4"/>
      <c r="R330" s="4"/>
      <c r="W330" s="4"/>
      <c r="AB330" s="4"/>
      <c r="AG330" s="4"/>
      <c r="AL330" s="4"/>
      <c r="AQ330" s="4"/>
      <c r="AV330" s="4"/>
      <c r="BA330" s="4"/>
    </row>
    <row r="331" spans="8:53" s="1" customFormat="1" ht="53.45" customHeight="1">
      <c r="H331" s="4"/>
      <c r="M331" s="4"/>
      <c r="R331" s="4"/>
      <c r="W331" s="4"/>
      <c r="AB331" s="4"/>
      <c r="AG331" s="4"/>
      <c r="AL331" s="4"/>
      <c r="AQ331" s="4"/>
      <c r="AV331" s="4"/>
      <c r="BA331" s="4"/>
    </row>
    <row r="332" spans="8:53" s="1" customFormat="1" ht="53.45" customHeight="1">
      <c r="H332" s="4"/>
      <c r="M332" s="4"/>
      <c r="R332" s="4"/>
      <c r="W332" s="4"/>
      <c r="AB332" s="4"/>
      <c r="AG332" s="4"/>
      <c r="AL332" s="4"/>
      <c r="AQ332" s="4"/>
      <c r="AV332" s="4"/>
      <c r="BA332" s="4"/>
    </row>
    <row r="333" spans="8:53" s="1" customFormat="1" ht="53.45" customHeight="1">
      <c r="H333" s="4"/>
      <c r="M333" s="4"/>
      <c r="R333" s="4"/>
      <c r="W333" s="4"/>
      <c r="AB333" s="4"/>
      <c r="AG333" s="4"/>
      <c r="AL333" s="4"/>
      <c r="AQ333" s="4"/>
      <c r="AV333" s="4"/>
      <c r="BA333" s="4"/>
    </row>
    <row r="334" spans="8:53" s="1" customFormat="1" ht="53.45" customHeight="1">
      <c r="H334" s="4"/>
      <c r="M334" s="4"/>
      <c r="R334" s="4"/>
      <c r="W334" s="4"/>
      <c r="AB334" s="4"/>
      <c r="AG334" s="4"/>
      <c r="AL334" s="4"/>
      <c r="AQ334" s="4"/>
      <c r="AV334" s="4"/>
      <c r="BA334" s="4"/>
    </row>
    <row r="335" spans="8:53" s="1" customFormat="1" ht="53.45" customHeight="1">
      <c r="H335" s="4"/>
      <c r="M335" s="4"/>
      <c r="R335" s="4"/>
      <c r="W335" s="4"/>
      <c r="AB335" s="4"/>
      <c r="AG335" s="4"/>
      <c r="AL335" s="4"/>
      <c r="AQ335" s="4"/>
      <c r="AV335" s="4"/>
      <c r="BA335" s="4"/>
    </row>
    <row r="336" spans="8:53" s="1" customFormat="1" ht="53.45" customHeight="1">
      <c r="H336" s="4"/>
      <c r="M336" s="4"/>
      <c r="R336" s="4"/>
      <c r="W336" s="4"/>
      <c r="AB336" s="4"/>
      <c r="AG336" s="4"/>
      <c r="AL336" s="4"/>
      <c r="AQ336" s="4"/>
      <c r="AV336" s="4"/>
      <c r="BA336" s="4"/>
    </row>
    <row r="337" spans="8:53" s="1" customFormat="1" ht="53.45" customHeight="1">
      <c r="H337" s="4"/>
      <c r="M337" s="4"/>
      <c r="R337" s="4"/>
      <c r="W337" s="4"/>
      <c r="AB337" s="4"/>
      <c r="AG337" s="4"/>
      <c r="AL337" s="4"/>
      <c r="AQ337" s="4"/>
      <c r="AV337" s="4"/>
      <c r="BA337" s="4"/>
    </row>
    <row r="338" spans="8:53" s="1" customFormat="1" ht="53.45" customHeight="1">
      <c r="H338" s="4"/>
      <c r="M338" s="4"/>
      <c r="R338" s="4"/>
      <c r="W338" s="4"/>
      <c r="AB338" s="4"/>
      <c r="AG338" s="4"/>
      <c r="AL338" s="4"/>
      <c r="AQ338" s="4"/>
      <c r="AV338" s="4"/>
      <c r="BA338" s="4"/>
    </row>
    <row r="339" spans="8:53" s="1" customFormat="1" ht="53.45" customHeight="1">
      <c r="H339" s="4"/>
      <c r="M339" s="4"/>
      <c r="R339" s="4"/>
      <c r="W339" s="4"/>
      <c r="AB339" s="4"/>
      <c r="AG339" s="4"/>
      <c r="AL339" s="4"/>
      <c r="AQ339" s="4"/>
      <c r="AV339" s="4"/>
      <c r="BA339" s="4"/>
    </row>
    <row r="340" spans="8:53" s="1" customFormat="1" ht="53.45" customHeight="1">
      <c r="H340" s="4"/>
      <c r="M340" s="4"/>
      <c r="R340" s="4"/>
      <c r="W340" s="4"/>
      <c r="AB340" s="4"/>
      <c r="AG340" s="4"/>
      <c r="AL340" s="4"/>
      <c r="AQ340" s="4"/>
      <c r="AV340" s="4"/>
      <c r="BA340" s="4"/>
    </row>
    <row r="341" spans="8:53" s="1" customFormat="1" ht="53.45" customHeight="1">
      <c r="H341" s="4"/>
      <c r="M341" s="4"/>
      <c r="R341" s="4"/>
      <c r="W341" s="4"/>
      <c r="AB341" s="4"/>
      <c r="AG341" s="4"/>
      <c r="AL341" s="4"/>
      <c r="AQ341" s="4"/>
      <c r="AV341" s="4"/>
      <c r="BA341" s="4"/>
    </row>
    <row r="342" spans="8:53" s="1" customFormat="1" ht="53.45" customHeight="1">
      <c r="H342" s="4"/>
      <c r="M342" s="4"/>
      <c r="R342" s="4"/>
      <c r="W342" s="4"/>
      <c r="AB342" s="4"/>
      <c r="AG342" s="4"/>
      <c r="AL342" s="4"/>
      <c r="AQ342" s="4"/>
      <c r="AV342" s="4"/>
      <c r="BA342" s="4"/>
    </row>
    <row r="343" spans="8:53" s="1" customFormat="1" ht="53.45" customHeight="1">
      <c r="H343" s="4"/>
      <c r="M343" s="4"/>
      <c r="R343" s="4"/>
      <c r="W343" s="4"/>
      <c r="AB343" s="4"/>
      <c r="AG343" s="4"/>
      <c r="AL343" s="4"/>
      <c r="AQ343" s="4"/>
      <c r="AV343" s="4"/>
      <c r="BA343" s="4"/>
    </row>
    <row r="344" spans="8:53" s="1" customFormat="1" ht="53.45" customHeight="1">
      <c r="H344" s="4"/>
      <c r="M344" s="4"/>
      <c r="R344" s="4"/>
      <c r="W344" s="4"/>
      <c r="AB344" s="4"/>
      <c r="AG344" s="4"/>
      <c r="AL344" s="4"/>
      <c r="AQ344" s="4"/>
      <c r="AV344" s="4"/>
      <c r="BA344" s="4"/>
    </row>
    <row r="345" spans="8:53" s="1" customFormat="1" ht="53.45" customHeight="1">
      <c r="H345" s="4"/>
      <c r="M345" s="4"/>
      <c r="R345" s="4"/>
      <c r="W345" s="4"/>
      <c r="AB345" s="4"/>
      <c r="AG345" s="4"/>
      <c r="AL345" s="4"/>
      <c r="AQ345" s="4"/>
      <c r="AV345" s="4"/>
      <c r="BA345" s="4"/>
    </row>
    <row r="346" spans="8:53" s="1" customFormat="1" ht="53.45" customHeight="1">
      <c r="H346" s="4"/>
      <c r="M346" s="4"/>
      <c r="R346" s="4"/>
      <c r="W346" s="4"/>
      <c r="AB346" s="4"/>
      <c r="AG346" s="4"/>
      <c r="AL346" s="4"/>
      <c r="AQ346" s="4"/>
      <c r="AV346" s="4"/>
      <c r="BA346" s="4"/>
    </row>
    <row r="347" spans="8:53" s="1" customFormat="1" ht="53.45" customHeight="1">
      <c r="H347" s="4"/>
      <c r="M347" s="4"/>
      <c r="R347" s="4"/>
      <c r="W347" s="4"/>
      <c r="AB347" s="4"/>
      <c r="AG347" s="4"/>
      <c r="AL347" s="4"/>
      <c r="AQ347" s="4"/>
      <c r="AV347" s="4"/>
      <c r="BA347" s="4"/>
    </row>
    <row r="348" spans="8:53" s="1" customFormat="1" ht="53.45" customHeight="1">
      <c r="H348" s="4"/>
      <c r="M348" s="4"/>
      <c r="R348" s="4"/>
      <c r="W348" s="4"/>
      <c r="AB348" s="4"/>
      <c r="AG348" s="4"/>
      <c r="AL348" s="4"/>
      <c r="AQ348" s="4"/>
      <c r="AV348" s="4"/>
      <c r="BA348" s="4"/>
    </row>
    <row r="349" spans="8:53" s="1" customFormat="1" ht="53.45" customHeight="1">
      <c r="H349" s="4"/>
      <c r="M349" s="4"/>
      <c r="R349" s="4"/>
      <c r="W349" s="4"/>
      <c r="AB349" s="4"/>
      <c r="AG349" s="4"/>
      <c r="AL349" s="4"/>
      <c r="AQ349" s="4"/>
      <c r="AV349" s="4"/>
      <c r="BA349" s="4"/>
    </row>
    <row r="350" spans="8:53" s="1" customFormat="1" ht="53.45" customHeight="1">
      <c r="H350" s="4"/>
      <c r="M350" s="4"/>
      <c r="R350" s="4"/>
      <c r="W350" s="4"/>
      <c r="AB350" s="4"/>
      <c r="AG350" s="4"/>
      <c r="AL350" s="4"/>
      <c r="AQ350" s="4"/>
      <c r="AV350" s="4"/>
      <c r="BA350" s="4"/>
    </row>
    <row r="351" spans="8:53" s="1" customFormat="1" ht="53.45" customHeight="1">
      <c r="H351" s="4"/>
      <c r="M351" s="4"/>
      <c r="R351" s="4"/>
      <c r="W351" s="4"/>
      <c r="AB351" s="4"/>
      <c r="AG351" s="4"/>
      <c r="AL351" s="4"/>
      <c r="AQ351" s="4"/>
      <c r="AV351" s="4"/>
      <c r="BA351" s="4"/>
    </row>
    <row r="352" spans="8:53" s="1" customFormat="1" ht="53.45" customHeight="1">
      <c r="H352" s="4"/>
      <c r="M352" s="4"/>
      <c r="R352" s="4"/>
      <c r="W352" s="4"/>
      <c r="AB352" s="4"/>
      <c r="AG352" s="4"/>
      <c r="AL352" s="4"/>
      <c r="AQ352" s="4"/>
      <c r="AV352" s="4"/>
      <c r="BA352" s="4"/>
    </row>
    <row r="353" spans="8:53" s="1" customFormat="1" ht="53.45" customHeight="1">
      <c r="H353" s="4"/>
      <c r="M353" s="4"/>
      <c r="R353" s="4"/>
      <c r="W353" s="4"/>
      <c r="AB353" s="4"/>
      <c r="AG353" s="4"/>
      <c r="AL353" s="4"/>
      <c r="AQ353" s="4"/>
      <c r="AV353" s="4"/>
      <c r="BA353" s="4"/>
    </row>
    <row r="354" spans="8:53" s="1" customFormat="1" ht="53.45" customHeight="1">
      <c r="H354" s="4"/>
      <c r="M354" s="4"/>
      <c r="R354" s="4"/>
      <c r="W354" s="4"/>
      <c r="AB354" s="4"/>
      <c r="AG354" s="4"/>
      <c r="AL354" s="4"/>
      <c r="AQ354" s="4"/>
      <c r="AV354" s="4"/>
      <c r="BA354" s="4"/>
    </row>
    <row r="355" spans="8:53" s="1" customFormat="1" ht="53.45" customHeight="1">
      <c r="H355" s="4"/>
      <c r="M355" s="4"/>
      <c r="R355" s="4"/>
      <c r="W355" s="4"/>
      <c r="AB355" s="4"/>
      <c r="AG355" s="4"/>
      <c r="AL355" s="4"/>
      <c r="AQ355" s="4"/>
      <c r="AV355" s="4"/>
      <c r="BA355" s="4"/>
    </row>
    <row r="356" spans="8:53" s="1" customFormat="1" ht="53.45" customHeight="1">
      <c r="H356" s="4"/>
      <c r="M356" s="4"/>
      <c r="R356" s="4"/>
      <c r="W356" s="4"/>
      <c r="AB356" s="4"/>
      <c r="AG356" s="4"/>
      <c r="AL356" s="4"/>
      <c r="AQ356" s="4"/>
      <c r="AV356" s="4"/>
      <c r="BA356" s="4"/>
    </row>
    <row r="357" spans="8:53" s="1" customFormat="1" ht="53.45" customHeight="1">
      <c r="H357" s="4"/>
      <c r="M357" s="4"/>
      <c r="R357" s="4"/>
      <c r="W357" s="4"/>
      <c r="AB357" s="4"/>
      <c r="AG357" s="4"/>
      <c r="AL357" s="4"/>
      <c r="AQ357" s="4"/>
      <c r="AV357" s="4"/>
      <c r="BA357" s="4"/>
    </row>
    <row r="358" spans="8:53" s="1" customFormat="1" ht="53.45" customHeight="1">
      <c r="H358" s="4"/>
      <c r="M358" s="4"/>
      <c r="R358" s="4"/>
      <c r="W358" s="4"/>
      <c r="AB358" s="4"/>
      <c r="AG358" s="4"/>
      <c r="AL358" s="4"/>
      <c r="AQ358" s="4"/>
      <c r="AV358" s="4"/>
      <c r="BA358" s="4"/>
    </row>
    <row r="359" spans="8:53" s="1" customFormat="1" ht="53.45" customHeight="1">
      <c r="H359" s="4"/>
      <c r="M359" s="4"/>
      <c r="R359" s="4"/>
      <c r="W359" s="4"/>
      <c r="AB359" s="4"/>
      <c r="AG359" s="4"/>
      <c r="AL359" s="4"/>
      <c r="AQ359" s="4"/>
      <c r="AV359" s="4"/>
      <c r="BA359" s="4"/>
    </row>
    <row r="360" spans="8:53" s="1" customFormat="1" ht="53.45" customHeight="1">
      <c r="H360" s="4"/>
      <c r="M360" s="4"/>
      <c r="R360" s="4"/>
      <c r="W360" s="4"/>
      <c r="AB360" s="4"/>
      <c r="AG360" s="4"/>
      <c r="AL360" s="4"/>
      <c r="AQ360" s="4"/>
      <c r="AV360" s="4"/>
      <c r="BA360" s="4"/>
    </row>
    <row r="361" spans="8:53" s="1" customFormat="1" ht="53.45" customHeight="1">
      <c r="H361" s="4"/>
      <c r="M361" s="4"/>
      <c r="R361" s="4"/>
      <c r="W361" s="4"/>
      <c r="AB361" s="4"/>
      <c r="AG361" s="4"/>
      <c r="AL361" s="4"/>
      <c r="AQ361" s="4"/>
      <c r="AV361" s="4"/>
      <c r="BA361" s="4"/>
    </row>
    <row r="362" spans="8:53" s="1" customFormat="1" ht="53.45" customHeight="1">
      <c r="H362" s="4"/>
      <c r="M362" s="4"/>
      <c r="R362" s="4"/>
      <c r="W362" s="4"/>
      <c r="AB362" s="4"/>
      <c r="AG362" s="4"/>
      <c r="AL362" s="4"/>
      <c r="AQ362" s="4"/>
      <c r="AV362" s="4"/>
      <c r="BA362" s="4"/>
    </row>
    <row r="363" spans="8:53" s="1" customFormat="1" ht="53.45" customHeight="1">
      <c r="H363" s="4"/>
      <c r="M363" s="4"/>
      <c r="R363" s="4"/>
      <c r="W363" s="4"/>
      <c r="AB363" s="4"/>
      <c r="AG363" s="4"/>
      <c r="AL363" s="4"/>
      <c r="AQ363" s="4"/>
      <c r="AV363" s="4"/>
      <c r="BA363" s="4"/>
    </row>
    <row r="364" spans="8:53" s="1" customFormat="1" ht="53.45" customHeight="1">
      <c r="H364" s="4"/>
      <c r="M364" s="4"/>
      <c r="R364" s="4"/>
      <c r="W364" s="4"/>
      <c r="AB364" s="4"/>
      <c r="AG364" s="4"/>
      <c r="AL364" s="4"/>
      <c r="AQ364" s="4"/>
      <c r="AV364" s="4"/>
      <c r="BA364" s="4"/>
    </row>
    <row r="365" spans="8:53" s="1" customFormat="1" ht="53.45" customHeight="1">
      <c r="H365" s="4"/>
      <c r="M365" s="4"/>
      <c r="R365" s="4"/>
      <c r="W365" s="4"/>
      <c r="AB365" s="4"/>
      <c r="AG365" s="4"/>
      <c r="AL365" s="4"/>
      <c r="AQ365" s="4"/>
      <c r="AV365" s="4"/>
      <c r="BA365" s="4"/>
    </row>
    <row r="366" spans="8:53" s="1" customFormat="1" ht="53.45" customHeight="1">
      <c r="H366" s="4"/>
      <c r="M366" s="4"/>
      <c r="R366" s="4"/>
      <c r="W366" s="4"/>
      <c r="AB366" s="4"/>
      <c r="AG366" s="4"/>
      <c r="AL366" s="4"/>
      <c r="AQ366" s="4"/>
      <c r="AV366" s="4"/>
      <c r="BA366" s="4"/>
    </row>
    <row r="367" spans="8:53" s="1" customFormat="1" ht="53.45" customHeight="1">
      <c r="H367" s="4"/>
      <c r="M367" s="4"/>
      <c r="R367" s="4"/>
      <c r="W367" s="4"/>
      <c r="AB367" s="4"/>
      <c r="AG367" s="4"/>
      <c r="AL367" s="4"/>
      <c r="AQ367" s="4"/>
      <c r="AV367" s="4"/>
      <c r="BA367" s="4"/>
    </row>
    <row r="368" spans="8:53" s="1" customFormat="1" ht="53.45" customHeight="1">
      <c r="H368" s="4"/>
      <c r="M368" s="4"/>
      <c r="R368" s="4"/>
      <c r="W368" s="4"/>
      <c r="AB368" s="4"/>
      <c r="AG368" s="4"/>
      <c r="AL368" s="4"/>
      <c r="AQ368" s="4"/>
      <c r="AV368" s="4"/>
      <c r="BA368" s="4"/>
    </row>
    <row r="369" spans="8:53" s="1" customFormat="1" ht="53.45" customHeight="1">
      <c r="H369" s="4"/>
      <c r="M369" s="4"/>
      <c r="R369" s="4"/>
      <c r="W369" s="4"/>
      <c r="AB369" s="4"/>
      <c r="AG369" s="4"/>
      <c r="AL369" s="4"/>
      <c r="AQ369" s="4"/>
      <c r="AV369" s="4"/>
      <c r="BA369" s="4"/>
    </row>
    <row r="370" spans="8:53" s="1" customFormat="1" ht="53.45" customHeight="1">
      <c r="H370" s="4"/>
      <c r="M370" s="4"/>
      <c r="R370" s="4"/>
      <c r="W370" s="4"/>
      <c r="AB370" s="4"/>
      <c r="AG370" s="4"/>
      <c r="AL370" s="4"/>
      <c r="AQ370" s="4"/>
      <c r="AV370" s="4"/>
      <c r="BA370" s="4"/>
    </row>
    <row r="371" spans="8:53" s="1" customFormat="1" ht="53.45" customHeight="1">
      <c r="H371" s="4"/>
      <c r="M371" s="4"/>
      <c r="R371" s="4"/>
      <c r="W371" s="4"/>
      <c r="AB371" s="4"/>
      <c r="AG371" s="4"/>
      <c r="AL371" s="4"/>
      <c r="AQ371" s="4"/>
      <c r="AV371" s="4"/>
      <c r="BA371" s="4"/>
    </row>
    <row r="372" spans="8:53" s="1" customFormat="1" ht="53.45" customHeight="1">
      <c r="H372" s="4"/>
      <c r="M372" s="4"/>
      <c r="R372" s="4"/>
      <c r="W372" s="4"/>
      <c r="AB372" s="4"/>
      <c r="AG372" s="4"/>
      <c r="AL372" s="4"/>
      <c r="AQ372" s="4"/>
      <c r="AV372" s="4"/>
      <c r="BA372" s="4"/>
    </row>
    <row r="373" spans="8:53" s="1" customFormat="1" ht="53.45" customHeight="1">
      <c r="H373" s="4"/>
      <c r="M373" s="4"/>
      <c r="R373" s="4"/>
      <c r="W373" s="4"/>
      <c r="AB373" s="4"/>
      <c r="AG373" s="4"/>
      <c r="AL373" s="4"/>
      <c r="AQ373" s="4"/>
      <c r="AV373" s="4"/>
      <c r="BA373" s="4"/>
    </row>
    <row r="374" spans="8:53" s="1" customFormat="1" ht="53.45" customHeight="1">
      <c r="H374" s="4"/>
      <c r="M374" s="4"/>
      <c r="R374" s="4"/>
      <c r="W374" s="4"/>
      <c r="AB374" s="4"/>
      <c r="AG374" s="4"/>
      <c r="AL374" s="4"/>
      <c r="AQ374" s="4"/>
      <c r="AV374" s="4"/>
      <c r="BA374" s="4"/>
    </row>
    <row r="375" spans="8:53" s="1" customFormat="1" ht="53.45" customHeight="1">
      <c r="H375" s="4"/>
      <c r="M375" s="4"/>
      <c r="R375" s="4"/>
      <c r="W375" s="4"/>
      <c r="AB375" s="4"/>
      <c r="AG375" s="4"/>
      <c r="AL375" s="4"/>
      <c r="AQ375" s="4"/>
      <c r="AV375" s="4"/>
      <c r="BA375" s="4"/>
    </row>
    <row r="376" spans="8:53" s="1" customFormat="1" ht="53.45" customHeight="1">
      <c r="H376" s="4"/>
      <c r="M376" s="4"/>
      <c r="R376" s="4"/>
      <c r="W376" s="4"/>
      <c r="AB376" s="4"/>
      <c r="AG376" s="4"/>
      <c r="AL376" s="4"/>
      <c r="AQ376" s="4"/>
      <c r="AV376" s="4"/>
      <c r="BA376" s="4"/>
    </row>
    <row r="377" spans="8:53" s="1" customFormat="1" ht="53.45" customHeight="1">
      <c r="H377" s="4"/>
      <c r="M377" s="4"/>
      <c r="R377" s="4"/>
      <c r="W377" s="4"/>
      <c r="AB377" s="4"/>
      <c r="AG377" s="4"/>
      <c r="AL377" s="4"/>
      <c r="AQ377" s="4"/>
      <c r="AV377" s="4"/>
      <c r="BA377" s="4"/>
    </row>
    <row r="378" spans="8:53" s="1" customFormat="1" ht="53.45" customHeight="1">
      <c r="H378" s="4"/>
      <c r="M378" s="4"/>
      <c r="R378" s="4"/>
      <c r="W378" s="4"/>
      <c r="AB378" s="4"/>
      <c r="AG378" s="4"/>
      <c r="AL378" s="4"/>
      <c r="AQ378" s="4"/>
      <c r="AV378" s="4"/>
      <c r="BA378" s="4"/>
    </row>
    <row r="379" spans="8:53" s="1" customFormat="1" ht="53.45" customHeight="1">
      <c r="H379" s="4"/>
      <c r="M379" s="4"/>
      <c r="R379" s="4"/>
      <c r="W379" s="4"/>
      <c r="AB379" s="4"/>
      <c r="AG379" s="4"/>
      <c r="AL379" s="4"/>
      <c r="AQ379" s="4"/>
      <c r="AV379" s="4"/>
      <c r="BA379" s="4"/>
    </row>
    <row r="380" spans="8:53" s="1" customFormat="1" ht="53.45" customHeight="1">
      <c r="H380" s="4"/>
      <c r="M380" s="4"/>
      <c r="R380" s="4"/>
      <c r="W380" s="4"/>
      <c r="AB380" s="4"/>
      <c r="AG380" s="4"/>
      <c r="AL380" s="4"/>
      <c r="AQ380" s="4"/>
      <c r="AV380" s="4"/>
      <c r="BA380" s="4"/>
    </row>
    <row r="381" spans="8:53" s="1" customFormat="1" ht="53.45" customHeight="1">
      <c r="H381" s="4"/>
      <c r="M381" s="4"/>
      <c r="R381" s="4"/>
      <c r="W381" s="4"/>
      <c r="AB381" s="4"/>
      <c r="AG381" s="4"/>
      <c r="AL381" s="4"/>
      <c r="AQ381" s="4"/>
      <c r="AV381" s="4"/>
      <c r="BA381" s="4"/>
    </row>
    <row r="382" spans="8:53" s="1" customFormat="1" ht="53.45" customHeight="1">
      <c r="H382" s="4"/>
      <c r="M382" s="4"/>
      <c r="R382" s="4"/>
      <c r="W382" s="4"/>
      <c r="AB382" s="4"/>
      <c r="AG382" s="4"/>
      <c r="AL382" s="4"/>
      <c r="AQ382" s="4"/>
      <c r="AV382" s="4"/>
      <c r="BA382" s="4"/>
    </row>
    <row r="383" spans="8:53" s="1" customFormat="1" ht="53.45" customHeight="1">
      <c r="H383" s="4"/>
      <c r="M383" s="4"/>
      <c r="R383" s="4"/>
      <c r="W383" s="4"/>
      <c r="AB383" s="4"/>
      <c r="AG383" s="4"/>
      <c r="AL383" s="4"/>
      <c r="AQ383" s="4"/>
      <c r="AV383" s="4"/>
      <c r="BA383" s="4"/>
    </row>
    <row r="384" spans="8:53" s="1" customFormat="1" ht="53.45" customHeight="1">
      <c r="H384" s="4"/>
      <c r="M384" s="4"/>
      <c r="R384" s="4"/>
      <c r="W384" s="4"/>
      <c r="AB384" s="4"/>
      <c r="AG384" s="4"/>
      <c r="AL384" s="4"/>
      <c r="AQ384" s="4"/>
      <c r="AV384" s="4"/>
      <c r="BA384" s="4"/>
    </row>
    <row r="385" spans="8:53" s="1" customFormat="1" ht="53.45" customHeight="1">
      <c r="H385" s="4"/>
      <c r="M385" s="4"/>
      <c r="R385" s="4"/>
      <c r="W385" s="4"/>
      <c r="AB385" s="4"/>
      <c r="AG385" s="4"/>
      <c r="AL385" s="4"/>
      <c r="AQ385" s="4"/>
      <c r="AV385" s="4"/>
      <c r="BA385" s="4"/>
    </row>
    <row r="386" spans="8:53" s="1" customFormat="1" ht="53.45" customHeight="1">
      <c r="H386" s="4"/>
      <c r="M386" s="4"/>
      <c r="R386" s="4"/>
      <c r="W386" s="4"/>
      <c r="AB386" s="4"/>
      <c r="AG386" s="4"/>
      <c r="AL386" s="4"/>
      <c r="AQ386" s="4"/>
      <c r="AV386" s="4"/>
      <c r="BA386" s="4"/>
    </row>
    <row r="387" spans="8:53" s="1" customFormat="1" ht="53.45" customHeight="1">
      <c r="H387" s="4"/>
      <c r="M387" s="4"/>
      <c r="R387" s="4"/>
      <c r="W387" s="4"/>
      <c r="AB387" s="4"/>
      <c r="AG387" s="4"/>
      <c r="AL387" s="4"/>
      <c r="AQ387" s="4"/>
      <c r="AV387" s="4"/>
      <c r="BA387" s="4"/>
    </row>
    <row r="388" spans="8:53" s="1" customFormat="1" ht="53.45" customHeight="1">
      <c r="H388" s="4"/>
      <c r="M388" s="4"/>
      <c r="R388" s="4"/>
      <c r="W388" s="4"/>
      <c r="AB388" s="4"/>
      <c r="AG388" s="4"/>
      <c r="AL388" s="4"/>
      <c r="AQ388" s="4"/>
      <c r="AV388" s="4"/>
      <c r="BA388" s="4"/>
    </row>
    <row r="389" spans="8:53" s="1" customFormat="1" ht="53.45" customHeight="1">
      <c r="H389" s="4"/>
      <c r="M389" s="4"/>
      <c r="R389" s="4"/>
      <c r="W389" s="4"/>
      <c r="AB389" s="4"/>
      <c r="AG389" s="4"/>
      <c r="AL389" s="4"/>
      <c r="AQ389" s="4"/>
      <c r="AV389" s="4"/>
      <c r="BA389" s="4"/>
    </row>
    <row r="390" spans="8:53" s="1" customFormat="1" ht="53.45" customHeight="1">
      <c r="H390" s="4"/>
      <c r="M390" s="4"/>
      <c r="R390" s="4"/>
      <c r="W390" s="4"/>
      <c r="AB390" s="4"/>
      <c r="AG390" s="4"/>
      <c r="AL390" s="4"/>
      <c r="AQ390" s="4"/>
      <c r="AV390" s="4"/>
      <c r="BA390" s="4"/>
    </row>
    <row r="391" spans="8:53" s="1" customFormat="1" ht="53.45" customHeight="1">
      <c r="H391" s="4"/>
      <c r="M391" s="4"/>
      <c r="R391" s="4"/>
      <c r="W391" s="4"/>
      <c r="AB391" s="4"/>
      <c r="AG391" s="4"/>
      <c r="AL391" s="4"/>
      <c r="AQ391" s="4"/>
      <c r="AV391" s="4"/>
      <c r="BA391" s="4"/>
    </row>
    <row r="392" spans="8:53" s="1" customFormat="1" ht="53.45" customHeight="1">
      <c r="H392" s="4"/>
      <c r="M392" s="4"/>
      <c r="R392" s="4"/>
      <c r="W392" s="4"/>
      <c r="AB392" s="4"/>
      <c r="AG392" s="4"/>
      <c r="AL392" s="4"/>
      <c r="AQ392" s="4"/>
      <c r="AV392" s="4"/>
      <c r="BA392" s="4"/>
    </row>
    <row r="393" spans="8:53" s="1" customFormat="1" ht="53.45" customHeight="1">
      <c r="H393" s="4"/>
      <c r="M393" s="4"/>
      <c r="R393" s="4"/>
      <c r="W393" s="4"/>
      <c r="AB393" s="4"/>
      <c r="AG393" s="4"/>
      <c r="AL393" s="4"/>
      <c r="AQ393" s="4"/>
      <c r="AV393" s="4"/>
      <c r="BA393" s="4"/>
    </row>
    <row r="394" spans="8:53" s="1" customFormat="1" ht="53.45" customHeight="1">
      <c r="H394" s="4"/>
      <c r="M394" s="4"/>
      <c r="R394" s="4"/>
      <c r="W394" s="4"/>
      <c r="AB394" s="4"/>
      <c r="AG394" s="4"/>
      <c r="AL394" s="4"/>
      <c r="AQ394" s="4"/>
      <c r="AV394" s="4"/>
      <c r="BA394" s="4"/>
    </row>
    <row r="395" spans="8:53" s="1" customFormat="1" ht="53.45" customHeight="1">
      <c r="H395" s="4"/>
      <c r="M395" s="4"/>
      <c r="R395" s="4"/>
      <c r="W395" s="4"/>
      <c r="AB395" s="4"/>
      <c r="AG395" s="4"/>
      <c r="AL395" s="4"/>
      <c r="AQ395" s="4"/>
      <c r="AV395" s="4"/>
      <c r="BA395" s="4"/>
    </row>
    <row r="396" spans="8:53" s="1" customFormat="1" ht="53.45" customHeight="1">
      <c r="H396" s="4"/>
      <c r="M396" s="4"/>
      <c r="R396" s="4"/>
      <c r="W396" s="4"/>
      <c r="AB396" s="4"/>
      <c r="AG396" s="4"/>
      <c r="AL396" s="4"/>
      <c r="AQ396" s="4"/>
      <c r="AV396" s="4"/>
      <c r="BA396" s="4"/>
    </row>
    <row r="397" spans="8:53" s="1" customFormat="1" ht="53.45" customHeight="1">
      <c r="H397" s="4"/>
      <c r="M397" s="4"/>
      <c r="R397" s="4"/>
      <c r="W397" s="4"/>
      <c r="AB397" s="4"/>
      <c r="AG397" s="4"/>
      <c r="AL397" s="4"/>
      <c r="AQ397" s="4"/>
      <c r="AV397" s="4"/>
      <c r="BA397" s="4"/>
    </row>
    <row r="398" spans="8:53" s="1" customFormat="1" ht="53.45" customHeight="1">
      <c r="H398" s="4"/>
      <c r="M398" s="4"/>
      <c r="R398" s="4"/>
      <c r="W398" s="4"/>
      <c r="AB398" s="4"/>
      <c r="AG398" s="4"/>
      <c r="AL398" s="4"/>
      <c r="AQ398" s="4"/>
      <c r="AV398" s="4"/>
      <c r="BA398" s="4"/>
    </row>
    <row r="399" spans="8:53" s="1" customFormat="1" ht="53.45" customHeight="1">
      <c r="H399" s="4"/>
      <c r="M399" s="4"/>
      <c r="R399" s="4"/>
      <c r="W399" s="4"/>
      <c r="AB399" s="4"/>
      <c r="AG399" s="4"/>
      <c r="AL399" s="4"/>
      <c r="AQ399" s="4"/>
      <c r="AV399" s="4"/>
      <c r="BA399" s="4"/>
    </row>
    <row r="400" spans="8:53" s="1" customFormat="1" ht="53.45" customHeight="1">
      <c r="H400" s="4"/>
      <c r="M400" s="4"/>
      <c r="R400" s="4"/>
      <c r="W400" s="4"/>
      <c r="AB400" s="4"/>
      <c r="AG400" s="4"/>
      <c r="AL400" s="4"/>
      <c r="AQ400" s="4"/>
      <c r="AV400" s="4"/>
      <c r="BA400" s="4"/>
    </row>
    <row r="401" spans="8:53" s="1" customFormat="1" ht="53.45" customHeight="1">
      <c r="H401" s="4"/>
      <c r="M401" s="4"/>
      <c r="R401" s="4"/>
      <c r="W401" s="4"/>
      <c r="AB401" s="4"/>
      <c r="AG401" s="4"/>
      <c r="AL401" s="4"/>
      <c r="AQ401" s="4"/>
      <c r="AV401" s="4"/>
      <c r="BA401" s="4"/>
    </row>
    <row r="402" spans="8:53" s="1" customFormat="1" ht="53.45" customHeight="1">
      <c r="H402" s="4"/>
      <c r="M402" s="4"/>
      <c r="R402" s="4"/>
      <c r="W402" s="4"/>
      <c r="AB402" s="4"/>
      <c r="AG402" s="4"/>
      <c r="AL402" s="4"/>
      <c r="AQ402" s="4"/>
      <c r="AV402" s="4"/>
      <c r="BA402" s="4"/>
    </row>
    <row r="403" spans="8:53" s="1" customFormat="1" ht="53.45" customHeight="1">
      <c r="H403" s="4"/>
      <c r="M403" s="4"/>
      <c r="R403" s="4"/>
      <c r="W403" s="4"/>
      <c r="AB403" s="4"/>
      <c r="AG403" s="4"/>
      <c r="AL403" s="4"/>
      <c r="AQ403" s="4"/>
      <c r="AV403" s="4"/>
      <c r="BA403" s="4"/>
    </row>
    <row r="404" spans="8:53" s="1" customFormat="1" ht="53.45" customHeight="1">
      <c r="H404" s="4"/>
      <c r="M404" s="4"/>
      <c r="R404" s="4"/>
      <c r="W404" s="4"/>
      <c r="AB404" s="4"/>
      <c r="AG404" s="4"/>
      <c r="AL404" s="4"/>
      <c r="AQ404" s="4"/>
      <c r="AV404" s="4"/>
      <c r="BA404" s="4"/>
    </row>
    <row r="405" spans="8:53" s="1" customFormat="1" ht="53.45" customHeight="1">
      <c r="H405" s="4"/>
      <c r="M405" s="4"/>
      <c r="R405" s="4"/>
      <c r="W405" s="4"/>
      <c r="AB405" s="4"/>
      <c r="AG405" s="4"/>
      <c r="AL405" s="4"/>
      <c r="AQ405" s="4"/>
      <c r="AV405" s="4"/>
      <c r="BA405" s="4"/>
    </row>
    <row r="406" spans="8:53" s="1" customFormat="1" ht="53.45" customHeight="1">
      <c r="H406" s="4"/>
      <c r="M406" s="4"/>
      <c r="R406" s="4"/>
      <c r="W406" s="4"/>
      <c r="AB406" s="4"/>
      <c r="AG406" s="4"/>
      <c r="AL406" s="4"/>
      <c r="AQ406" s="4"/>
      <c r="AV406" s="4"/>
      <c r="BA406" s="4"/>
    </row>
    <row r="407" spans="8:53" s="1" customFormat="1" ht="53.45" customHeight="1">
      <c r="H407" s="4"/>
      <c r="M407" s="4"/>
      <c r="R407" s="4"/>
      <c r="W407" s="4"/>
      <c r="AB407" s="4"/>
      <c r="AG407" s="4"/>
      <c r="AL407" s="4"/>
      <c r="AQ407" s="4"/>
      <c r="AV407" s="4"/>
      <c r="BA407" s="4"/>
    </row>
    <row r="408" spans="8:53" s="1" customFormat="1" ht="53.45" customHeight="1">
      <c r="H408" s="4"/>
      <c r="M408" s="4"/>
      <c r="R408" s="4"/>
      <c r="W408" s="4"/>
      <c r="AB408" s="4"/>
      <c r="AG408" s="4"/>
      <c r="AL408" s="4"/>
      <c r="AQ408" s="4"/>
      <c r="AV408" s="4"/>
      <c r="BA408" s="4"/>
    </row>
    <row r="409" spans="8:53" s="1" customFormat="1" ht="53.45" customHeight="1">
      <c r="H409" s="4"/>
      <c r="M409" s="4"/>
      <c r="R409" s="4"/>
      <c r="W409" s="4"/>
      <c r="AB409" s="4"/>
      <c r="AG409" s="4"/>
      <c r="AL409" s="4"/>
      <c r="AQ409" s="4"/>
      <c r="AV409" s="4"/>
      <c r="BA409" s="4"/>
    </row>
    <row r="410" spans="8:53" s="1" customFormat="1" ht="53.45" customHeight="1">
      <c r="H410" s="4"/>
      <c r="M410" s="4"/>
      <c r="R410" s="4"/>
      <c r="W410" s="4"/>
      <c r="AB410" s="4"/>
      <c r="AG410" s="4"/>
      <c r="AL410" s="4"/>
      <c r="AQ410" s="4"/>
      <c r="AV410" s="4"/>
      <c r="BA410" s="4"/>
    </row>
    <row r="411" spans="8:53" s="1" customFormat="1" ht="53.45" customHeight="1">
      <c r="H411" s="4"/>
      <c r="M411" s="4"/>
      <c r="R411" s="4"/>
      <c r="W411" s="4"/>
      <c r="AB411" s="4"/>
      <c r="AG411" s="4"/>
      <c r="AL411" s="4"/>
      <c r="AQ411" s="4"/>
      <c r="AV411" s="4"/>
      <c r="BA411" s="4"/>
    </row>
    <row r="412" spans="8:53" s="1" customFormat="1" ht="53.45" customHeight="1">
      <c r="H412" s="4"/>
      <c r="M412" s="4"/>
      <c r="R412" s="4"/>
      <c r="W412" s="4"/>
      <c r="AB412" s="4"/>
      <c r="AG412" s="4"/>
      <c r="AL412" s="4"/>
      <c r="AQ412" s="4"/>
      <c r="AV412" s="4"/>
      <c r="BA412" s="4"/>
    </row>
    <row r="413" spans="8:53" s="1" customFormat="1" ht="53.45" customHeight="1">
      <c r="H413" s="4"/>
      <c r="M413" s="4"/>
      <c r="R413" s="4"/>
      <c r="W413" s="4"/>
      <c r="AB413" s="4"/>
      <c r="AG413" s="4"/>
      <c r="AL413" s="4"/>
      <c r="AQ413" s="4"/>
      <c r="AV413" s="4"/>
      <c r="BA413" s="4"/>
    </row>
    <row r="414" spans="8:53" s="1" customFormat="1" ht="53.45" customHeight="1">
      <c r="H414" s="4"/>
      <c r="M414" s="4"/>
      <c r="R414" s="4"/>
      <c r="W414" s="4"/>
      <c r="AB414" s="4"/>
      <c r="AG414" s="4"/>
      <c r="AL414" s="4"/>
      <c r="AQ414" s="4"/>
      <c r="AV414" s="4"/>
      <c r="BA414" s="4"/>
    </row>
    <row r="415" spans="8:53" s="1" customFormat="1" ht="53.45" customHeight="1">
      <c r="H415" s="4"/>
      <c r="M415" s="4"/>
      <c r="R415" s="4"/>
      <c r="W415" s="4"/>
      <c r="AB415" s="4"/>
      <c r="AG415" s="4"/>
      <c r="AL415" s="4"/>
      <c r="AQ415" s="4"/>
      <c r="AV415" s="4"/>
      <c r="BA415" s="4"/>
    </row>
    <row r="416" spans="8:53" s="1" customFormat="1" ht="53.45" customHeight="1">
      <c r="H416" s="4"/>
      <c r="M416" s="4"/>
      <c r="R416" s="4"/>
      <c r="W416" s="4"/>
      <c r="AB416" s="4"/>
      <c r="AG416" s="4"/>
      <c r="AL416" s="4"/>
      <c r="AQ416" s="4"/>
      <c r="AV416" s="4"/>
      <c r="BA416" s="4"/>
    </row>
    <row r="417" spans="8:53" s="1" customFormat="1" ht="53.45" customHeight="1">
      <c r="H417" s="4"/>
      <c r="M417" s="4"/>
      <c r="R417" s="4"/>
      <c r="W417" s="4"/>
      <c r="AB417" s="4"/>
      <c r="AG417" s="4"/>
      <c r="AL417" s="4"/>
      <c r="AQ417" s="4"/>
      <c r="AV417" s="4"/>
      <c r="BA417" s="4"/>
    </row>
    <row r="418" spans="8:53" s="1" customFormat="1" ht="53.45" customHeight="1">
      <c r="H418" s="4"/>
      <c r="M418" s="4"/>
      <c r="R418" s="4"/>
      <c r="W418" s="4"/>
      <c r="AB418" s="4"/>
      <c r="AG418" s="4"/>
      <c r="AL418" s="4"/>
      <c r="AQ418" s="4"/>
      <c r="AV418" s="4"/>
      <c r="BA418" s="4"/>
    </row>
    <row r="419" spans="8:53" s="1" customFormat="1" ht="53.45" customHeight="1">
      <c r="H419" s="4"/>
      <c r="M419" s="4"/>
      <c r="R419" s="4"/>
      <c r="W419" s="4"/>
      <c r="AB419" s="4"/>
      <c r="AG419" s="4"/>
      <c r="AL419" s="4"/>
      <c r="AQ419" s="4"/>
      <c r="AV419" s="4"/>
      <c r="BA419" s="4"/>
    </row>
    <row r="420" spans="8:53" s="1" customFormat="1" ht="53.45" customHeight="1">
      <c r="H420" s="4"/>
      <c r="M420" s="4"/>
      <c r="R420" s="4"/>
      <c r="W420" s="4"/>
      <c r="AB420" s="4"/>
      <c r="AG420" s="4"/>
      <c r="AL420" s="4"/>
      <c r="AQ420" s="4"/>
      <c r="AV420" s="4"/>
      <c r="BA420" s="4"/>
    </row>
    <row r="421" spans="8:53" s="1" customFormat="1" ht="53.45" customHeight="1">
      <c r="H421" s="4"/>
      <c r="M421" s="4"/>
      <c r="R421" s="4"/>
      <c r="W421" s="4"/>
      <c r="AB421" s="4"/>
      <c r="AG421" s="4"/>
      <c r="AL421" s="4"/>
      <c r="AQ421" s="4"/>
      <c r="AV421" s="4"/>
      <c r="BA421" s="4"/>
    </row>
    <row r="422" spans="8:53" s="1" customFormat="1" ht="53.45" customHeight="1">
      <c r="H422" s="4"/>
      <c r="M422" s="4"/>
      <c r="R422" s="4"/>
      <c r="W422" s="4"/>
      <c r="AB422" s="4"/>
      <c r="AG422" s="4"/>
      <c r="AL422" s="4"/>
      <c r="AQ422" s="4"/>
      <c r="AV422" s="4"/>
      <c r="BA422" s="4"/>
    </row>
    <row r="423" spans="8:53" s="1" customFormat="1" ht="53.45" customHeight="1">
      <c r="H423" s="4"/>
      <c r="M423" s="4"/>
      <c r="R423" s="4"/>
      <c r="W423" s="4"/>
      <c r="AB423" s="4"/>
      <c r="AG423" s="4"/>
      <c r="AL423" s="4"/>
      <c r="AQ423" s="4"/>
      <c r="AV423" s="4"/>
      <c r="BA423" s="4"/>
    </row>
    <row r="424" spans="8:53" s="1" customFormat="1" ht="53.45" customHeight="1">
      <c r="H424" s="4"/>
      <c r="M424" s="4"/>
      <c r="R424" s="4"/>
      <c r="W424" s="4"/>
      <c r="AB424" s="4"/>
      <c r="AG424" s="4"/>
      <c r="AL424" s="4"/>
      <c r="AQ424" s="4"/>
      <c r="AV424" s="4"/>
      <c r="BA424" s="4"/>
    </row>
    <row r="425" spans="8:53" s="1" customFormat="1" ht="53.45" customHeight="1">
      <c r="H425" s="4"/>
      <c r="M425" s="4"/>
      <c r="R425" s="4"/>
      <c r="W425" s="4"/>
      <c r="AB425" s="4"/>
      <c r="AG425" s="4"/>
      <c r="AL425" s="4"/>
      <c r="AQ425" s="4"/>
      <c r="AV425" s="4"/>
      <c r="BA425" s="4"/>
    </row>
    <row r="426" spans="8:53" s="1" customFormat="1" ht="53.45" customHeight="1">
      <c r="H426" s="4"/>
      <c r="M426" s="4"/>
      <c r="R426" s="4"/>
      <c r="W426" s="4"/>
      <c r="AB426" s="4"/>
      <c r="AG426" s="4"/>
      <c r="AL426" s="4"/>
      <c r="AQ426" s="4"/>
      <c r="AV426" s="4"/>
      <c r="BA426" s="4"/>
    </row>
    <row r="427" spans="8:53" s="1" customFormat="1" ht="53.45" customHeight="1">
      <c r="H427" s="4"/>
      <c r="M427" s="4"/>
      <c r="R427" s="4"/>
      <c r="W427" s="4"/>
      <c r="AB427" s="4"/>
      <c r="AG427" s="4"/>
      <c r="AL427" s="4"/>
      <c r="AQ427" s="4"/>
      <c r="AV427" s="4"/>
      <c r="BA427" s="4"/>
    </row>
    <row r="428" spans="8:53" s="1" customFormat="1" ht="53.45" customHeight="1">
      <c r="H428" s="4"/>
      <c r="M428" s="4"/>
      <c r="R428" s="4"/>
      <c r="W428" s="4"/>
      <c r="AB428" s="4"/>
      <c r="AG428" s="4"/>
      <c r="AL428" s="4"/>
      <c r="AQ428" s="4"/>
      <c r="AV428" s="4"/>
      <c r="BA428" s="4"/>
    </row>
    <row r="429" spans="8:53" s="1" customFormat="1" ht="53.45" customHeight="1">
      <c r="H429" s="4"/>
      <c r="M429" s="4"/>
      <c r="R429" s="4"/>
      <c r="W429" s="4"/>
      <c r="AB429" s="4"/>
      <c r="AG429" s="4"/>
      <c r="AL429" s="4"/>
      <c r="AQ429" s="4"/>
      <c r="AV429" s="4"/>
      <c r="BA429" s="4"/>
    </row>
    <row r="430" spans="8:53" s="1" customFormat="1" ht="53.45" customHeight="1">
      <c r="H430" s="4"/>
      <c r="M430" s="4"/>
      <c r="R430" s="4"/>
      <c r="W430" s="4"/>
      <c r="AB430" s="4"/>
      <c r="AG430" s="4"/>
      <c r="AL430" s="4"/>
      <c r="AQ430" s="4"/>
      <c r="AV430" s="4"/>
      <c r="BA430" s="4"/>
    </row>
    <row r="431" spans="8:53" s="1" customFormat="1" ht="53.45" customHeight="1">
      <c r="H431" s="4"/>
      <c r="M431" s="4"/>
      <c r="R431" s="4"/>
      <c r="W431" s="4"/>
      <c r="AB431" s="4"/>
      <c r="AG431" s="4"/>
      <c r="AL431" s="4"/>
      <c r="AQ431" s="4"/>
      <c r="AV431" s="4"/>
      <c r="BA431" s="4"/>
    </row>
    <row r="432" spans="8:53" s="1" customFormat="1" ht="53.45" customHeight="1">
      <c r="H432" s="4"/>
      <c r="M432" s="4"/>
      <c r="R432" s="4"/>
      <c r="W432" s="4"/>
      <c r="AB432" s="4"/>
      <c r="AG432" s="4"/>
      <c r="AL432" s="4"/>
      <c r="AQ432" s="4"/>
      <c r="AV432" s="4"/>
      <c r="BA432" s="4"/>
    </row>
    <row r="433" spans="8:53" s="1" customFormat="1" ht="53.45" customHeight="1">
      <c r="H433" s="4"/>
      <c r="M433" s="4"/>
      <c r="R433" s="4"/>
      <c r="W433" s="4"/>
      <c r="AB433" s="4"/>
      <c r="AG433" s="4"/>
      <c r="AL433" s="4"/>
      <c r="AQ433" s="4"/>
      <c r="AV433" s="4"/>
      <c r="BA433" s="4"/>
    </row>
    <row r="434" spans="8:53" s="1" customFormat="1" ht="53.45" customHeight="1">
      <c r="H434" s="4"/>
      <c r="M434" s="4"/>
      <c r="R434" s="4"/>
      <c r="W434" s="4"/>
      <c r="AB434" s="4"/>
      <c r="AG434" s="4"/>
      <c r="AL434" s="4"/>
      <c r="AQ434" s="4"/>
      <c r="AV434" s="4"/>
      <c r="BA434" s="4"/>
    </row>
    <row r="435" spans="8:53" s="1" customFormat="1" ht="53.45" customHeight="1">
      <c r="H435" s="4"/>
      <c r="M435" s="4"/>
      <c r="R435" s="4"/>
      <c r="W435" s="4"/>
      <c r="AB435" s="4"/>
      <c r="AG435" s="4"/>
      <c r="AL435" s="4"/>
      <c r="AQ435" s="4"/>
      <c r="AV435" s="4"/>
      <c r="BA435" s="4"/>
    </row>
    <row r="436" spans="8:53" s="1" customFormat="1" ht="53.45" customHeight="1">
      <c r="H436" s="4"/>
      <c r="M436" s="4"/>
      <c r="R436" s="4"/>
      <c r="W436" s="4"/>
      <c r="AB436" s="4"/>
      <c r="AG436" s="4"/>
      <c r="AL436" s="4"/>
      <c r="AQ436" s="4"/>
      <c r="AV436" s="4"/>
      <c r="BA436" s="4"/>
    </row>
    <row r="437" spans="8:53" s="1" customFormat="1" ht="53.45" customHeight="1">
      <c r="H437" s="4"/>
      <c r="M437" s="4"/>
      <c r="R437" s="4"/>
      <c r="W437" s="4"/>
      <c r="AB437" s="4"/>
      <c r="AG437" s="4"/>
      <c r="AL437" s="4"/>
      <c r="AQ437" s="4"/>
      <c r="AV437" s="4"/>
      <c r="BA437" s="4"/>
    </row>
    <row r="438" spans="8:53" s="1" customFormat="1" ht="53.45" customHeight="1">
      <c r="H438" s="4"/>
      <c r="M438" s="4"/>
      <c r="R438" s="4"/>
      <c r="W438" s="4"/>
      <c r="AB438" s="4"/>
      <c r="AG438" s="4"/>
      <c r="AL438" s="4"/>
      <c r="AQ438" s="4"/>
      <c r="AV438" s="4"/>
      <c r="BA438" s="4"/>
    </row>
    <row r="439" spans="8:53" s="1" customFormat="1" ht="53.45" customHeight="1">
      <c r="H439" s="4"/>
      <c r="M439" s="4"/>
      <c r="R439" s="4"/>
      <c r="W439" s="4"/>
      <c r="AB439" s="4"/>
      <c r="AG439" s="4"/>
      <c r="AL439" s="4"/>
      <c r="AQ439" s="4"/>
      <c r="AV439" s="4"/>
      <c r="BA439" s="4"/>
    </row>
    <row r="440" spans="8:53" s="1" customFormat="1" ht="53.45" customHeight="1">
      <c r="H440" s="4"/>
      <c r="M440" s="4"/>
      <c r="R440" s="4"/>
      <c r="W440" s="4"/>
      <c r="AB440" s="4"/>
      <c r="AG440" s="4"/>
      <c r="AL440" s="4"/>
      <c r="AQ440" s="4"/>
      <c r="AV440" s="4"/>
      <c r="BA440" s="4"/>
    </row>
    <row r="441" spans="8:53" s="1" customFormat="1" ht="53.45" customHeight="1">
      <c r="H441" s="4"/>
      <c r="M441" s="4"/>
      <c r="R441" s="4"/>
      <c r="W441" s="4"/>
      <c r="AB441" s="4"/>
      <c r="AG441" s="4"/>
      <c r="AL441" s="4"/>
      <c r="AQ441" s="4"/>
      <c r="AV441" s="4"/>
      <c r="BA441" s="4"/>
    </row>
    <row r="442" spans="8:53" s="1" customFormat="1" ht="53.45" customHeight="1">
      <c r="H442" s="4"/>
      <c r="M442" s="4"/>
      <c r="R442" s="4"/>
      <c r="W442" s="4"/>
      <c r="AB442" s="4"/>
      <c r="AG442" s="4"/>
      <c r="AL442" s="4"/>
      <c r="AQ442" s="4"/>
      <c r="AV442" s="4"/>
      <c r="BA442" s="4"/>
    </row>
    <row r="443" spans="8:53" s="1" customFormat="1" ht="53.45" customHeight="1">
      <c r="H443" s="4"/>
      <c r="M443" s="4"/>
      <c r="R443" s="4"/>
      <c r="W443" s="4"/>
      <c r="AB443" s="4"/>
      <c r="AG443" s="4"/>
      <c r="AL443" s="4"/>
      <c r="AQ443" s="4"/>
      <c r="AV443" s="4"/>
      <c r="BA443" s="4"/>
    </row>
    <row r="444" spans="8:53" s="1" customFormat="1" ht="53.45" customHeight="1">
      <c r="H444" s="4"/>
      <c r="M444" s="4"/>
      <c r="R444" s="4"/>
      <c r="W444" s="4"/>
      <c r="AB444" s="4"/>
      <c r="AG444" s="4"/>
      <c r="AL444" s="4"/>
      <c r="AQ444" s="4"/>
      <c r="AV444" s="4"/>
      <c r="BA444" s="4"/>
    </row>
    <row r="445" spans="8:53" s="1" customFormat="1" ht="53.45" customHeight="1">
      <c r="H445" s="4"/>
      <c r="M445" s="4"/>
      <c r="R445" s="4"/>
      <c r="W445" s="4"/>
      <c r="AB445" s="4"/>
      <c r="AG445" s="4"/>
      <c r="AL445" s="4"/>
      <c r="AQ445" s="4"/>
      <c r="AV445" s="4"/>
      <c r="BA445" s="4"/>
    </row>
    <row r="446" spans="8:53" s="1" customFormat="1" ht="53.45" customHeight="1">
      <c r="H446" s="4"/>
      <c r="M446" s="4"/>
      <c r="R446" s="4"/>
      <c r="W446" s="4"/>
      <c r="AB446" s="4"/>
      <c r="AG446" s="4"/>
      <c r="AL446" s="4"/>
      <c r="AQ446" s="4"/>
      <c r="AV446" s="4"/>
      <c r="BA446" s="4"/>
    </row>
    <row r="447" spans="8:53" s="1" customFormat="1" ht="53.45" customHeight="1">
      <c r="H447" s="4"/>
      <c r="M447" s="4"/>
      <c r="R447" s="4"/>
      <c r="W447" s="4"/>
      <c r="AB447" s="4"/>
      <c r="AG447" s="4"/>
      <c r="AL447" s="4"/>
      <c r="AQ447" s="4"/>
      <c r="AV447" s="4"/>
      <c r="BA447" s="4"/>
    </row>
    <row r="448" spans="8:53" s="1" customFormat="1" ht="53.45" customHeight="1">
      <c r="H448" s="4"/>
      <c r="M448" s="4"/>
      <c r="R448" s="4"/>
      <c r="W448" s="4"/>
      <c r="AB448" s="4"/>
      <c r="AG448" s="4"/>
      <c r="AL448" s="4"/>
      <c r="AQ448" s="4"/>
      <c r="AV448" s="4"/>
      <c r="BA448" s="4"/>
    </row>
    <row r="449" spans="8:53" s="1" customFormat="1" ht="53.45" customHeight="1">
      <c r="H449" s="4"/>
      <c r="M449" s="4"/>
      <c r="R449" s="4"/>
      <c r="W449" s="4"/>
      <c r="AB449" s="4"/>
      <c r="AG449" s="4"/>
      <c r="AL449" s="4"/>
      <c r="AQ449" s="4"/>
      <c r="AV449" s="4"/>
      <c r="BA449" s="4"/>
    </row>
    <row r="450" spans="8:53" s="1" customFormat="1" ht="53.45" customHeight="1">
      <c r="H450" s="4"/>
      <c r="M450" s="4"/>
      <c r="R450" s="4"/>
      <c r="W450" s="4"/>
      <c r="AB450" s="4"/>
      <c r="AG450" s="4"/>
      <c r="AL450" s="4"/>
      <c r="AQ450" s="4"/>
      <c r="AV450" s="4"/>
      <c r="BA450" s="4"/>
    </row>
    <row r="451" spans="8:53" s="1" customFormat="1" ht="53.45" customHeight="1">
      <c r="H451" s="4"/>
      <c r="M451" s="4"/>
      <c r="R451" s="4"/>
      <c r="W451" s="4"/>
      <c r="AB451" s="4"/>
      <c r="AG451" s="4"/>
      <c r="AL451" s="4"/>
      <c r="AQ451" s="4"/>
      <c r="AV451" s="4"/>
      <c r="BA451" s="4"/>
    </row>
    <row r="452" spans="8:53" s="1" customFormat="1" ht="53.45" customHeight="1">
      <c r="H452" s="4"/>
      <c r="M452" s="4"/>
      <c r="R452" s="4"/>
      <c r="W452" s="4"/>
      <c r="AB452" s="4"/>
      <c r="AG452" s="4"/>
      <c r="AL452" s="4"/>
      <c r="AQ452" s="4"/>
      <c r="AV452" s="4"/>
      <c r="BA452" s="4"/>
    </row>
    <row r="453" spans="8:53" s="1" customFormat="1" ht="53.45" customHeight="1">
      <c r="H453" s="4"/>
      <c r="M453" s="4"/>
      <c r="R453" s="4"/>
      <c r="W453" s="4"/>
      <c r="AB453" s="4"/>
      <c r="AG453" s="4"/>
      <c r="AL453" s="4"/>
      <c r="AQ453" s="4"/>
      <c r="AV453" s="4"/>
      <c r="BA453" s="4"/>
    </row>
    <row r="454" spans="8:53" s="1" customFormat="1" ht="53.45" customHeight="1">
      <c r="H454" s="4"/>
      <c r="M454" s="4"/>
      <c r="R454" s="4"/>
      <c r="W454" s="4"/>
      <c r="AB454" s="4"/>
      <c r="AG454" s="4"/>
      <c r="AL454" s="4"/>
      <c r="AQ454" s="4"/>
      <c r="AV454" s="4"/>
      <c r="BA454" s="4"/>
    </row>
    <row r="455" spans="8:53" s="1" customFormat="1" ht="53.45" customHeight="1">
      <c r="H455" s="4"/>
      <c r="M455" s="4"/>
      <c r="R455" s="4"/>
      <c r="W455" s="4"/>
      <c r="AB455" s="4"/>
      <c r="AG455" s="4"/>
      <c r="AL455" s="4"/>
      <c r="AQ455" s="4"/>
      <c r="AV455" s="4"/>
      <c r="BA455" s="4"/>
    </row>
    <row r="456" spans="8:53" s="1" customFormat="1" ht="53.45" customHeight="1">
      <c r="H456" s="4"/>
      <c r="M456" s="4"/>
      <c r="R456" s="4"/>
      <c r="W456" s="4"/>
      <c r="AB456" s="4"/>
      <c r="AG456" s="4"/>
      <c r="AL456" s="4"/>
      <c r="AQ456" s="4"/>
      <c r="AV456" s="4"/>
      <c r="BA456" s="4"/>
    </row>
    <row r="457" spans="8:53" s="1" customFormat="1" ht="53.45" customHeight="1">
      <c r="H457" s="4"/>
      <c r="M457" s="4"/>
      <c r="R457" s="4"/>
      <c r="W457" s="4"/>
      <c r="AB457" s="4"/>
      <c r="AG457" s="4"/>
      <c r="AL457" s="4"/>
      <c r="AQ457" s="4"/>
      <c r="AV457" s="4"/>
      <c r="BA457" s="4"/>
    </row>
    <row r="458" spans="8:53" s="1" customFormat="1" ht="53.45" customHeight="1">
      <c r="H458" s="4"/>
      <c r="M458" s="4"/>
      <c r="R458" s="4"/>
      <c r="W458" s="4"/>
      <c r="AB458" s="4"/>
      <c r="AG458" s="4"/>
      <c r="AL458" s="4"/>
      <c r="AQ458" s="4"/>
      <c r="AV458" s="4"/>
      <c r="BA458" s="4"/>
    </row>
    <row r="459" spans="8:53" s="1" customFormat="1" ht="53.45" customHeight="1">
      <c r="H459" s="4"/>
      <c r="M459" s="4"/>
      <c r="R459" s="4"/>
      <c r="W459" s="4"/>
      <c r="AB459" s="4"/>
      <c r="AG459" s="4"/>
      <c r="AL459" s="4"/>
      <c r="AQ459" s="4"/>
      <c r="AV459" s="4"/>
      <c r="BA459" s="4"/>
    </row>
    <row r="460" spans="8:53" s="1" customFormat="1" ht="53.45" customHeight="1">
      <c r="H460" s="4"/>
      <c r="M460" s="4"/>
      <c r="R460" s="4"/>
      <c r="W460" s="4"/>
      <c r="AB460" s="4"/>
      <c r="AG460" s="4"/>
      <c r="AL460" s="4"/>
      <c r="AQ460" s="4"/>
      <c r="AV460" s="4"/>
      <c r="BA460" s="4"/>
    </row>
    <row r="461" spans="8:53" s="1" customFormat="1" ht="53.45" customHeight="1">
      <c r="H461" s="4"/>
      <c r="M461" s="4"/>
      <c r="R461" s="4"/>
      <c r="W461" s="4"/>
      <c r="AB461" s="4"/>
      <c r="AG461" s="4"/>
      <c r="AL461" s="4"/>
      <c r="AQ461" s="4"/>
      <c r="AV461" s="4"/>
      <c r="BA461" s="4"/>
    </row>
    <row r="462" spans="8:53" s="1" customFormat="1" ht="53.45" customHeight="1">
      <c r="H462" s="4"/>
      <c r="M462" s="4"/>
      <c r="R462" s="4"/>
      <c r="W462" s="4"/>
      <c r="AB462" s="4"/>
      <c r="AG462" s="4"/>
      <c r="AL462" s="4"/>
      <c r="AQ462" s="4"/>
      <c r="AV462" s="4"/>
      <c r="BA462" s="4"/>
    </row>
    <row r="463" spans="8:53" s="1" customFormat="1" ht="53.45" customHeight="1">
      <c r="H463" s="4"/>
      <c r="M463" s="4"/>
      <c r="R463" s="4"/>
      <c r="W463" s="4"/>
      <c r="AB463" s="4"/>
      <c r="AG463" s="4"/>
      <c r="AL463" s="4"/>
      <c r="AQ463" s="4"/>
      <c r="AV463" s="4"/>
      <c r="BA463" s="4"/>
    </row>
    <row r="464" spans="8:53" s="1" customFormat="1" ht="53.45" customHeight="1">
      <c r="H464" s="4"/>
      <c r="M464" s="4"/>
      <c r="R464" s="4"/>
      <c r="W464" s="4"/>
      <c r="AB464" s="4"/>
      <c r="AG464" s="4"/>
      <c r="AL464" s="4"/>
      <c r="AQ464" s="4"/>
      <c r="AV464" s="4"/>
      <c r="BA464" s="4"/>
    </row>
    <row r="465" spans="8:53" s="1" customFormat="1" ht="53.45" customHeight="1">
      <c r="H465" s="4"/>
      <c r="M465" s="4"/>
      <c r="R465" s="4"/>
      <c r="W465" s="4"/>
      <c r="AB465" s="4"/>
      <c r="AG465" s="4"/>
      <c r="AL465" s="4"/>
      <c r="AQ465" s="4"/>
      <c r="AV465" s="4"/>
      <c r="BA465" s="4"/>
    </row>
    <row r="466" spans="8:53" s="1" customFormat="1" ht="53.45" customHeight="1">
      <c r="H466" s="4"/>
      <c r="M466" s="4"/>
      <c r="R466" s="4"/>
      <c r="W466" s="4"/>
      <c r="AB466" s="4"/>
      <c r="AG466" s="4"/>
      <c r="AL466" s="4"/>
      <c r="AQ466" s="4"/>
      <c r="AV466" s="4"/>
      <c r="BA466" s="4"/>
    </row>
    <row r="467" spans="8:53" s="1" customFormat="1" ht="53.45" customHeight="1">
      <c r="H467" s="4"/>
      <c r="M467" s="4"/>
      <c r="R467" s="4"/>
      <c r="W467" s="4"/>
      <c r="AB467" s="4"/>
      <c r="AG467" s="4"/>
      <c r="AL467" s="4"/>
      <c r="AQ467" s="4"/>
      <c r="AV467" s="4"/>
      <c r="BA467" s="4"/>
    </row>
    <row r="468" spans="8:53" s="1" customFormat="1" ht="53.45" customHeight="1">
      <c r="H468" s="4"/>
      <c r="M468" s="4"/>
      <c r="R468" s="4"/>
      <c r="W468" s="4"/>
      <c r="AB468" s="4"/>
      <c r="AG468" s="4"/>
      <c r="AL468" s="4"/>
      <c r="AQ468" s="4"/>
      <c r="AV468" s="4"/>
      <c r="BA468" s="4"/>
    </row>
    <row r="469" spans="8:53" s="1" customFormat="1" ht="53.45" customHeight="1">
      <c r="H469" s="4"/>
      <c r="M469" s="4"/>
      <c r="R469" s="4"/>
      <c r="W469" s="4"/>
      <c r="AB469" s="4"/>
      <c r="AG469" s="4"/>
      <c r="AL469" s="4"/>
      <c r="AQ469" s="4"/>
      <c r="AV469" s="4"/>
      <c r="BA469" s="4"/>
    </row>
    <row r="470" spans="8:53" s="1" customFormat="1" ht="53.45" customHeight="1">
      <c r="H470" s="4"/>
      <c r="M470" s="4"/>
      <c r="R470" s="4"/>
      <c r="W470" s="4"/>
      <c r="AB470" s="4"/>
      <c r="AG470" s="4"/>
      <c r="AL470" s="4"/>
      <c r="AQ470" s="4"/>
      <c r="AV470" s="4"/>
      <c r="BA470" s="4"/>
    </row>
    <row r="471" spans="8:53" s="1" customFormat="1" ht="53.45" customHeight="1">
      <c r="H471" s="4"/>
      <c r="M471" s="4"/>
      <c r="R471" s="4"/>
      <c r="W471" s="4"/>
      <c r="AB471" s="4"/>
      <c r="AG471" s="4"/>
      <c r="AL471" s="4"/>
      <c r="AQ471" s="4"/>
      <c r="AV471" s="4"/>
      <c r="BA471" s="4"/>
    </row>
    <row r="472" spans="8:53" s="1" customFormat="1" ht="53.45" customHeight="1">
      <c r="H472" s="4"/>
      <c r="M472" s="4"/>
      <c r="R472" s="4"/>
      <c r="W472" s="4"/>
      <c r="AB472" s="4"/>
      <c r="AG472" s="4"/>
      <c r="AL472" s="4"/>
      <c r="AQ472" s="4"/>
      <c r="AV472" s="4"/>
      <c r="BA472" s="4"/>
    </row>
    <row r="473" spans="8:53" s="1" customFormat="1" ht="53.45" customHeight="1">
      <c r="H473" s="4"/>
      <c r="M473" s="4"/>
      <c r="R473" s="4"/>
      <c r="W473" s="4"/>
      <c r="AB473" s="4"/>
      <c r="AG473" s="4"/>
      <c r="AL473" s="4"/>
      <c r="AQ473" s="4"/>
      <c r="AV473" s="4"/>
      <c r="BA473" s="4"/>
    </row>
    <row r="474" spans="8:53" s="1" customFormat="1" ht="53.45" customHeight="1">
      <c r="H474" s="4"/>
      <c r="M474" s="4"/>
      <c r="R474" s="4"/>
      <c r="W474" s="4"/>
      <c r="AB474" s="4"/>
      <c r="AG474" s="4"/>
      <c r="AL474" s="4"/>
      <c r="AQ474" s="4"/>
      <c r="AV474" s="4"/>
      <c r="BA474" s="4"/>
    </row>
    <row r="475" spans="8:53" s="1" customFormat="1" ht="53.45" customHeight="1">
      <c r="H475" s="4"/>
      <c r="M475" s="4"/>
      <c r="R475" s="4"/>
      <c r="W475" s="4"/>
      <c r="AB475" s="4"/>
      <c r="AG475" s="4"/>
      <c r="AL475" s="4"/>
      <c r="AQ475" s="4"/>
      <c r="AV475" s="4"/>
      <c r="BA475" s="4"/>
    </row>
    <row r="476" spans="8:53" s="1" customFormat="1" ht="53.45" customHeight="1">
      <c r="H476" s="4"/>
      <c r="M476" s="4"/>
      <c r="R476" s="4"/>
      <c r="W476" s="4"/>
      <c r="AB476" s="4"/>
      <c r="AG476" s="4"/>
      <c r="AL476" s="4"/>
      <c r="AQ476" s="4"/>
      <c r="AV476" s="4"/>
      <c r="BA476" s="4"/>
    </row>
    <row r="477" spans="8:53" s="1" customFormat="1" ht="53.45" customHeight="1">
      <c r="H477" s="4"/>
      <c r="M477" s="4"/>
      <c r="R477" s="4"/>
      <c r="W477" s="4"/>
      <c r="AB477" s="4"/>
      <c r="AG477" s="4"/>
      <c r="AL477" s="4"/>
      <c r="AQ477" s="4"/>
      <c r="AV477" s="4"/>
      <c r="BA477" s="4"/>
    </row>
    <row r="478" spans="8:53" s="1" customFormat="1" ht="53.45" customHeight="1">
      <c r="H478" s="4"/>
      <c r="M478" s="4"/>
      <c r="R478" s="4"/>
      <c r="W478" s="4"/>
      <c r="AB478" s="4"/>
      <c r="AG478" s="4"/>
      <c r="AL478" s="4"/>
      <c r="AQ478" s="4"/>
      <c r="AV478" s="4"/>
      <c r="BA478" s="4"/>
    </row>
    <row r="479" spans="8:53" s="1" customFormat="1" ht="53.45" customHeight="1">
      <c r="H479" s="4"/>
      <c r="M479" s="4"/>
      <c r="R479" s="4"/>
      <c r="W479" s="4"/>
      <c r="AB479" s="4"/>
      <c r="AG479" s="4"/>
      <c r="AL479" s="4"/>
      <c r="AQ479" s="4"/>
      <c r="AV479" s="4"/>
      <c r="BA479" s="4"/>
    </row>
    <row r="480" spans="8:53" s="1" customFormat="1" ht="53.45" customHeight="1">
      <c r="H480" s="4"/>
      <c r="M480" s="4"/>
      <c r="R480" s="4"/>
      <c r="W480" s="4"/>
      <c r="AB480" s="4"/>
      <c r="AG480" s="4"/>
      <c r="AL480" s="4"/>
      <c r="AQ480" s="4"/>
      <c r="AV480" s="4"/>
      <c r="BA480" s="4"/>
    </row>
    <row r="481" spans="8:53" s="1" customFormat="1" ht="53.45" customHeight="1">
      <c r="H481" s="4"/>
      <c r="M481" s="4"/>
      <c r="R481" s="4"/>
      <c r="W481" s="4"/>
      <c r="AB481" s="4"/>
      <c r="AG481" s="4"/>
      <c r="AL481" s="4"/>
      <c r="AQ481" s="4"/>
      <c r="AV481" s="4"/>
      <c r="BA481" s="4"/>
    </row>
  </sheetData>
  <mergeCells count="23">
    <mergeCell ref="AE3:AF3"/>
    <mergeCell ref="H1:AF1"/>
    <mergeCell ref="H2:K2"/>
    <mergeCell ref="M2:P2"/>
    <mergeCell ref="R2:T2"/>
    <mergeCell ref="V2:X2"/>
    <mergeCell ref="Z2:AB2"/>
    <mergeCell ref="AE2:AF2"/>
    <mergeCell ref="H3:K3"/>
    <mergeCell ref="M3:P3"/>
    <mergeCell ref="R3:T3"/>
    <mergeCell ref="V3:X3"/>
    <mergeCell ref="Z3:AB3"/>
    <mergeCell ref="AL16:AL17"/>
    <mergeCell ref="AQ16:AQ17"/>
    <mergeCell ref="AV16:AV17"/>
    <mergeCell ref="BA16:BA17"/>
    <mergeCell ref="H16:H17"/>
    <mergeCell ref="M16:M17"/>
    <mergeCell ref="R16:R17"/>
    <mergeCell ref="W16:W17"/>
    <mergeCell ref="AB16:AB17"/>
    <mergeCell ref="AG16:AG17"/>
  </mergeCells>
  <printOptions horizontalCentered="1" verticalCentered="1"/>
  <pageMargins left="0" right="0" top="0" bottom="0" header="0" footer="0"/>
  <pageSetup paperSize="9" scale="2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481"/>
  <sheetViews>
    <sheetView view="pageBreakPreview" zoomScale="40" zoomScaleNormal="20" zoomScaleSheetLayoutView="40" workbookViewId="0">
      <selection activeCell="V4" sqref="V4"/>
    </sheetView>
  </sheetViews>
  <sheetFormatPr defaultRowHeight="15"/>
  <cols>
    <col min="1" max="1" width="2.42578125" customWidth="1"/>
    <col min="2" max="2" width="36.42578125" customWidth="1"/>
    <col min="4" max="4" width="8.85546875" customWidth="1"/>
    <col min="7" max="7" width="2.42578125" customWidth="1"/>
    <col min="8" max="8" width="6.5703125" style="15" bestFit="1" customWidth="1"/>
    <col min="9" max="9" width="60.7109375" customWidth="1"/>
    <col min="10" max="12" width="11.28515625" customWidth="1"/>
    <col min="13" max="13" width="6.5703125" style="15" bestFit="1" customWidth="1"/>
    <col min="14" max="14" width="60.7109375" customWidth="1"/>
    <col min="15" max="17" width="11.28515625" customWidth="1"/>
    <col min="18" max="18" width="6.5703125" style="15" bestFit="1" customWidth="1"/>
    <col min="19" max="19" width="60.7109375" customWidth="1"/>
    <col min="20" max="22" width="11.28515625" customWidth="1"/>
    <col min="23" max="23" width="6.5703125" style="15" bestFit="1" customWidth="1"/>
    <col min="24" max="24" width="60.7109375" customWidth="1"/>
    <col min="25" max="27" width="11.28515625" customWidth="1"/>
    <col min="28" max="28" width="6.5703125" style="15" bestFit="1" customWidth="1"/>
    <col min="29" max="29" width="60.7109375" customWidth="1"/>
    <col min="30" max="32" width="11.28515625" customWidth="1"/>
    <col min="33" max="33" width="6.5703125" style="15" bestFit="1" customWidth="1"/>
    <col min="34" max="34" width="60.7109375" customWidth="1"/>
    <col min="35" max="37" width="11.28515625" customWidth="1"/>
    <col min="38" max="38" width="5.7109375" style="15" customWidth="1"/>
    <col min="39" max="39" width="60.7109375" customWidth="1"/>
    <col min="40" max="42" width="11.28515625" customWidth="1"/>
    <col min="43" max="43" width="5.7109375" style="15" customWidth="1"/>
    <col min="44" max="44" width="60.7109375" customWidth="1"/>
    <col min="45" max="47" width="11.28515625" customWidth="1"/>
    <col min="48" max="48" width="5.7109375" style="15" customWidth="1"/>
    <col min="49" max="49" width="60.7109375" customWidth="1"/>
    <col min="50" max="52" width="11.28515625" customWidth="1"/>
    <col min="53" max="53" width="5.7109375" style="15" customWidth="1"/>
    <col min="54" max="54" width="60.7109375" customWidth="1"/>
    <col min="55" max="57" width="11.28515625" customWidth="1"/>
  </cols>
  <sheetData>
    <row r="1" spans="2:57" s="1" customFormat="1" ht="47.45" customHeight="1">
      <c r="C1" s="16"/>
      <c r="D1" s="16"/>
      <c r="E1" s="16"/>
      <c r="F1" s="16"/>
      <c r="G1" s="16"/>
      <c r="H1" s="46" t="str">
        <f>'YAMAZUMI цеха'!H1</f>
        <v>YAMAZUMI ""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</row>
    <row r="2" spans="2:57" s="1" customFormat="1" ht="51.6" customHeight="1">
      <c r="H2" s="47" t="s">
        <v>12</v>
      </c>
      <c r="I2" s="47"/>
      <c r="J2" s="47"/>
      <c r="K2" s="47"/>
      <c r="L2" s="2"/>
      <c r="M2" s="47" t="s">
        <v>6</v>
      </c>
      <c r="N2" s="47"/>
      <c r="O2" s="47"/>
      <c r="P2" s="47"/>
      <c r="Q2" s="2"/>
      <c r="R2" s="47" t="s">
        <v>7</v>
      </c>
      <c r="S2" s="47"/>
      <c r="T2" s="47"/>
      <c r="U2" s="2"/>
      <c r="V2" s="47" t="s">
        <v>0</v>
      </c>
      <c r="W2" s="47"/>
      <c r="X2" s="47"/>
      <c r="Y2" s="2"/>
      <c r="Z2" s="47" t="s">
        <v>13</v>
      </c>
      <c r="AA2" s="47"/>
      <c r="AB2" s="47"/>
      <c r="AC2" s="30">
        <f>MAX(E5:E14)*1.1</f>
        <v>0</v>
      </c>
      <c r="AE2" s="41" t="s">
        <v>30</v>
      </c>
      <c r="AF2" s="41"/>
      <c r="AG2" s="4"/>
      <c r="AL2" s="4"/>
      <c r="AQ2" s="4"/>
      <c r="AV2" s="4"/>
      <c r="BA2" s="4"/>
    </row>
    <row r="3" spans="2:57" s="1" customFormat="1" ht="51.6" customHeight="1">
      <c r="H3" s="47">
        <f>COUNTA(I18:I153,N18:N153,S18:S153,X18:X153,AC18:AC153)</f>
        <v>0</v>
      </c>
      <c r="I3" s="47"/>
      <c r="J3" s="47"/>
      <c r="K3" s="47"/>
      <c r="L3" s="2"/>
      <c r="M3" s="47">
        <f>COUNTA(I18,N18,S18,X18,AC18)</f>
        <v>0</v>
      </c>
      <c r="N3" s="47"/>
      <c r="O3" s="47"/>
      <c r="P3" s="47"/>
      <c r="Q3" s="2"/>
      <c r="R3" s="48">
        <f>'YAMAZUMI цеха'!R3</f>
        <v>0</v>
      </c>
      <c r="S3" s="47"/>
      <c r="T3" s="47"/>
      <c r="U3" s="2"/>
      <c r="V3" s="47"/>
      <c r="W3" s="47"/>
      <c r="X3" s="47"/>
      <c r="Y3" s="2"/>
      <c r="Z3" s="47" t="s">
        <v>8</v>
      </c>
      <c r="AA3" s="47"/>
      <c r="AB3" s="47"/>
      <c r="AC3" s="30">
        <f>MAX(E5:E14)</f>
        <v>0</v>
      </c>
      <c r="AE3" s="42" t="e">
        <f>26700/AC2</f>
        <v>#DIV/0!</v>
      </c>
      <c r="AF3" s="42"/>
      <c r="AG3" s="4"/>
      <c r="AL3" s="4"/>
      <c r="AQ3" s="4"/>
      <c r="AV3" s="4"/>
      <c r="BA3" s="4"/>
    </row>
    <row r="4" spans="2:57" s="1" customFormat="1" ht="81.599999999999994" customHeight="1">
      <c r="B4" s="28" t="s">
        <v>9</v>
      </c>
      <c r="C4" s="6" t="s">
        <v>2</v>
      </c>
      <c r="D4" s="6" t="s">
        <v>3</v>
      </c>
      <c r="E4" s="6" t="s">
        <v>10</v>
      </c>
      <c r="F4" s="6" t="s">
        <v>5</v>
      </c>
      <c r="H4" s="4"/>
      <c r="M4" s="4"/>
      <c r="R4" s="4"/>
      <c r="W4" s="4"/>
      <c r="AB4" s="4"/>
      <c r="AG4" s="4"/>
      <c r="AL4" s="4"/>
      <c r="AQ4" s="4"/>
      <c r="AV4" s="4"/>
      <c r="BA4" s="4"/>
    </row>
    <row r="5" spans="2:57" s="1" customFormat="1" ht="51.6" customHeight="1">
      <c r="B5" s="7" t="s">
        <v>20</v>
      </c>
      <c r="C5" s="30">
        <f>J17</f>
        <v>0</v>
      </c>
      <c r="D5" s="30">
        <f>K17</f>
        <v>0</v>
      </c>
      <c r="E5" s="30">
        <f>L17</f>
        <v>0</v>
      </c>
      <c r="F5" s="30">
        <f>AC2</f>
        <v>0</v>
      </c>
      <c r="H5" s="4"/>
      <c r="M5" s="4"/>
      <c r="R5" s="4"/>
      <c r="W5" s="4"/>
      <c r="AB5" s="4"/>
      <c r="AG5" s="4"/>
      <c r="AL5" s="4"/>
      <c r="AQ5" s="4"/>
      <c r="AV5" s="4"/>
      <c r="BA5" s="4"/>
    </row>
    <row r="6" spans="2:57" s="1" customFormat="1" ht="51.6" customHeight="1">
      <c r="B6" s="7" t="s">
        <v>21</v>
      </c>
      <c r="C6" s="30">
        <f>O17</f>
        <v>0</v>
      </c>
      <c r="D6" s="30">
        <f>P17</f>
        <v>0</v>
      </c>
      <c r="E6" s="30">
        <f>Q17</f>
        <v>0</v>
      </c>
      <c r="F6" s="30">
        <f>AC2</f>
        <v>0</v>
      </c>
      <c r="H6" s="4"/>
      <c r="M6" s="4"/>
      <c r="R6" s="4"/>
      <c r="W6" s="4"/>
      <c r="AB6" s="4"/>
      <c r="AG6" s="4"/>
      <c r="AL6" s="4"/>
      <c r="AQ6" s="4"/>
      <c r="AV6" s="4"/>
      <c r="BA6" s="4"/>
    </row>
    <row r="7" spans="2:57" s="1" customFormat="1" ht="51.6" customHeight="1">
      <c r="B7" s="7" t="s">
        <v>22</v>
      </c>
      <c r="C7" s="30">
        <f>T17</f>
        <v>0</v>
      </c>
      <c r="D7" s="30">
        <f>U17</f>
        <v>0</v>
      </c>
      <c r="E7" s="30">
        <f>V17</f>
        <v>0</v>
      </c>
      <c r="F7" s="30">
        <f>AC2</f>
        <v>0</v>
      </c>
      <c r="H7" s="4"/>
      <c r="M7" s="4"/>
      <c r="R7" s="4"/>
      <c r="W7" s="4"/>
      <c r="AB7" s="4"/>
      <c r="AG7" s="4"/>
      <c r="AL7" s="4"/>
      <c r="AQ7" s="4"/>
      <c r="AV7" s="4"/>
      <c r="BA7" s="4"/>
    </row>
    <row r="8" spans="2:57" s="1" customFormat="1" ht="51.6" customHeight="1">
      <c r="B8" s="7" t="s">
        <v>23</v>
      </c>
      <c r="C8" s="30">
        <f>Y17</f>
        <v>0</v>
      </c>
      <c r="D8" s="30">
        <f>Z17</f>
        <v>0</v>
      </c>
      <c r="E8" s="30">
        <f>AA17</f>
        <v>0</v>
      </c>
      <c r="F8" s="30">
        <f>AC2</f>
        <v>0</v>
      </c>
      <c r="H8" s="4"/>
      <c r="M8" s="4"/>
      <c r="R8" s="4"/>
      <c r="W8" s="4"/>
      <c r="AB8" s="4"/>
      <c r="AG8" s="4"/>
      <c r="AL8" s="4"/>
      <c r="AQ8" s="4"/>
      <c r="AV8" s="4"/>
      <c r="BA8" s="4"/>
    </row>
    <row r="9" spans="2:57" s="1" customFormat="1" ht="51.6" customHeight="1">
      <c r="B9" s="7" t="s">
        <v>24</v>
      </c>
      <c r="C9" s="30">
        <f>AD17</f>
        <v>0</v>
      </c>
      <c r="D9" s="30">
        <f>AE17</f>
        <v>0</v>
      </c>
      <c r="E9" s="30">
        <f>AF17</f>
        <v>0</v>
      </c>
      <c r="F9" s="30">
        <f>AC2</f>
        <v>0</v>
      </c>
      <c r="H9" s="4"/>
      <c r="M9" s="4"/>
      <c r="R9" s="4"/>
      <c r="W9" s="4"/>
      <c r="AB9" s="4"/>
      <c r="AG9" s="4"/>
      <c r="AL9" s="4"/>
      <c r="AQ9" s="4"/>
      <c r="AV9" s="4"/>
      <c r="BA9" s="4"/>
    </row>
    <row r="10" spans="2:57" s="1" customFormat="1" ht="51.6" customHeight="1">
      <c r="B10" s="7" t="s">
        <v>25</v>
      </c>
      <c r="C10" s="30">
        <f>AI17</f>
        <v>0</v>
      </c>
      <c r="D10" s="30">
        <f>AJ17</f>
        <v>0</v>
      </c>
      <c r="E10" s="30">
        <f>AK17</f>
        <v>0</v>
      </c>
      <c r="F10" s="30">
        <f>AC2</f>
        <v>0</v>
      </c>
      <c r="H10" s="4"/>
      <c r="M10" s="4"/>
      <c r="R10" s="4"/>
      <c r="W10" s="4"/>
      <c r="AB10" s="4"/>
      <c r="AG10" s="4"/>
      <c r="AL10" s="4"/>
      <c r="AQ10" s="4"/>
      <c r="AV10" s="4"/>
      <c r="BA10" s="4"/>
    </row>
    <row r="11" spans="2:57" s="1" customFormat="1" ht="51.6" customHeight="1">
      <c r="B11" s="7" t="s">
        <v>26</v>
      </c>
      <c r="C11" s="30">
        <f>AN17</f>
        <v>0</v>
      </c>
      <c r="D11" s="30">
        <f>AO17</f>
        <v>0</v>
      </c>
      <c r="E11" s="30">
        <f>AP17</f>
        <v>0</v>
      </c>
      <c r="F11" s="30">
        <f>AC2</f>
        <v>0</v>
      </c>
      <c r="H11" s="4"/>
      <c r="M11" s="4"/>
      <c r="R11" s="4"/>
      <c r="W11" s="4"/>
      <c r="AB11" s="4"/>
      <c r="AG11" s="4"/>
      <c r="AL11" s="4"/>
      <c r="AQ11" s="4"/>
      <c r="AV11" s="4"/>
      <c r="BA11" s="4"/>
    </row>
    <row r="12" spans="2:57" s="1" customFormat="1" ht="51.6" customHeight="1">
      <c r="B12" s="7" t="s">
        <v>27</v>
      </c>
      <c r="C12" s="30">
        <f>AS17</f>
        <v>0</v>
      </c>
      <c r="D12" s="30">
        <f>AT17</f>
        <v>0</v>
      </c>
      <c r="E12" s="30">
        <f>AU17</f>
        <v>0</v>
      </c>
      <c r="F12" s="30">
        <f>AC2</f>
        <v>0</v>
      </c>
      <c r="H12" s="4"/>
      <c r="M12" s="4"/>
      <c r="R12" s="4"/>
      <c r="W12" s="4"/>
      <c r="AB12" s="4"/>
      <c r="AG12" s="4"/>
      <c r="AL12" s="4"/>
      <c r="AQ12" s="4"/>
      <c r="AV12" s="4"/>
      <c r="BA12" s="4"/>
    </row>
    <row r="13" spans="2:57" s="1" customFormat="1" ht="51.6" customHeight="1">
      <c r="B13" s="7" t="s">
        <v>28</v>
      </c>
      <c r="C13" s="30">
        <f>AX17</f>
        <v>0</v>
      </c>
      <c r="D13" s="30">
        <f>AY17</f>
        <v>0</v>
      </c>
      <c r="E13" s="30">
        <f>AZ17</f>
        <v>0</v>
      </c>
      <c r="F13" s="30">
        <f>AC2</f>
        <v>0</v>
      </c>
      <c r="H13" s="4"/>
      <c r="M13" s="4"/>
      <c r="R13" s="4"/>
      <c r="W13" s="4"/>
      <c r="AB13" s="4"/>
      <c r="AG13" s="4"/>
      <c r="AL13" s="4"/>
      <c r="AQ13" s="4"/>
      <c r="AV13" s="4"/>
      <c r="BA13" s="4"/>
    </row>
    <row r="14" spans="2:57" s="1" customFormat="1" ht="51.6" customHeight="1">
      <c r="B14" s="7" t="s">
        <v>29</v>
      </c>
      <c r="C14" s="30">
        <f>BC17</f>
        <v>0</v>
      </c>
      <c r="D14" s="30">
        <f>BD17</f>
        <v>0</v>
      </c>
      <c r="E14" s="30">
        <f>BE17</f>
        <v>0</v>
      </c>
      <c r="F14" s="30">
        <f>AC2</f>
        <v>0</v>
      </c>
      <c r="H14" s="4"/>
      <c r="M14" s="4"/>
      <c r="R14" s="4"/>
      <c r="W14" s="4"/>
      <c r="AB14" s="4"/>
      <c r="AG14" s="4"/>
      <c r="AL14" s="4"/>
      <c r="AQ14" s="4"/>
      <c r="AV14" s="4"/>
      <c r="BA14" s="4"/>
    </row>
    <row r="15" spans="2:57" s="1" customFormat="1" ht="15.75">
      <c r="H15" s="4"/>
      <c r="M15" s="4"/>
      <c r="R15" s="4"/>
      <c r="W15" s="4"/>
      <c r="AB15" s="4"/>
      <c r="AG15" s="4"/>
      <c r="AL15" s="4"/>
      <c r="AQ15" s="4"/>
      <c r="AV15" s="4"/>
      <c r="BA15" s="4"/>
    </row>
    <row r="16" spans="2:57" s="2" customFormat="1" ht="94.15" customHeight="1">
      <c r="H16" s="43" t="s">
        <v>1</v>
      </c>
      <c r="I16" s="30" t="s">
        <v>20</v>
      </c>
      <c r="J16" s="8" t="s">
        <v>2</v>
      </c>
      <c r="K16" s="8" t="s">
        <v>3</v>
      </c>
      <c r="L16" s="8" t="s">
        <v>10</v>
      </c>
      <c r="M16" s="43" t="s">
        <v>1</v>
      </c>
      <c r="N16" s="30" t="s">
        <v>21</v>
      </c>
      <c r="O16" s="8" t="s">
        <v>2</v>
      </c>
      <c r="P16" s="8" t="s">
        <v>3</v>
      </c>
      <c r="Q16" s="8" t="s">
        <v>10</v>
      </c>
      <c r="R16" s="43" t="s">
        <v>1</v>
      </c>
      <c r="S16" s="30" t="s">
        <v>22</v>
      </c>
      <c r="T16" s="8" t="s">
        <v>2</v>
      </c>
      <c r="U16" s="8" t="s">
        <v>3</v>
      </c>
      <c r="V16" s="8" t="s">
        <v>10</v>
      </c>
      <c r="W16" s="43" t="s">
        <v>1</v>
      </c>
      <c r="X16" s="30" t="s">
        <v>23</v>
      </c>
      <c r="Y16" s="8" t="s">
        <v>2</v>
      </c>
      <c r="Z16" s="8" t="s">
        <v>3</v>
      </c>
      <c r="AA16" s="8" t="s">
        <v>10</v>
      </c>
      <c r="AB16" s="43" t="s">
        <v>1</v>
      </c>
      <c r="AC16" s="30" t="s">
        <v>24</v>
      </c>
      <c r="AD16" s="8" t="s">
        <v>2</v>
      </c>
      <c r="AE16" s="8" t="s">
        <v>3</v>
      </c>
      <c r="AF16" s="8" t="s">
        <v>10</v>
      </c>
      <c r="AG16" s="43" t="s">
        <v>1</v>
      </c>
      <c r="AH16" s="30" t="s">
        <v>25</v>
      </c>
      <c r="AI16" s="8" t="s">
        <v>2</v>
      </c>
      <c r="AJ16" s="8" t="s">
        <v>3</v>
      </c>
      <c r="AK16" s="8" t="s">
        <v>10</v>
      </c>
      <c r="AL16" s="43" t="s">
        <v>1</v>
      </c>
      <c r="AM16" s="30" t="s">
        <v>26</v>
      </c>
      <c r="AN16" s="8" t="s">
        <v>2</v>
      </c>
      <c r="AO16" s="8" t="s">
        <v>3</v>
      </c>
      <c r="AP16" s="8" t="s">
        <v>10</v>
      </c>
      <c r="AQ16" s="43" t="s">
        <v>1</v>
      </c>
      <c r="AR16" s="30" t="s">
        <v>27</v>
      </c>
      <c r="AS16" s="8" t="s">
        <v>2</v>
      </c>
      <c r="AT16" s="8" t="s">
        <v>3</v>
      </c>
      <c r="AU16" s="8" t="s">
        <v>10</v>
      </c>
      <c r="AV16" s="43" t="s">
        <v>1</v>
      </c>
      <c r="AW16" s="30" t="s">
        <v>28</v>
      </c>
      <c r="AX16" s="8" t="s">
        <v>2</v>
      </c>
      <c r="AY16" s="8" t="s">
        <v>3</v>
      </c>
      <c r="AZ16" s="8" t="s">
        <v>10</v>
      </c>
      <c r="BA16" s="43" t="s">
        <v>1</v>
      </c>
      <c r="BB16" s="30" t="s">
        <v>29</v>
      </c>
      <c r="BC16" s="8" t="s">
        <v>2</v>
      </c>
      <c r="BD16" s="8" t="s">
        <v>3</v>
      </c>
      <c r="BE16" s="8" t="s">
        <v>10</v>
      </c>
    </row>
    <row r="17" spans="1:57" s="2" customFormat="1" ht="63.6" customHeight="1">
      <c r="H17" s="43"/>
      <c r="I17" s="28" t="s">
        <v>4</v>
      </c>
      <c r="J17" s="9">
        <f>SUM(J18:J73)</f>
        <v>0</v>
      </c>
      <c r="K17" s="9">
        <f>SUM(K18:K73)</f>
        <v>0</v>
      </c>
      <c r="L17" s="9">
        <f>SUM(L18:L73)</f>
        <v>0</v>
      </c>
      <c r="M17" s="43"/>
      <c r="N17" s="28" t="s">
        <v>4</v>
      </c>
      <c r="O17" s="9">
        <f>SUM(O18:O73)</f>
        <v>0</v>
      </c>
      <c r="P17" s="9">
        <f>SUM(P18:P73)</f>
        <v>0</v>
      </c>
      <c r="Q17" s="9">
        <f>SUM(Q18:Q73)</f>
        <v>0</v>
      </c>
      <c r="R17" s="43"/>
      <c r="S17" s="28" t="s">
        <v>4</v>
      </c>
      <c r="T17" s="9">
        <f>SUM(T18:T73)</f>
        <v>0</v>
      </c>
      <c r="U17" s="9">
        <f>SUM(U18:U73)</f>
        <v>0</v>
      </c>
      <c r="V17" s="9">
        <f>SUM(V18:V73)</f>
        <v>0</v>
      </c>
      <c r="W17" s="43"/>
      <c r="X17" s="28" t="s">
        <v>4</v>
      </c>
      <c r="Y17" s="9">
        <f>SUM(Y18:Y73)</f>
        <v>0</v>
      </c>
      <c r="Z17" s="9">
        <f>SUM(Z18:Z73)</f>
        <v>0</v>
      </c>
      <c r="AA17" s="9">
        <f>SUM(AA18:AA73)</f>
        <v>0</v>
      </c>
      <c r="AB17" s="43"/>
      <c r="AC17" s="28" t="s">
        <v>4</v>
      </c>
      <c r="AD17" s="9">
        <f>SUM(AD18:AD73)</f>
        <v>0</v>
      </c>
      <c r="AE17" s="9">
        <f>SUM(AE18:AE73)</f>
        <v>0</v>
      </c>
      <c r="AF17" s="9">
        <f>SUM(AF18:AF73)</f>
        <v>0</v>
      </c>
      <c r="AG17" s="43"/>
      <c r="AH17" s="28" t="s">
        <v>4</v>
      </c>
      <c r="AI17" s="9">
        <f>SUM(AI18:AI73)</f>
        <v>0</v>
      </c>
      <c r="AJ17" s="9">
        <f>SUM(AJ18:AJ73)</f>
        <v>0</v>
      </c>
      <c r="AK17" s="9">
        <f>SUM(AK18:AK73)</f>
        <v>0</v>
      </c>
      <c r="AL17" s="43"/>
      <c r="AM17" s="28" t="s">
        <v>4</v>
      </c>
      <c r="AN17" s="9">
        <f>SUM(AN18:AN73)</f>
        <v>0</v>
      </c>
      <c r="AO17" s="9">
        <f>SUM(AO18:AO73)</f>
        <v>0</v>
      </c>
      <c r="AP17" s="9">
        <f>SUM(AP18:AP73)</f>
        <v>0</v>
      </c>
      <c r="AQ17" s="43"/>
      <c r="AR17" s="28" t="s">
        <v>4</v>
      </c>
      <c r="AS17" s="9">
        <f>SUM(AS18:AS73)</f>
        <v>0</v>
      </c>
      <c r="AT17" s="9">
        <f>SUM(AT18:AT73)</f>
        <v>0</v>
      </c>
      <c r="AU17" s="9">
        <f>SUM(AU18:AU73)</f>
        <v>0</v>
      </c>
      <c r="AV17" s="43"/>
      <c r="AW17" s="28" t="s">
        <v>4</v>
      </c>
      <c r="AX17" s="9">
        <f>SUM(AX18:AX73)</f>
        <v>0</v>
      </c>
      <c r="AY17" s="9">
        <f>SUM(AY18:AY73)</f>
        <v>0</v>
      </c>
      <c r="AZ17" s="9">
        <f>SUM(AZ18:AZ73)</f>
        <v>0</v>
      </c>
      <c r="BA17" s="43"/>
      <c r="BB17" s="28" t="s">
        <v>4</v>
      </c>
      <c r="BC17" s="9">
        <f>SUM(BC18:BC73)</f>
        <v>0</v>
      </c>
      <c r="BD17" s="9">
        <f>SUM(BD18:BD73)</f>
        <v>0</v>
      </c>
      <c r="BE17" s="9">
        <f>SUM(BE18:BE73)</f>
        <v>0</v>
      </c>
    </row>
    <row r="18" spans="1:57" s="2" customFormat="1" ht="90" customHeight="1">
      <c r="H18" s="29">
        <v>1</v>
      </c>
      <c r="I18" s="11"/>
      <c r="J18" s="12"/>
      <c r="K18" s="12"/>
      <c r="L18" s="12">
        <f>SUM(J18:K18)</f>
        <v>0</v>
      </c>
      <c r="M18" s="29">
        <v>1</v>
      </c>
      <c r="N18" s="11"/>
      <c r="O18" s="12"/>
      <c r="P18" s="12"/>
      <c r="Q18" s="12">
        <f>SUM(O18:P18)</f>
        <v>0</v>
      </c>
      <c r="R18" s="29">
        <v>1</v>
      </c>
      <c r="S18" s="13"/>
      <c r="T18" s="14"/>
      <c r="U18" s="14"/>
      <c r="V18" s="12">
        <f>SUM(T18:U18)</f>
        <v>0</v>
      </c>
      <c r="W18" s="29">
        <v>1</v>
      </c>
      <c r="X18" s="13"/>
      <c r="Y18" s="14"/>
      <c r="Z18" s="14"/>
      <c r="AA18" s="12">
        <f>SUM(Y18:Z18)</f>
        <v>0</v>
      </c>
      <c r="AB18" s="29">
        <v>1</v>
      </c>
      <c r="AC18" s="11"/>
      <c r="AD18" s="12"/>
      <c r="AE18" s="12"/>
      <c r="AF18" s="12">
        <f>SUM(AD18:AE18)</f>
        <v>0</v>
      </c>
      <c r="AG18" s="29">
        <v>1</v>
      </c>
      <c r="AH18" s="11"/>
      <c r="AI18" s="12"/>
      <c r="AJ18" s="12"/>
      <c r="AK18" s="12">
        <f>SUM(AI18:AJ18)</f>
        <v>0</v>
      </c>
      <c r="AL18" s="29">
        <v>1</v>
      </c>
      <c r="AM18" s="11"/>
      <c r="AN18" s="12"/>
      <c r="AO18" s="12"/>
      <c r="AP18" s="12">
        <f>SUM(AN18:AO18)</f>
        <v>0</v>
      </c>
      <c r="AQ18" s="29">
        <v>1</v>
      </c>
      <c r="AR18" s="11"/>
      <c r="AS18" s="12"/>
      <c r="AT18" s="12"/>
      <c r="AU18" s="12">
        <f>SUM(AS18:AT18)</f>
        <v>0</v>
      </c>
      <c r="AV18" s="29">
        <v>1</v>
      </c>
      <c r="AW18" s="11"/>
      <c r="AX18" s="12"/>
      <c r="AY18" s="12"/>
      <c r="AZ18" s="12">
        <f>SUM(AX18:AY18)</f>
        <v>0</v>
      </c>
      <c r="BA18" s="29">
        <v>1</v>
      </c>
      <c r="BB18" s="11"/>
      <c r="BC18" s="12"/>
      <c r="BD18" s="12"/>
      <c r="BE18" s="12">
        <f>SUM(BC18:BD18)</f>
        <v>0</v>
      </c>
    </row>
    <row r="19" spans="1:57" s="2" customFormat="1" ht="90" customHeight="1">
      <c r="H19" s="28">
        <v>2</v>
      </c>
      <c r="I19" s="13"/>
      <c r="J19" s="14"/>
      <c r="K19" s="14"/>
      <c r="L19" s="14">
        <f t="shared" ref="L19:L73" si="0">SUM(J19:K19)</f>
        <v>0</v>
      </c>
      <c r="M19" s="28">
        <v>2</v>
      </c>
      <c r="N19" s="13"/>
      <c r="O19" s="14"/>
      <c r="P19" s="14"/>
      <c r="Q19" s="14">
        <f t="shared" ref="Q19:Q73" si="1">SUM(O19:P19)</f>
        <v>0</v>
      </c>
      <c r="R19" s="28">
        <v>2</v>
      </c>
      <c r="S19" s="11"/>
      <c r="T19" s="12"/>
      <c r="U19" s="12"/>
      <c r="V19" s="14">
        <f t="shared" ref="V19:V73" si="2">SUM(T19:U19)</f>
        <v>0</v>
      </c>
      <c r="W19" s="28">
        <v>2</v>
      </c>
      <c r="X19" s="11"/>
      <c r="Y19" s="12"/>
      <c r="Z19" s="12"/>
      <c r="AA19" s="14">
        <f t="shared" ref="AA19:AA73" si="3">SUM(Y19:Z19)</f>
        <v>0</v>
      </c>
      <c r="AB19" s="28">
        <v>2</v>
      </c>
      <c r="AC19" s="13"/>
      <c r="AD19" s="14"/>
      <c r="AE19" s="14"/>
      <c r="AF19" s="14">
        <f t="shared" ref="AF19:AF73" si="4">SUM(AD19:AE19)</f>
        <v>0</v>
      </c>
      <c r="AG19" s="28">
        <v>2</v>
      </c>
      <c r="AH19" s="13"/>
      <c r="AI19" s="14"/>
      <c r="AJ19" s="14"/>
      <c r="AK19" s="14">
        <f t="shared" ref="AK19:AK73" si="5">SUM(AI19:AJ19)</f>
        <v>0</v>
      </c>
      <c r="AL19" s="28">
        <v>2</v>
      </c>
      <c r="AM19" s="13"/>
      <c r="AN19" s="14"/>
      <c r="AO19" s="14"/>
      <c r="AP19" s="14">
        <f t="shared" ref="AP19:AP73" si="6">SUM(AN19:AO19)</f>
        <v>0</v>
      </c>
      <c r="AQ19" s="28">
        <v>2</v>
      </c>
      <c r="AR19" s="13"/>
      <c r="AS19" s="14"/>
      <c r="AT19" s="14"/>
      <c r="AU19" s="14">
        <f t="shared" ref="AU19:AU73" si="7">SUM(AS19:AT19)</f>
        <v>0</v>
      </c>
      <c r="AV19" s="28">
        <v>2</v>
      </c>
      <c r="AW19" s="13"/>
      <c r="AX19" s="14"/>
      <c r="AY19" s="14"/>
      <c r="AZ19" s="14">
        <f t="shared" ref="AZ19:AZ73" si="8">SUM(AX19:AY19)</f>
        <v>0</v>
      </c>
      <c r="BA19" s="28">
        <v>2</v>
      </c>
      <c r="BB19" s="13"/>
      <c r="BC19" s="14"/>
      <c r="BD19" s="14"/>
      <c r="BE19" s="14">
        <f t="shared" ref="BE19:BE73" si="9">SUM(BC19:BD19)</f>
        <v>0</v>
      </c>
    </row>
    <row r="20" spans="1:57" s="2" customFormat="1" ht="90" customHeight="1">
      <c r="A20" s="18"/>
      <c r="H20" s="28">
        <v>3</v>
      </c>
      <c r="I20" s="13"/>
      <c r="J20" s="14"/>
      <c r="K20" s="14"/>
      <c r="L20" s="14">
        <f t="shared" si="0"/>
        <v>0</v>
      </c>
      <c r="M20" s="28">
        <v>3</v>
      </c>
      <c r="N20" s="13"/>
      <c r="O20" s="14"/>
      <c r="P20" s="14"/>
      <c r="Q20" s="14">
        <f t="shared" si="1"/>
        <v>0</v>
      </c>
      <c r="R20" s="28">
        <v>3</v>
      </c>
      <c r="S20" s="13"/>
      <c r="T20" s="14"/>
      <c r="U20" s="14"/>
      <c r="V20" s="14">
        <f t="shared" si="2"/>
        <v>0</v>
      </c>
      <c r="W20" s="28">
        <v>3</v>
      </c>
      <c r="X20" s="13"/>
      <c r="Y20" s="14"/>
      <c r="Z20" s="14"/>
      <c r="AA20" s="14">
        <f t="shared" si="3"/>
        <v>0</v>
      </c>
      <c r="AB20" s="28">
        <v>3</v>
      </c>
      <c r="AC20" s="13"/>
      <c r="AD20" s="14"/>
      <c r="AE20" s="14"/>
      <c r="AF20" s="14">
        <f t="shared" si="4"/>
        <v>0</v>
      </c>
      <c r="AG20" s="28">
        <v>3</v>
      </c>
      <c r="AH20" s="13"/>
      <c r="AI20" s="14"/>
      <c r="AJ20" s="14"/>
      <c r="AK20" s="14">
        <f t="shared" si="5"/>
        <v>0</v>
      </c>
      <c r="AL20" s="28">
        <v>3</v>
      </c>
      <c r="AM20" s="13"/>
      <c r="AN20" s="14"/>
      <c r="AO20" s="14"/>
      <c r="AP20" s="14">
        <f t="shared" si="6"/>
        <v>0</v>
      </c>
      <c r="AQ20" s="28">
        <v>3</v>
      </c>
      <c r="AR20" s="13"/>
      <c r="AS20" s="14"/>
      <c r="AT20" s="14"/>
      <c r="AU20" s="14">
        <f t="shared" si="7"/>
        <v>0</v>
      </c>
      <c r="AV20" s="28">
        <v>3</v>
      </c>
      <c r="AW20" s="13"/>
      <c r="AX20" s="14"/>
      <c r="AY20" s="14"/>
      <c r="AZ20" s="14">
        <f t="shared" si="8"/>
        <v>0</v>
      </c>
      <c r="BA20" s="28">
        <v>3</v>
      </c>
      <c r="BB20" s="13"/>
      <c r="BC20" s="14"/>
      <c r="BD20" s="14"/>
      <c r="BE20" s="14">
        <f t="shared" si="9"/>
        <v>0</v>
      </c>
    </row>
    <row r="21" spans="1:57" s="2" customFormat="1" ht="90" customHeight="1">
      <c r="H21" s="28">
        <v>4</v>
      </c>
      <c r="I21" s="13"/>
      <c r="J21" s="14"/>
      <c r="K21" s="14"/>
      <c r="L21" s="14">
        <f t="shared" si="0"/>
        <v>0</v>
      </c>
      <c r="M21" s="28">
        <v>4</v>
      </c>
      <c r="N21" s="13"/>
      <c r="O21" s="14"/>
      <c r="P21" s="14"/>
      <c r="Q21" s="14">
        <f t="shared" si="1"/>
        <v>0</v>
      </c>
      <c r="R21" s="28">
        <v>4</v>
      </c>
      <c r="S21" s="13"/>
      <c r="T21" s="14"/>
      <c r="U21" s="14"/>
      <c r="V21" s="14">
        <f t="shared" si="2"/>
        <v>0</v>
      </c>
      <c r="W21" s="28">
        <v>4</v>
      </c>
      <c r="X21" s="13"/>
      <c r="Y21" s="14"/>
      <c r="Z21" s="14"/>
      <c r="AA21" s="14">
        <f t="shared" si="3"/>
        <v>0</v>
      </c>
      <c r="AB21" s="28">
        <v>4</v>
      </c>
      <c r="AC21" s="13"/>
      <c r="AD21" s="14"/>
      <c r="AE21" s="14"/>
      <c r="AF21" s="14">
        <f t="shared" si="4"/>
        <v>0</v>
      </c>
      <c r="AG21" s="28">
        <v>4</v>
      </c>
      <c r="AH21" s="13"/>
      <c r="AI21" s="14"/>
      <c r="AJ21" s="14"/>
      <c r="AK21" s="14">
        <f t="shared" si="5"/>
        <v>0</v>
      </c>
      <c r="AL21" s="28">
        <v>4</v>
      </c>
      <c r="AM21" s="13"/>
      <c r="AN21" s="14"/>
      <c r="AO21" s="14"/>
      <c r="AP21" s="14">
        <f t="shared" si="6"/>
        <v>0</v>
      </c>
      <c r="AQ21" s="28">
        <v>4</v>
      </c>
      <c r="AR21" s="13"/>
      <c r="AS21" s="14"/>
      <c r="AT21" s="14"/>
      <c r="AU21" s="14">
        <f t="shared" si="7"/>
        <v>0</v>
      </c>
      <c r="AV21" s="28">
        <v>4</v>
      </c>
      <c r="AW21" s="13"/>
      <c r="AX21" s="14"/>
      <c r="AY21" s="14"/>
      <c r="AZ21" s="14">
        <f t="shared" si="8"/>
        <v>0</v>
      </c>
      <c r="BA21" s="28">
        <v>4</v>
      </c>
      <c r="BB21" s="13"/>
      <c r="BC21" s="14"/>
      <c r="BD21" s="14"/>
      <c r="BE21" s="14">
        <f t="shared" si="9"/>
        <v>0</v>
      </c>
    </row>
    <row r="22" spans="1:57" s="2" customFormat="1" ht="90" customHeight="1">
      <c r="H22" s="28">
        <v>5</v>
      </c>
      <c r="I22" s="13"/>
      <c r="J22" s="14"/>
      <c r="K22" s="14"/>
      <c r="L22" s="14">
        <f t="shared" si="0"/>
        <v>0</v>
      </c>
      <c r="M22" s="28">
        <v>5</v>
      </c>
      <c r="N22" s="13"/>
      <c r="O22" s="14"/>
      <c r="P22" s="14"/>
      <c r="Q22" s="14">
        <f t="shared" si="1"/>
        <v>0</v>
      </c>
      <c r="R22" s="28">
        <v>5</v>
      </c>
      <c r="S22" s="26"/>
      <c r="T22" s="14"/>
      <c r="U22" s="14"/>
      <c r="V22" s="14">
        <f t="shared" si="2"/>
        <v>0</v>
      </c>
      <c r="W22" s="28">
        <v>5</v>
      </c>
      <c r="X22" s="13"/>
      <c r="Y22" s="14"/>
      <c r="Z22" s="14"/>
      <c r="AA22" s="14">
        <f t="shared" si="3"/>
        <v>0</v>
      </c>
      <c r="AB22" s="28">
        <v>5</v>
      </c>
      <c r="AC22" s="13"/>
      <c r="AD22" s="14"/>
      <c r="AE22" s="14"/>
      <c r="AF22" s="14">
        <f t="shared" si="4"/>
        <v>0</v>
      </c>
      <c r="AG22" s="28">
        <v>5</v>
      </c>
      <c r="AH22" s="13"/>
      <c r="AI22" s="14"/>
      <c r="AJ22" s="14"/>
      <c r="AK22" s="14">
        <f t="shared" si="5"/>
        <v>0</v>
      </c>
      <c r="AL22" s="28">
        <v>5</v>
      </c>
      <c r="AM22" s="13"/>
      <c r="AN22" s="14"/>
      <c r="AO22" s="14"/>
      <c r="AP22" s="14">
        <f t="shared" si="6"/>
        <v>0</v>
      </c>
      <c r="AQ22" s="28">
        <v>5</v>
      </c>
      <c r="AR22" s="13"/>
      <c r="AS22" s="14"/>
      <c r="AT22" s="14"/>
      <c r="AU22" s="14">
        <f t="shared" si="7"/>
        <v>0</v>
      </c>
      <c r="AV22" s="28">
        <v>5</v>
      </c>
      <c r="AW22" s="13"/>
      <c r="AX22" s="14"/>
      <c r="AY22" s="14"/>
      <c r="AZ22" s="14">
        <f t="shared" si="8"/>
        <v>0</v>
      </c>
      <c r="BA22" s="28">
        <v>5</v>
      </c>
      <c r="BB22" s="13"/>
      <c r="BC22" s="14"/>
      <c r="BD22" s="14"/>
      <c r="BE22" s="14">
        <f t="shared" si="9"/>
        <v>0</v>
      </c>
    </row>
    <row r="23" spans="1:57" s="2" customFormat="1" ht="90" customHeight="1">
      <c r="H23" s="28">
        <v>6</v>
      </c>
      <c r="I23" s="13"/>
      <c r="J23" s="14"/>
      <c r="K23" s="14"/>
      <c r="L23" s="14">
        <f t="shared" si="0"/>
        <v>0</v>
      </c>
      <c r="M23" s="28">
        <v>6</v>
      </c>
      <c r="N23" s="13"/>
      <c r="O23" s="14"/>
      <c r="P23" s="14"/>
      <c r="Q23" s="14">
        <f t="shared" si="1"/>
        <v>0</v>
      </c>
      <c r="R23" s="28">
        <v>6</v>
      </c>
      <c r="S23" s="13"/>
      <c r="T23" s="14"/>
      <c r="U23" s="14"/>
      <c r="V23" s="14">
        <f t="shared" si="2"/>
        <v>0</v>
      </c>
      <c r="W23" s="28">
        <v>6</v>
      </c>
      <c r="X23" s="13"/>
      <c r="Y23" s="14"/>
      <c r="Z23" s="14"/>
      <c r="AA23" s="14">
        <f t="shared" si="3"/>
        <v>0</v>
      </c>
      <c r="AB23" s="28">
        <v>6</v>
      </c>
      <c r="AC23" s="13"/>
      <c r="AD23" s="14"/>
      <c r="AE23" s="14"/>
      <c r="AF23" s="14">
        <f t="shared" si="4"/>
        <v>0</v>
      </c>
      <c r="AG23" s="28">
        <v>6</v>
      </c>
      <c r="AH23" s="13"/>
      <c r="AI23" s="14"/>
      <c r="AJ23" s="14"/>
      <c r="AK23" s="14">
        <f t="shared" si="5"/>
        <v>0</v>
      </c>
      <c r="AL23" s="28">
        <v>6</v>
      </c>
      <c r="AM23" s="13"/>
      <c r="AN23" s="14"/>
      <c r="AO23" s="14"/>
      <c r="AP23" s="14">
        <f t="shared" si="6"/>
        <v>0</v>
      </c>
      <c r="AQ23" s="28">
        <v>6</v>
      </c>
      <c r="AR23" s="13"/>
      <c r="AS23" s="14"/>
      <c r="AT23" s="14"/>
      <c r="AU23" s="14">
        <f t="shared" si="7"/>
        <v>0</v>
      </c>
      <c r="AV23" s="28">
        <v>6</v>
      </c>
      <c r="AW23" s="13"/>
      <c r="AX23" s="14"/>
      <c r="AY23" s="14"/>
      <c r="AZ23" s="14">
        <f t="shared" si="8"/>
        <v>0</v>
      </c>
      <c r="BA23" s="28">
        <v>6</v>
      </c>
      <c r="BB23" s="13"/>
      <c r="BC23" s="14"/>
      <c r="BD23" s="14"/>
      <c r="BE23" s="14">
        <f t="shared" si="9"/>
        <v>0</v>
      </c>
    </row>
    <row r="24" spans="1:57" s="2" customFormat="1" ht="90" customHeight="1">
      <c r="H24" s="28">
        <v>7</v>
      </c>
      <c r="I24" s="11"/>
      <c r="J24" s="12"/>
      <c r="K24" s="12"/>
      <c r="L24" s="14">
        <f t="shared" si="0"/>
        <v>0</v>
      </c>
      <c r="M24" s="28">
        <v>7</v>
      </c>
      <c r="N24" s="13"/>
      <c r="O24" s="14"/>
      <c r="P24" s="14"/>
      <c r="Q24" s="14">
        <f t="shared" si="1"/>
        <v>0</v>
      </c>
      <c r="R24" s="28">
        <v>7</v>
      </c>
      <c r="S24" s="13"/>
      <c r="T24" s="14"/>
      <c r="U24" s="14"/>
      <c r="V24" s="14">
        <f t="shared" si="2"/>
        <v>0</v>
      </c>
      <c r="W24" s="28">
        <v>7</v>
      </c>
      <c r="X24" s="13"/>
      <c r="Y24" s="14"/>
      <c r="Z24" s="14"/>
      <c r="AA24" s="14">
        <f t="shared" si="3"/>
        <v>0</v>
      </c>
      <c r="AB24" s="28">
        <v>7</v>
      </c>
      <c r="AC24" s="13"/>
      <c r="AD24" s="14"/>
      <c r="AE24" s="14"/>
      <c r="AF24" s="14">
        <f t="shared" si="4"/>
        <v>0</v>
      </c>
      <c r="AG24" s="28">
        <v>7</v>
      </c>
      <c r="AH24" s="13"/>
      <c r="AI24" s="14"/>
      <c r="AJ24" s="14"/>
      <c r="AK24" s="14">
        <f t="shared" si="5"/>
        <v>0</v>
      </c>
      <c r="AL24" s="28">
        <v>7</v>
      </c>
      <c r="AM24" s="13"/>
      <c r="AN24" s="14"/>
      <c r="AO24" s="14"/>
      <c r="AP24" s="14">
        <f t="shared" si="6"/>
        <v>0</v>
      </c>
      <c r="AQ24" s="28">
        <v>7</v>
      </c>
      <c r="AR24" s="13"/>
      <c r="AS24" s="14"/>
      <c r="AT24" s="14"/>
      <c r="AU24" s="14">
        <f t="shared" si="7"/>
        <v>0</v>
      </c>
      <c r="AV24" s="28">
        <v>7</v>
      </c>
      <c r="AW24" s="13"/>
      <c r="AX24" s="14"/>
      <c r="AY24" s="14"/>
      <c r="AZ24" s="14">
        <f t="shared" si="8"/>
        <v>0</v>
      </c>
      <c r="BA24" s="28">
        <v>7</v>
      </c>
      <c r="BB24" s="13"/>
      <c r="BC24" s="14"/>
      <c r="BD24" s="14"/>
      <c r="BE24" s="14">
        <f t="shared" si="9"/>
        <v>0</v>
      </c>
    </row>
    <row r="25" spans="1:57" s="2" customFormat="1" ht="90" customHeight="1">
      <c r="H25" s="28">
        <v>8</v>
      </c>
      <c r="I25" s="13"/>
      <c r="J25" s="14"/>
      <c r="K25" s="14"/>
      <c r="L25" s="14">
        <f t="shared" si="0"/>
        <v>0</v>
      </c>
      <c r="M25" s="28">
        <v>8</v>
      </c>
      <c r="N25" s="13"/>
      <c r="O25" s="14"/>
      <c r="P25" s="14"/>
      <c r="Q25" s="14">
        <f t="shared" si="1"/>
        <v>0</v>
      </c>
      <c r="R25" s="28">
        <v>8</v>
      </c>
      <c r="S25" s="13"/>
      <c r="T25" s="14"/>
      <c r="U25" s="14"/>
      <c r="V25" s="14">
        <f t="shared" si="2"/>
        <v>0</v>
      </c>
      <c r="W25" s="28">
        <v>8</v>
      </c>
      <c r="X25" s="13"/>
      <c r="Y25" s="14"/>
      <c r="Z25" s="14"/>
      <c r="AA25" s="14">
        <f t="shared" si="3"/>
        <v>0</v>
      </c>
      <c r="AB25" s="28">
        <v>8</v>
      </c>
      <c r="AC25" s="13"/>
      <c r="AD25" s="14"/>
      <c r="AE25" s="14"/>
      <c r="AF25" s="14">
        <f t="shared" si="4"/>
        <v>0</v>
      </c>
      <c r="AG25" s="28">
        <v>8</v>
      </c>
      <c r="AH25" s="13"/>
      <c r="AI25" s="14"/>
      <c r="AJ25" s="14"/>
      <c r="AK25" s="14">
        <f t="shared" si="5"/>
        <v>0</v>
      </c>
      <c r="AL25" s="28">
        <v>8</v>
      </c>
      <c r="AM25" s="13"/>
      <c r="AN25" s="14"/>
      <c r="AO25" s="14"/>
      <c r="AP25" s="14">
        <f t="shared" si="6"/>
        <v>0</v>
      </c>
      <c r="AQ25" s="28">
        <v>8</v>
      </c>
      <c r="AR25" s="13"/>
      <c r="AS25" s="14"/>
      <c r="AT25" s="14"/>
      <c r="AU25" s="14">
        <f t="shared" si="7"/>
        <v>0</v>
      </c>
      <c r="AV25" s="28">
        <v>8</v>
      </c>
      <c r="AW25" s="13"/>
      <c r="AX25" s="14"/>
      <c r="AY25" s="14"/>
      <c r="AZ25" s="14">
        <f t="shared" si="8"/>
        <v>0</v>
      </c>
      <c r="BA25" s="28">
        <v>8</v>
      </c>
      <c r="BB25" s="13"/>
      <c r="BC25" s="14"/>
      <c r="BD25" s="14"/>
      <c r="BE25" s="14">
        <f t="shared" si="9"/>
        <v>0</v>
      </c>
    </row>
    <row r="26" spans="1:57" s="2" customFormat="1" ht="90" customHeight="1">
      <c r="H26" s="28">
        <v>9</v>
      </c>
      <c r="I26" s="13"/>
      <c r="J26" s="14"/>
      <c r="K26" s="14"/>
      <c r="L26" s="14">
        <f t="shared" si="0"/>
        <v>0</v>
      </c>
      <c r="M26" s="28">
        <v>9</v>
      </c>
      <c r="N26" s="13"/>
      <c r="O26" s="14"/>
      <c r="P26" s="14"/>
      <c r="Q26" s="14">
        <f t="shared" si="1"/>
        <v>0</v>
      </c>
      <c r="R26" s="28">
        <v>9</v>
      </c>
      <c r="S26" s="13"/>
      <c r="T26" s="14"/>
      <c r="U26" s="14"/>
      <c r="V26" s="14">
        <f t="shared" si="2"/>
        <v>0</v>
      </c>
      <c r="W26" s="28">
        <v>9</v>
      </c>
      <c r="X26" s="13"/>
      <c r="Y26" s="14"/>
      <c r="Z26" s="14"/>
      <c r="AA26" s="14">
        <f t="shared" si="3"/>
        <v>0</v>
      </c>
      <c r="AB26" s="28">
        <v>9</v>
      </c>
      <c r="AC26" s="13"/>
      <c r="AD26" s="14"/>
      <c r="AE26" s="14"/>
      <c r="AF26" s="14">
        <f t="shared" si="4"/>
        <v>0</v>
      </c>
      <c r="AG26" s="28">
        <v>9</v>
      </c>
      <c r="AH26" s="13"/>
      <c r="AI26" s="14"/>
      <c r="AJ26" s="14"/>
      <c r="AK26" s="14">
        <f t="shared" si="5"/>
        <v>0</v>
      </c>
      <c r="AL26" s="28">
        <v>9</v>
      </c>
      <c r="AM26" s="13"/>
      <c r="AN26" s="14"/>
      <c r="AO26" s="14"/>
      <c r="AP26" s="14">
        <f t="shared" si="6"/>
        <v>0</v>
      </c>
      <c r="AQ26" s="28">
        <v>9</v>
      </c>
      <c r="AR26" s="13"/>
      <c r="AS26" s="14"/>
      <c r="AT26" s="14"/>
      <c r="AU26" s="14">
        <f t="shared" si="7"/>
        <v>0</v>
      </c>
      <c r="AV26" s="28">
        <v>9</v>
      </c>
      <c r="AW26" s="13"/>
      <c r="AX26" s="14"/>
      <c r="AY26" s="14"/>
      <c r="AZ26" s="14">
        <f t="shared" si="8"/>
        <v>0</v>
      </c>
      <c r="BA26" s="28">
        <v>9</v>
      </c>
      <c r="BB26" s="13"/>
      <c r="BC26" s="14"/>
      <c r="BD26" s="14"/>
      <c r="BE26" s="14">
        <f t="shared" si="9"/>
        <v>0</v>
      </c>
    </row>
    <row r="27" spans="1:57" s="2" customFormat="1" ht="85.15" customHeight="1">
      <c r="H27" s="28">
        <v>10</v>
      </c>
      <c r="I27" s="13"/>
      <c r="J27" s="14"/>
      <c r="K27" s="14"/>
      <c r="L27" s="14">
        <f t="shared" si="0"/>
        <v>0</v>
      </c>
      <c r="M27" s="28">
        <v>10</v>
      </c>
      <c r="N27" s="13"/>
      <c r="O27" s="14"/>
      <c r="P27" s="14"/>
      <c r="Q27" s="14">
        <f t="shared" si="1"/>
        <v>0</v>
      </c>
      <c r="R27" s="28">
        <v>10</v>
      </c>
      <c r="S27" s="13"/>
      <c r="T27" s="14"/>
      <c r="U27" s="14"/>
      <c r="V27" s="14">
        <f t="shared" si="2"/>
        <v>0</v>
      </c>
      <c r="W27" s="28">
        <v>10</v>
      </c>
      <c r="X27" s="13"/>
      <c r="Y27" s="14"/>
      <c r="Z27" s="14"/>
      <c r="AA27" s="14">
        <f t="shared" si="3"/>
        <v>0</v>
      </c>
      <c r="AB27" s="28">
        <v>10</v>
      </c>
      <c r="AC27" s="13"/>
      <c r="AD27" s="14"/>
      <c r="AE27" s="14"/>
      <c r="AF27" s="14">
        <f t="shared" si="4"/>
        <v>0</v>
      </c>
      <c r="AG27" s="28">
        <v>10</v>
      </c>
      <c r="AH27" s="13"/>
      <c r="AI27" s="14"/>
      <c r="AJ27" s="14"/>
      <c r="AK27" s="14">
        <f t="shared" si="5"/>
        <v>0</v>
      </c>
      <c r="AL27" s="28">
        <v>10</v>
      </c>
      <c r="AM27" s="13"/>
      <c r="AN27" s="14"/>
      <c r="AO27" s="14"/>
      <c r="AP27" s="14">
        <f t="shared" si="6"/>
        <v>0</v>
      </c>
      <c r="AQ27" s="28">
        <v>10</v>
      </c>
      <c r="AR27" s="13"/>
      <c r="AS27" s="14"/>
      <c r="AT27" s="14"/>
      <c r="AU27" s="14">
        <f t="shared" si="7"/>
        <v>0</v>
      </c>
      <c r="AV27" s="28">
        <v>10</v>
      </c>
      <c r="AW27" s="13"/>
      <c r="AX27" s="14"/>
      <c r="AY27" s="14"/>
      <c r="AZ27" s="14">
        <f t="shared" si="8"/>
        <v>0</v>
      </c>
      <c r="BA27" s="28">
        <v>10</v>
      </c>
      <c r="BB27" s="13"/>
      <c r="BC27" s="14"/>
      <c r="BD27" s="14"/>
      <c r="BE27" s="14">
        <f t="shared" si="9"/>
        <v>0</v>
      </c>
    </row>
    <row r="28" spans="1:57" s="2" customFormat="1" ht="85.15" customHeight="1">
      <c r="H28" s="28">
        <v>11</v>
      </c>
      <c r="I28" s="13"/>
      <c r="J28" s="14"/>
      <c r="K28" s="14"/>
      <c r="L28" s="14">
        <f t="shared" si="0"/>
        <v>0</v>
      </c>
      <c r="M28" s="28">
        <v>11</v>
      </c>
      <c r="N28" s="13"/>
      <c r="O28" s="14"/>
      <c r="P28" s="14"/>
      <c r="Q28" s="14">
        <f t="shared" si="1"/>
        <v>0</v>
      </c>
      <c r="R28" s="28">
        <v>11</v>
      </c>
      <c r="S28" s="13"/>
      <c r="T28" s="14"/>
      <c r="U28" s="14"/>
      <c r="V28" s="14">
        <f t="shared" si="2"/>
        <v>0</v>
      </c>
      <c r="W28" s="28">
        <v>11</v>
      </c>
      <c r="X28" s="13"/>
      <c r="Y28" s="14"/>
      <c r="Z28" s="14"/>
      <c r="AA28" s="14">
        <f t="shared" si="3"/>
        <v>0</v>
      </c>
      <c r="AB28" s="28">
        <v>11</v>
      </c>
      <c r="AC28" s="13"/>
      <c r="AD28" s="14"/>
      <c r="AE28" s="14"/>
      <c r="AF28" s="14">
        <f t="shared" si="4"/>
        <v>0</v>
      </c>
      <c r="AG28" s="28">
        <v>11</v>
      </c>
      <c r="AH28" s="13"/>
      <c r="AI28" s="14"/>
      <c r="AJ28" s="14"/>
      <c r="AK28" s="14">
        <f t="shared" si="5"/>
        <v>0</v>
      </c>
      <c r="AL28" s="28">
        <v>11</v>
      </c>
      <c r="AM28" s="13"/>
      <c r="AN28" s="14"/>
      <c r="AO28" s="14"/>
      <c r="AP28" s="14">
        <f t="shared" si="6"/>
        <v>0</v>
      </c>
      <c r="AQ28" s="28">
        <v>11</v>
      </c>
      <c r="AR28" s="13"/>
      <c r="AS28" s="14"/>
      <c r="AT28" s="14"/>
      <c r="AU28" s="14">
        <f t="shared" si="7"/>
        <v>0</v>
      </c>
      <c r="AV28" s="28">
        <v>11</v>
      </c>
      <c r="AW28" s="13"/>
      <c r="AX28" s="14"/>
      <c r="AY28" s="14"/>
      <c r="AZ28" s="14">
        <f t="shared" si="8"/>
        <v>0</v>
      </c>
      <c r="BA28" s="28">
        <v>11</v>
      </c>
      <c r="BB28" s="13"/>
      <c r="BC28" s="14"/>
      <c r="BD28" s="14"/>
      <c r="BE28" s="14">
        <f t="shared" si="9"/>
        <v>0</v>
      </c>
    </row>
    <row r="29" spans="1:57" s="2" customFormat="1" ht="85.15" customHeight="1">
      <c r="H29" s="28">
        <v>12</v>
      </c>
      <c r="I29" s="13"/>
      <c r="J29" s="14"/>
      <c r="K29" s="14"/>
      <c r="L29" s="14">
        <f t="shared" si="0"/>
        <v>0</v>
      </c>
      <c r="M29" s="28">
        <v>12</v>
      </c>
      <c r="N29" s="13"/>
      <c r="O29" s="14"/>
      <c r="P29" s="14"/>
      <c r="Q29" s="14">
        <f t="shared" si="1"/>
        <v>0</v>
      </c>
      <c r="R29" s="28">
        <v>12</v>
      </c>
      <c r="S29" s="13"/>
      <c r="T29" s="14"/>
      <c r="U29" s="14"/>
      <c r="V29" s="14">
        <f t="shared" si="2"/>
        <v>0</v>
      </c>
      <c r="W29" s="28">
        <v>12</v>
      </c>
      <c r="X29" s="13"/>
      <c r="Y29" s="14"/>
      <c r="Z29" s="14"/>
      <c r="AA29" s="14">
        <f t="shared" si="3"/>
        <v>0</v>
      </c>
      <c r="AB29" s="28">
        <v>12</v>
      </c>
      <c r="AC29" s="13"/>
      <c r="AD29" s="14"/>
      <c r="AE29" s="14"/>
      <c r="AF29" s="14">
        <f t="shared" si="4"/>
        <v>0</v>
      </c>
      <c r="AG29" s="28">
        <v>12</v>
      </c>
      <c r="AH29" s="13"/>
      <c r="AI29" s="14"/>
      <c r="AJ29" s="14"/>
      <c r="AK29" s="14">
        <f t="shared" si="5"/>
        <v>0</v>
      </c>
      <c r="AL29" s="28">
        <v>12</v>
      </c>
      <c r="AM29" s="13"/>
      <c r="AN29" s="14"/>
      <c r="AO29" s="14"/>
      <c r="AP29" s="14">
        <f t="shared" si="6"/>
        <v>0</v>
      </c>
      <c r="AQ29" s="28">
        <v>12</v>
      </c>
      <c r="AR29" s="13"/>
      <c r="AS29" s="14"/>
      <c r="AT29" s="14"/>
      <c r="AU29" s="14">
        <f t="shared" si="7"/>
        <v>0</v>
      </c>
      <c r="AV29" s="28">
        <v>12</v>
      </c>
      <c r="AW29" s="13"/>
      <c r="AX29" s="14"/>
      <c r="AY29" s="14"/>
      <c r="AZ29" s="14">
        <f t="shared" si="8"/>
        <v>0</v>
      </c>
      <c r="BA29" s="28">
        <v>12</v>
      </c>
      <c r="BB29" s="13"/>
      <c r="BC29" s="14"/>
      <c r="BD29" s="14"/>
      <c r="BE29" s="14">
        <f t="shared" si="9"/>
        <v>0</v>
      </c>
    </row>
    <row r="30" spans="1:57" s="2" customFormat="1" ht="85.15" customHeight="1">
      <c r="H30" s="28">
        <v>13</v>
      </c>
      <c r="I30" s="13"/>
      <c r="J30" s="14"/>
      <c r="K30" s="14"/>
      <c r="L30" s="14">
        <f t="shared" si="0"/>
        <v>0</v>
      </c>
      <c r="M30" s="28">
        <v>13</v>
      </c>
      <c r="N30" s="13"/>
      <c r="O30" s="14"/>
      <c r="P30" s="14"/>
      <c r="Q30" s="14">
        <f t="shared" si="1"/>
        <v>0</v>
      </c>
      <c r="R30" s="28">
        <v>13</v>
      </c>
      <c r="S30" s="13"/>
      <c r="T30" s="14"/>
      <c r="U30" s="14"/>
      <c r="V30" s="14">
        <f t="shared" si="2"/>
        <v>0</v>
      </c>
      <c r="W30" s="28">
        <v>13</v>
      </c>
      <c r="X30" s="13"/>
      <c r="Y30" s="14"/>
      <c r="Z30" s="14"/>
      <c r="AA30" s="14">
        <f t="shared" si="3"/>
        <v>0</v>
      </c>
      <c r="AB30" s="28">
        <v>13</v>
      </c>
      <c r="AC30" s="13"/>
      <c r="AD30" s="14"/>
      <c r="AE30" s="14"/>
      <c r="AF30" s="14">
        <f t="shared" si="4"/>
        <v>0</v>
      </c>
      <c r="AG30" s="28">
        <v>13</v>
      </c>
      <c r="AH30" s="13"/>
      <c r="AI30" s="14"/>
      <c r="AJ30" s="14"/>
      <c r="AK30" s="14">
        <f t="shared" si="5"/>
        <v>0</v>
      </c>
      <c r="AL30" s="28">
        <v>13</v>
      </c>
      <c r="AM30" s="13"/>
      <c r="AN30" s="14"/>
      <c r="AO30" s="14"/>
      <c r="AP30" s="14">
        <f t="shared" si="6"/>
        <v>0</v>
      </c>
      <c r="AQ30" s="28">
        <v>13</v>
      </c>
      <c r="AR30" s="13"/>
      <c r="AS30" s="14"/>
      <c r="AT30" s="14"/>
      <c r="AU30" s="14">
        <f t="shared" si="7"/>
        <v>0</v>
      </c>
      <c r="AV30" s="28">
        <v>13</v>
      </c>
      <c r="AW30" s="13"/>
      <c r="AX30" s="14"/>
      <c r="AY30" s="14"/>
      <c r="AZ30" s="14">
        <f t="shared" si="8"/>
        <v>0</v>
      </c>
      <c r="BA30" s="28">
        <v>13</v>
      </c>
      <c r="BB30" s="13"/>
      <c r="BC30" s="14"/>
      <c r="BD30" s="14"/>
      <c r="BE30" s="14">
        <f t="shared" si="9"/>
        <v>0</v>
      </c>
    </row>
    <row r="31" spans="1:57" s="2" customFormat="1" ht="85.15" customHeight="1">
      <c r="H31" s="28">
        <v>14</v>
      </c>
      <c r="I31" s="13"/>
      <c r="J31" s="14"/>
      <c r="K31" s="14"/>
      <c r="L31" s="14">
        <f t="shared" si="0"/>
        <v>0</v>
      </c>
      <c r="M31" s="28">
        <v>14</v>
      </c>
      <c r="N31" s="13"/>
      <c r="O31" s="14"/>
      <c r="P31" s="14"/>
      <c r="Q31" s="14">
        <f t="shared" si="1"/>
        <v>0</v>
      </c>
      <c r="R31" s="28">
        <v>14</v>
      </c>
      <c r="S31" s="13"/>
      <c r="T31" s="14"/>
      <c r="U31" s="14"/>
      <c r="V31" s="14">
        <f t="shared" si="2"/>
        <v>0</v>
      </c>
      <c r="W31" s="28">
        <v>14</v>
      </c>
      <c r="X31" s="13"/>
      <c r="Y31" s="14"/>
      <c r="Z31" s="14"/>
      <c r="AA31" s="14">
        <f t="shared" si="3"/>
        <v>0</v>
      </c>
      <c r="AB31" s="28">
        <v>14</v>
      </c>
      <c r="AC31" s="13"/>
      <c r="AD31" s="14"/>
      <c r="AE31" s="14"/>
      <c r="AF31" s="14">
        <f t="shared" si="4"/>
        <v>0</v>
      </c>
      <c r="AG31" s="28">
        <v>14</v>
      </c>
      <c r="AH31" s="13"/>
      <c r="AI31" s="14"/>
      <c r="AJ31" s="14"/>
      <c r="AK31" s="14">
        <f t="shared" si="5"/>
        <v>0</v>
      </c>
      <c r="AL31" s="28">
        <v>14</v>
      </c>
      <c r="AM31" s="13"/>
      <c r="AN31" s="14"/>
      <c r="AO31" s="14"/>
      <c r="AP31" s="14">
        <f t="shared" si="6"/>
        <v>0</v>
      </c>
      <c r="AQ31" s="28">
        <v>14</v>
      </c>
      <c r="AR31" s="13"/>
      <c r="AS31" s="14"/>
      <c r="AT31" s="14"/>
      <c r="AU31" s="14">
        <f t="shared" si="7"/>
        <v>0</v>
      </c>
      <c r="AV31" s="28">
        <v>14</v>
      </c>
      <c r="AW31" s="13"/>
      <c r="AX31" s="14"/>
      <c r="AY31" s="14"/>
      <c r="AZ31" s="14">
        <f t="shared" si="8"/>
        <v>0</v>
      </c>
      <c r="BA31" s="28">
        <v>14</v>
      </c>
      <c r="BB31" s="13"/>
      <c r="BC31" s="14"/>
      <c r="BD31" s="14"/>
      <c r="BE31" s="14">
        <f t="shared" si="9"/>
        <v>0</v>
      </c>
    </row>
    <row r="32" spans="1:57" s="2" customFormat="1" ht="85.15" customHeight="1">
      <c r="H32" s="28">
        <v>15</v>
      </c>
      <c r="I32" s="13"/>
      <c r="J32" s="14"/>
      <c r="K32" s="14"/>
      <c r="L32" s="14">
        <f t="shared" si="0"/>
        <v>0</v>
      </c>
      <c r="M32" s="28">
        <v>15</v>
      </c>
      <c r="N32" s="13"/>
      <c r="O32" s="14"/>
      <c r="P32" s="14"/>
      <c r="Q32" s="14">
        <f t="shared" si="1"/>
        <v>0</v>
      </c>
      <c r="R32" s="28">
        <v>15</v>
      </c>
      <c r="S32" s="13"/>
      <c r="T32" s="14"/>
      <c r="U32" s="14"/>
      <c r="V32" s="14">
        <f t="shared" si="2"/>
        <v>0</v>
      </c>
      <c r="W32" s="28">
        <v>15</v>
      </c>
      <c r="X32" s="13"/>
      <c r="Y32" s="14"/>
      <c r="Z32" s="14"/>
      <c r="AA32" s="14">
        <f t="shared" si="3"/>
        <v>0</v>
      </c>
      <c r="AB32" s="28">
        <v>15</v>
      </c>
      <c r="AC32" s="13"/>
      <c r="AD32" s="14"/>
      <c r="AE32" s="14"/>
      <c r="AF32" s="14">
        <f t="shared" si="4"/>
        <v>0</v>
      </c>
      <c r="AG32" s="28">
        <v>15</v>
      </c>
      <c r="AH32" s="13"/>
      <c r="AI32" s="14"/>
      <c r="AJ32" s="14"/>
      <c r="AK32" s="14">
        <f t="shared" si="5"/>
        <v>0</v>
      </c>
      <c r="AL32" s="28">
        <v>15</v>
      </c>
      <c r="AM32" s="13"/>
      <c r="AN32" s="14"/>
      <c r="AO32" s="14"/>
      <c r="AP32" s="14">
        <f t="shared" si="6"/>
        <v>0</v>
      </c>
      <c r="AQ32" s="28">
        <v>15</v>
      </c>
      <c r="AR32" s="13"/>
      <c r="AS32" s="14"/>
      <c r="AT32" s="14"/>
      <c r="AU32" s="14">
        <f t="shared" si="7"/>
        <v>0</v>
      </c>
      <c r="AV32" s="28">
        <v>15</v>
      </c>
      <c r="AW32" s="13"/>
      <c r="AX32" s="14"/>
      <c r="AY32" s="14"/>
      <c r="AZ32" s="14">
        <f t="shared" si="8"/>
        <v>0</v>
      </c>
      <c r="BA32" s="28">
        <v>15</v>
      </c>
      <c r="BB32" s="13"/>
      <c r="BC32" s="14"/>
      <c r="BD32" s="14"/>
      <c r="BE32" s="14">
        <f t="shared" si="9"/>
        <v>0</v>
      </c>
    </row>
    <row r="33" spans="8:57" s="2" customFormat="1" ht="85.15" customHeight="1">
      <c r="H33" s="28">
        <v>16</v>
      </c>
      <c r="I33" s="13"/>
      <c r="J33" s="14"/>
      <c r="K33" s="14"/>
      <c r="L33" s="14">
        <f t="shared" si="0"/>
        <v>0</v>
      </c>
      <c r="M33" s="28">
        <v>16</v>
      </c>
      <c r="N33" s="13"/>
      <c r="O33" s="14"/>
      <c r="P33" s="14"/>
      <c r="Q33" s="14">
        <f t="shared" si="1"/>
        <v>0</v>
      </c>
      <c r="R33" s="28">
        <v>16</v>
      </c>
      <c r="S33" s="13"/>
      <c r="T33" s="14"/>
      <c r="U33" s="14"/>
      <c r="V33" s="14">
        <f t="shared" si="2"/>
        <v>0</v>
      </c>
      <c r="W33" s="28">
        <v>16</v>
      </c>
      <c r="X33" s="13"/>
      <c r="Y33" s="14"/>
      <c r="Z33" s="14"/>
      <c r="AA33" s="14">
        <f t="shared" si="3"/>
        <v>0</v>
      </c>
      <c r="AB33" s="28">
        <v>16</v>
      </c>
      <c r="AC33" s="13"/>
      <c r="AD33" s="14"/>
      <c r="AE33" s="14"/>
      <c r="AF33" s="14">
        <f t="shared" si="4"/>
        <v>0</v>
      </c>
      <c r="AG33" s="28">
        <v>16</v>
      </c>
      <c r="AH33" s="13"/>
      <c r="AI33" s="14"/>
      <c r="AJ33" s="14"/>
      <c r="AK33" s="14">
        <f t="shared" si="5"/>
        <v>0</v>
      </c>
      <c r="AL33" s="28">
        <v>16</v>
      </c>
      <c r="AM33" s="13"/>
      <c r="AN33" s="14"/>
      <c r="AO33" s="14"/>
      <c r="AP33" s="14">
        <f t="shared" si="6"/>
        <v>0</v>
      </c>
      <c r="AQ33" s="28">
        <v>16</v>
      </c>
      <c r="AR33" s="13"/>
      <c r="AS33" s="14"/>
      <c r="AT33" s="14"/>
      <c r="AU33" s="14">
        <f t="shared" si="7"/>
        <v>0</v>
      </c>
      <c r="AV33" s="28">
        <v>16</v>
      </c>
      <c r="AW33" s="13"/>
      <c r="AX33" s="14"/>
      <c r="AY33" s="14"/>
      <c r="AZ33" s="14">
        <f t="shared" si="8"/>
        <v>0</v>
      </c>
      <c r="BA33" s="28">
        <v>16</v>
      </c>
      <c r="BB33" s="13"/>
      <c r="BC33" s="14"/>
      <c r="BD33" s="14"/>
      <c r="BE33" s="14">
        <f t="shared" si="9"/>
        <v>0</v>
      </c>
    </row>
    <row r="34" spans="8:57" s="2" customFormat="1" ht="85.15" customHeight="1">
      <c r="H34" s="28">
        <v>17</v>
      </c>
      <c r="I34" s="13"/>
      <c r="J34" s="14"/>
      <c r="K34" s="14"/>
      <c r="L34" s="14">
        <f t="shared" si="0"/>
        <v>0</v>
      </c>
      <c r="M34" s="28">
        <v>17</v>
      </c>
      <c r="N34" s="13"/>
      <c r="O34" s="14"/>
      <c r="P34" s="14"/>
      <c r="Q34" s="14">
        <f t="shared" si="1"/>
        <v>0</v>
      </c>
      <c r="R34" s="28">
        <v>17</v>
      </c>
      <c r="S34" s="13"/>
      <c r="T34" s="14"/>
      <c r="U34" s="14"/>
      <c r="V34" s="14">
        <f t="shared" si="2"/>
        <v>0</v>
      </c>
      <c r="W34" s="28">
        <v>17</v>
      </c>
      <c r="X34" s="13"/>
      <c r="Y34" s="14"/>
      <c r="Z34" s="14"/>
      <c r="AA34" s="14">
        <f t="shared" si="3"/>
        <v>0</v>
      </c>
      <c r="AB34" s="28">
        <v>17</v>
      </c>
      <c r="AC34" s="13"/>
      <c r="AD34" s="14"/>
      <c r="AE34" s="14"/>
      <c r="AF34" s="14">
        <f t="shared" si="4"/>
        <v>0</v>
      </c>
      <c r="AG34" s="28">
        <v>17</v>
      </c>
      <c r="AH34" s="13"/>
      <c r="AI34" s="14"/>
      <c r="AJ34" s="14"/>
      <c r="AK34" s="14">
        <f t="shared" si="5"/>
        <v>0</v>
      </c>
      <c r="AL34" s="28">
        <v>17</v>
      </c>
      <c r="AM34" s="13"/>
      <c r="AN34" s="14"/>
      <c r="AO34" s="14"/>
      <c r="AP34" s="14">
        <f t="shared" si="6"/>
        <v>0</v>
      </c>
      <c r="AQ34" s="28">
        <v>17</v>
      </c>
      <c r="AR34" s="13"/>
      <c r="AS34" s="14"/>
      <c r="AT34" s="14"/>
      <c r="AU34" s="14">
        <f t="shared" si="7"/>
        <v>0</v>
      </c>
      <c r="AV34" s="28">
        <v>17</v>
      </c>
      <c r="AW34" s="13"/>
      <c r="AX34" s="14"/>
      <c r="AY34" s="14"/>
      <c r="AZ34" s="14">
        <f t="shared" si="8"/>
        <v>0</v>
      </c>
      <c r="BA34" s="28">
        <v>17</v>
      </c>
      <c r="BB34" s="13"/>
      <c r="BC34" s="14"/>
      <c r="BD34" s="14"/>
      <c r="BE34" s="14">
        <f t="shared" si="9"/>
        <v>0</v>
      </c>
    </row>
    <row r="35" spans="8:57" s="2" customFormat="1" ht="85.15" customHeight="1">
      <c r="H35" s="28">
        <v>18</v>
      </c>
      <c r="I35" s="13"/>
      <c r="J35" s="14"/>
      <c r="K35" s="14"/>
      <c r="L35" s="14">
        <f t="shared" si="0"/>
        <v>0</v>
      </c>
      <c r="M35" s="28">
        <v>18</v>
      </c>
      <c r="N35" s="13"/>
      <c r="O35" s="14"/>
      <c r="P35" s="14"/>
      <c r="Q35" s="14">
        <f t="shared" si="1"/>
        <v>0</v>
      </c>
      <c r="R35" s="28">
        <v>18</v>
      </c>
      <c r="S35" s="13"/>
      <c r="T35" s="14"/>
      <c r="U35" s="14"/>
      <c r="V35" s="14">
        <f t="shared" si="2"/>
        <v>0</v>
      </c>
      <c r="W35" s="28">
        <v>18</v>
      </c>
      <c r="X35" s="13"/>
      <c r="Y35" s="14"/>
      <c r="Z35" s="14"/>
      <c r="AA35" s="14">
        <f t="shared" si="3"/>
        <v>0</v>
      </c>
      <c r="AB35" s="28">
        <v>18</v>
      </c>
      <c r="AC35" s="13"/>
      <c r="AD35" s="14"/>
      <c r="AE35" s="14"/>
      <c r="AF35" s="14">
        <f t="shared" si="4"/>
        <v>0</v>
      </c>
      <c r="AG35" s="28">
        <v>18</v>
      </c>
      <c r="AH35" s="13"/>
      <c r="AI35" s="14"/>
      <c r="AJ35" s="14"/>
      <c r="AK35" s="14">
        <f t="shared" si="5"/>
        <v>0</v>
      </c>
      <c r="AL35" s="28">
        <v>18</v>
      </c>
      <c r="AM35" s="13"/>
      <c r="AN35" s="14"/>
      <c r="AO35" s="14"/>
      <c r="AP35" s="14">
        <f t="shared" si="6"/>
        <v>0</v>
      </c>
      <c r="AQ35" s="28">
        <v>18</v>
      </c>
      <c r="AR35" s="13"/>
      <c r="AS35" s="14"/>
      <c r="AT35" s="14"/>
      <c r="AU35" s="14">
        <f t="shared" si="7"/>
        <v>0</v>
      </c>
      <c r="AV35" s="28">
        <v>18</v>
      </c>
      <c r="AW35" s="13"/>
      <c r="AX35" s="14"/>
      <c r="AY35" s="14"/>
      <c r="AZ35" s="14">
        <f t="shared" si="8"/>
        <v>0</v>
      </c>
      <c r="BA35" s="28">
        <v>18</v>
      </c>
      <c r="BB35" s="13"/>
      <c r="BC35" s="14"/>
      <c r="BD35" s="14"/>
      <c r="BE35" s="14">
        <f t="shared" si="9"/>
        <v>0</v>
      </c>
    </row>
    <row r="36" spans="8:57" s="2" customFormat="1" ht="85.15" customHeight="1">
      <c r="H36" s="28">
        <v>19</v>
      </c>
      <c r="I36" s="13"/>
      <c r="J36" s="14"/>
      <c r="K36" s="14"/>
      <c r="L36" s="14">
        <f t="shared" si="0"/>
        <v>0</v>
      </c>
      <c r="M36" s="28">
        <v>19</v>
      </c>
      <c r="N36" s="13"/>
      <c r="O36" s="14"/>
      <c r="P36" s="14"/>
      <c r="Q36" s="14">
        <f t="shared" si="1"/>
        <v>0</v>
      </c>
      <c r="R36" s="28">
        <v>19</v>
      </c>
      <c r="S36" s="13"/>
      <c r="T36" s="14"/>
      <c r="U36" s="14"/>
      <c r="V36" s="14">
        <f t="shared" si="2"/>
        <v>0</v>
      </c>
      <c r="W36" s="28">
        <v>19</v>
      </c>
      <c r="X36" s="13"/>
      <c r="Y36" s="14"/>
      <c r="Z36" s="14"/>
      <c r="AA36" s="14">
        <f t="shared" si="3"/>
        <v>0</v>
      </c>
      <c r="AB36" s="28">
        <v>19</v>
      </c>
      <c r="AC36" s="13"/>
      <c r="AD36" s="14"/>
      <c r="AE36" s="14"/>
      <c r="AF36" s="14">
        <f t="shared" si="4"/>
        <v>0</v>
      </c>
      <c r="AG36" s="28">
        <v>19</v>
      </c>
      <c r="AH36" s="13"/>
      <c r="AI36" s="14"/>
      <c r="AJ36" s="14"/>
      <c r="AK36" s="14">
        <f t="shared" si="5"/>
        <v>0</v>
      </c>
      <c r="AL36" s="28">
        <v>19</v>
      </c>
      <c r="AM36" s="13"/>
      <c r="AN36" s="14"/>
      <c r="AO36" s="14"/>
      <c r="AP36" s="14">
        <f t="shared" si="6"/>
        <v>0</v>
      </c>
      <c r="AQ36" s="28">
        <v>19</v>
      </c>
      <c r="AR36" s="13"/>
      <c r="AS36" s="14"/>
      <c r="AT36" s="14"/>
      <c r="AU36" s="14">
        <f t="shared" si="7"/>
        <v>0</v>
      </c>
      <c r="AV36" s="28">
        <v>19</v>
      </c>
      <c r="AW36" s="13"/>
      <c r="AX36" s="14"/>
      <c r="AY36" s="14"/>
      <c r="AZ36" s="14">
        <f t="shared" si="8"/>
        <v>0</v>
      </c>
      <c r="BA36" s="28">
        <v>19</v>
      </c>
      <c r="BB36" s="13"/>
      <c r="BC36" s="14"/>
      <c r="BD36" s="14"/>
      <c r="BE36" s="14">
        <f t="shared" si="9"/>
        <v>0</v>
      </c>
    </row>
    <row r="37" spans="8:57" s="2" customFormat="1" ht="85.15" customHeight="1">
      <c r="H37" s="28">
        <v>20</v>
      </c>
      <c r="I37" s="13"/>
      <c r="J37" s="14"/>
      <c r="K37" s="14"/>
      <c r="L37" s="14">
        <f t="shared" si="0"/>
        <v>0</v>
      </c>
      <c r="M37" s="28">
        <v>20</v>
      </c>
      <c r="N37" s="13"/>
      <c r="O37" s="14"/>
      <c r="P37" s="14"/>
      <c r="Q37" s="14">
        <f t="shared" si="1"/>
        <v>0</v>
      </c>
      <c r="R37" s="28">
        <v>20</v>
      </c>
      <c r="S37" s="13"/>
      <c r="T37" s="14"/>
      <c r="U37" s="14"/>
      <c r="V37" s="14">
        <f t="shared" si="2"/>
        <v>0</v>
      </c>
      <c r="W37" s="28">
        <v>20</v>
      </c>
      <c r="X37" s="13"/>
      <c r="Y37" s="14"/>
      <c r="Z37" s="14"/>
      <c r="AA37" s="14">
        <f t="shared" si="3"/>
        <v>0</v>
      </c>
      <c r="AB37" s="28">
        <v>20</v>
      </c>
      <c r="AC37" s="13"/>
      <c r="AD37" s="14"/>
      <c r="AE37" s="14"/>
      <c r="AF37" s="14">
        <f t="shared" si="4"/>
        <v>0</v>
      </c>
      <c r="AG37" s="28">
        <v>20</v>
      </c>
      <c r="AH37" s="13"/>
      <c r="AI37" s="14"/>
      <c r="AJ37" s="14"/>
      <c r="AK37" s="14">
        <f t="shared" si="5"/>
        <v>0</v>
      </c>
      <c r="AL37" s="28">
        <v>20</v>
      </c>
      <c r="AM37" s="13"/>
      <c r="AN37" s="14"/>
      <c r="AO37" s="14"/>
      <c r="AP37" s="14">
        <f t="shared" si="6"/>
        <v>0</v>
      </c>
      <c r="AQ37" s="28">
        <v>20</v>
      </c>
      <c r="AR37" s="13"/>
      <c r="AS37" s="14"/>
      <c r="AT37" s="14"/>
      <c r="AU37" s="14">
        <f t="shared" si="7"/>
        <v>0</v>
      </c>
      <c r="AV37" s="28">
        <v>20</v>
      </c>
      <c r="AW37" s="13"/>
      <c r="AX37" s="14"/>
      <c r="AY37" s="14"/>
      <c r="AZ37" s="14">
        <f t="shared" si="8"/>
        <v>0</v>
      </c>
      <c r="BA37" s="28">
        <v>20</v>
      </c>
      <c r="BB37" s="13"/>
      <c r="BC37" s="14"/>
      <c r="BD37" s="14"/>
      <c r="BE37" s="14">
        <f t="shared" si="9"/>
        <v>0</v>
      </c>
    </row>
    <row r="38" spans="8:57" s="2" customFormat="1" ht="85.15" customHeight="1">
      <c r="H38" s="28">
        <v>21</v>
      </c>
      <c r="I38" s="13"/>
      <c r="J38" s="14"/>
      <c r="K38" s="14"/>
      <c r="L38" s="14">
        <f t="shared" si="0"/>
        <v>0</v>
      </c>
      <c r="M38" s="28">
        <v>21</v>
      </c>
      <c r="N38" s="13"/>
      <c r="O38" s="14"/>
      <c r="P38" s="14"/>
      <c r="Q38" s="14">
        <f t="shared" si="1"/>
        <v>0</v>
      </c>
      <c r="R38" s="28">
        <v>21</v>
      </c>
      <c r="S38" s="13"/>
      <c r="T38" s="14"/>
      <c r="U38" s="14"/>
      <c r="V38" s="14">
        <f t="shared" si="2"/>
        <v>0</v>
      </c>
      <c r="W38" s="28">
        <v>21</v>
      </c>
      <c r="X38" s="13"/>
      <c r="Y38" s="14"/>
      <c r="Z38" s="14"/>
      <c r="AA38" s="14">
        <f t="shared" si="3"/>
        <v>0</v>
      </c>
      <c r="AB38" s="28">
        <v>21</v>
      </c>
      <c r="AC38" s="13"/>
      <c r="AD38" s="14"/>
      <c r="AE38" s="14"/>
      <c r="AF38" s="14">
        <f t="shared" si="4"/>
        <v>0</v>
      </c>
      <c r="AG38" s="28">
        <v>21</v>
      </c>
      <c r="AH38" s="13"/>
      <c r="AI38" s="14"/>
      <c r="AJ38" s="14"/>
      <c r="AK38" s="14">
        <f t="shared" si="5"/>
        <v>0</v>
      </c>
      <c r="AL38" s="28">
        <v>21</v>
      </c>
      <c r="AM38" s="13"/>
      <c r="AN38" s="14"/>
      <c r="AO38" s="14"/>
      <c r="AP38" s="14">
        <f t="shared" si="6"/>
        <v>0</v>
      </c>
      <c r="AQ38" s="28">
        <v>21</v>
      </c>
      <c r="AR38" s="13"/>
      <c r="AS38" s="14"/>
      <c r="AT38" s="14"/>
      <c r="AU38" s="14">
        <f t="shared" si="7"/>
        <v>0</v>
      </c>
      <c r="AV38" s="28">
        <v>21</v>
      </c>
      <c r="AW38" s="13"/>
      <c r="AX38" s="14"/>
      <c r="AY38" s="14"/>
      <c r="AZ38" s="14">
        <f t="shared" si="8"/>
        <v>0</v>
      </c>
      <c r="BA38" s="28">
        <v>21</v>
      </c>
      <c r="BB38" s="13"/>
      <c r="BC38" s="14"/>
      <c r="BD38" s="14"/>
      <c r="BE38" s="14">
        <f t="shared" si="9"/>
        <v>0</v>
      </c>
    </row>
    <row r="39" spans="8:57" s="2" customFormat="1" ht="85.15" customHeight="1">
      <c r="H39" s="28">
        <v>22</v>
      </c>
      <c r="I39" s="13"/>
      <c r="J39" s="14"/>
      <c r="K39" s="14"/>
      <c r="L39" s="14">
        <f t="shared" si="0"/>
        <v>0</v>
      </c>
      <c r="M39" s="28">
        <v>22</v>
      </c>
      <c r="N39" s="13"/>
      <c r="O39" s="14"/>
      <c r="P39" s="14"/>
      <c r="Q39" s="14">
        <f t="shared" si="1"/>
        <v>0</v>
      </c>
      <c r="R39" s="28">
        <v>22</v>
      </c>
      <c r="S39" s="13"/>
      <c r="T39" s="14"/>
      <c r="U39" s="14"/>
      <c r="V39" s="14">
        <f t="shared" si="2"/>
        <v>0</v>
      </c>
      <c r="W39" s="28">
        <v>22</v>
      </c>
      <c r="X39" s="13"/>
      <c r="Y39" s="14"/>
      <c r="Z39" s="14"/>
      <c r="AA39" s="14">
        <f t="shared" si="3"/>
        <v>0</v>
      </c>
      <c r="AB39" s="28">
        <v>22</v>
      </c>
      <c r="AC39" s="13"/>
      <c r="AD39" s="14"/>
      <c r="AE39" s="14"/>
      <c r="AF39" s="14">
        <f t="shared" si="4"/>
        <v>0</v>
      </c>
      <c r="AG39" s="28">
        <v>22</v>
      </c>
      <c r="AH39" s="13"/>
      <c r="AI39" s="14"/>
      <c r="AJ39" s="14"/>
      <c r="AK39" s="14">
        <f t="shared" si="5"/>
        <v>0</v>
      </c>
      <c r="AL39" s="28">
        <v>22</v>
      </c>
      <c r="AM39" s="13"/>
      <c r="AN39" s="14"/>
      <c r="AO39" s="14"/>
      <c r="AP39" s="14">
        <f t="shared" si="6"/>
        <v>0</v>
      </c>
      <c r="AQ39" s="28">
        <v>22</v>
      </c>
      <c r="AR39" s="13"/>
      <c r="AS39" s="14"/>
      <c r="AT39" s="14"/>
      <c r="AU39" s="14">
        <f t="shared" si="7"/>
        <v>0</v>
      </c>
      <c r="AV39" s="28">
        <v>22</v>
      </c>
      <c r="AW39" s="13"/>
      <c r="AX39" s="14"/>
      <c r="AY39" s="14"/>
      <c r="AZ39" s="14">
        <f t="shared" si="8"/>
        <v>0</v>
      </c>
      <c r="BA39" s="28">
        <v>22</v>
      </c>
      <c r="BB39" s="13"/>
      <c r="BC39" s="14"/>
      <c r="BD39" s="14"/>
      <c r="BE39" s="14">
        <f t="shared" si="9"/>
        <v>0</v>
      </c>
    </row>
    <row r="40" spans="8:57" s="2" customFormat="1" ht="85.15" customHeight="1">
      <c r="H40" s="28">
        <v>23</v>
      </c>
      <c r="I40" s="13"/>
      <c r="J40" s="14"/>
      <c r="K40" s="14"/>
      <c r="L40" s="14">
        <f t="shared" si="0"/>
        <v>0</v>
      </c>
      <c r="M40" s="28">
        <v>23</v>
      </c>
      <c r="N40" s="13"/>
      <c r="O40" s="14"/>
      <c r="P40" s="14"/>
      <c r="Q40" s="14">
        <f t="shared" si="1"/>
        <v>0</v>
      </c>
      <c r="R40" s="28">
        <v>23</v>
      </c>
      <c r="S40" s="13"/>
      <c r="T40" s="14"/>
      <c r="U40" s="14"/>
      <c r="V40" s="14">
        <f t="shared" si="2"/>
        <v>0</v>
      </c>
      <c r="W40" s="28">
        <v>23</v>
      </c>
      <c r="X40" s="13"/>
      <c r="Y40" s="14"/>
      <c r="Z40" s="14"/>
      <c r="AA40" s="14">
        <f t="shared" si="3"/>
        <v>0</v>
      </c>
      <c r="AB40" s="28">
        <v>23</v>
      </c>
      <c r="AC40" s="13"/>
      <c r="AD40" s="14"/>
      <c r="AE40" s="14"/>
      <c r="AF40" s="14">
        <f t="shared" si="4"/>
        <v>0</v>
      </c>
      <c r="AG40" s="28">
        <v>23</v>
      </c>
      <c r="AH40" s="13"/>
      <c r="AI40" s="14"/>
      <c r="AJ40" s="14"/>
      <c r="AK40" s="14">
        <f t="shared" si="5"/>
        <v>0</v>
      </c>
      <c r="AL40" s="28">
        <v>23</v>
      </c>
      <c r="AM40" s="13"/>
      <c r="AN40" s="14"/>
      <c r="AO40" s="14"/>
      <c r="AP40" s="14">
        <f t="shared" si="6"/>
        <v>0</v>
      </c>
      <c r="AQ40" s="28">
        <v>23</v>
      </c>
      <c r="AR40" s="13"/>
      <c r="AS40" s="14"/>
      <c r="AT40" s="14"/>
      <c r="AU40" s="14">
        <f t="shared" si="7"/>
        <v>0</v>
      </c>
      <c r="AV40" s="28">
        <v>23</v>
      </c>
      <c r="AW40" s="13"/>
      <c r="AX40" s="14"/>
      <c r="AY40" s="14"/>
      <c r="AZ40" s="14">
        <f t="shared" si="8"/>
        <v>0</v>
      </c>
      <c r="BA40" s="28">
        <v>23</v>
      </c>
      <c r="BB40" s="13"/>
      <c r="BC40" s="14"/>
      <c r="BD40" s="14"/>
      <c r="BE40" s="14">
        <f t="shared" si="9"/>
        <v>0</v>
      </c>
    </row>
    <row r="41" spans="8:57" s="2" customFormat="1" ht="85.15" customHeight="1">
      <c r="H41" s="28">
        <v>24</v>
      </c>
      <c r="I41" s="13"/>
      <c r="J41" s="14"/>
      <c r="K41" s="14"/>
      <c r="L41" s="14">
        <f t="shared" si="0"/>
        <v>0</v>
      </c>
      <c r="M41" s="28">
        <v>24</v>
      </c>
      <c r="N41" s="13"/>
      <c r="O41" s="14"/>
      <c r="P41" s="14"/>
      <c r="Q41" s="14">
        <f t="shared" si="1"/>
        <v>0</v>
      </c>
      <c r="R41" s="28">
        <v>24</v>
      </c>
      <c r="S41" s="13"/>
      <c r="T41" s="14"/>
      <c r="U41" s="14"/>
      <c r="V41" s="14">
        <f t="shared" si="2"/>
        <v>0</v>
      </c>
      <c r="W41" s="28">
        <v>24</v>
      </c>
      <c r="X41" s="13"/>
      <c r="Y41" s="14"/>
      <c r="Z41" s="14"/>
      <c r="AA41" s="14">
        <f t="shared" si="3"/>
        <v>0</v>
      </c>
      <c r="AB41" s="28">
        <v>24</v>
      </c>
      <c r="AC41" s="13"/>
      <c r="AD41" s="14"/>
      <c r="AE41" s="14"/>
      <c r="AF41" s="14">
        <f t="shared" si="4"/>
        <v>0</v>
      </c>
      <c r="AG41" s="28">
        <v>24</v>
      </c>
      <c r="AH41" s="13"/>
      <c r="AI41" s="14"/>
      <c r="AJ41" s="14"/>
      <c r="AK41" s="14">
        <f t="shared" si="5"/>
        <v>0</v>
      </c>
      <c r="AL41" s="28">
        <v>24</v>
      </c>
      <c r="AM41" s="13"/>
      <c r="AN41" s="14"/>
      <c r="AO41" s="14"/>
      <c r="AP41" s="14">
        <f t="shared" si="6"/>
        <v>0</v>
      </c>
      <c r="AQ41" s="28">
        <v>24</v>
      </c>
      <c r="AR41" s="13"/>
      <c r="AS41" s="14"/>
      <c r="AT41" s="14"/>
      <c r="AU41" s="14">
        <f t="shared" si="7"/>
        <v>0</v>
      </c>
      <c r="AV41" s="28">
        <v>24</v>
      </c>
      <c r="AW41" s="13"/>
      <c r="AX41" s="14"/>
      <c r="AY41" s="14"/>
      <c r="AZ41" s="14">
        <f t="shared" si="8"/>
        <v>0</v>
      </c>
      <c r="BA41" s="28">
        <v>24</v>
      </c>
      <c r="BB41" s="13"/>
      <c r="BC41" s="14"/>
      <c r="BD41" s="14"/>
      <c r="BE41" s="14">
        <f t="shared" si="9"/>
        <v>0</v>
      </c>
    </row>
    <row r="42" spans="8:57" s="2" customFormat="1" ht="85.15" customHeight="1">
      <c r="H42" s="28">
        <v>25</v>
      </c>
      <c r="I42" s="13"/>
      <c r="J42" s="14"/>
      <c r="K42" s="14"/>
      <c r="L42" s="14">
        <f t="shared" si="0"/>
        <v>0</v>
      </c>
      <c r="M42" s="28">
        <v>25</v>
      </c>
      <c r="N42" s="13"/>
      <c r="O42" s="14"/>
      <c r="P42" s="14"/>
      <c r="Q42" s="14">
        <f t="shared" si="1"/>
        <v>0</v>
      </c>
      <c r="R42" s="28">
        <v>25</v>
      </c>
      <c r="S42" s="13"/>
      <c r="T42" s="14"/>
      <c r="U42" s="14"/>
      <c r="V42" s="14">
        <f t="shared" si="2"/>
        <v>0</v>
      </c>
      <c r="W42" s="28">
        <v>25</v>
      </c>
      <c r="X42" s="13"/>
      <c r="Y42" s="14"/>
      <c r="Z42" s="14"/>
      <c r="AA42" s="14">
        <f t="shared" si="3"/>
        <v>0</v>
      </c>
      <c r="AB42" s="28">
        <v>25</v>
      </c>
      <c r="AC42" s="13"/>
      <c r="AD42" s="14"/>
      <c r="AE42" s="14"/>
      <c r="AF42" s="14">
        <f t="shared" si="4"/>
        <v>0</v>
      </c>
      <c r="AG42" s="28">
        <v>25</v>
      </c>
      <c r="AH42" s="13"/>
      <c r="AI42" s="14"/>
      <c r="AJ42" s="14"/>
      <c r="AK42" s="14">
        <f t="shared" si="5"/>
        <v>0</v>
      </c>
      <c r="AL42" s="28">
        <v>25</v>
      </c>
      <c r="AM42" s="13"/>
      <c r="AN42" s="14"/>
      <c r="AO42" s="14"/>
      <c r="AP42" s="14">
        <f t="shared" si="6"/>
        <v>0</v>
      </c>
      <c r="AQ42" s="28">
        <v>25</v>
      </c>
      <c r="AR42" s="13"/>
      <c r="AS42" s="14"/>
      <c r="AT42" s="14"/>
      <c r="AU42" s="14">
        <f t="shared" si="7"/>
        <v>0</v>
      </c>
      <c r="AV42" s="28">
        <v>25</v>
      </c>
      <c r="AW42" s="13"/>
      <c r="AX42" s="14"/>
      <c r="AY42" s="14"/>
      <c r="AZ42" s="14">
        <f t="shared" si="8"/>
        <v>0</v>
      </c>
      <c r="BA42" s="28">
        <v>25</v>
      </c>
      <c r="BB42" s="13"/>
      <c r="BC42" s="14"/>
      <c r="BD42" s="14"/>
      <c r="BE42" s="14">
        <f t="shared" si="9"/>
        <v>0</v>
      </c>
    </row>
    <row r="43" spans="8:57" s="2" customFormat="1" ht="85.15" customHeight="1">
      <c r="H43" s="28">
        <v>26</v>
      </c>
      <c r="I43" s="13"/>
      <c r="J43" s="14"/>
      <c r="K43" s="14"/>
      <c r="L43" s="14">
        <f t="shared" si="0"/>
        <v>0</v>
      </c>
      <c r="M43" s="28">
        <v>26</v>
      </c>
      <c r="N43" s="13"/>
      <c r="O43" s="14"/>
      <c r="P43" s="14"/>
      <c r="Q43" s="14">
        <f t="shared" si="1"/>
        <v>0</v>
      </c>
      <c r="R43" s="28">
        <v>26</v>
      </c>
      <c r="S43" s="13"/>
      <c r="T43" s="14"/>
      <c r="U43" s="14"/>
      <c r="V43" s="14">
        <f t="shared" si="2"/>
        <v>0</v>
      </c>
      <c r="W43" s="28">
        <v>26</v>
      </c>
      <c r="X43" s="13"/>
      <c r="Y43" s="14"/>
      <c r="Z43" s="14"/>
      <c r="AA43" s="14">
        <f t="shared" si="3"/>
        <v>0</v>
      </c>
      <c r="AB43" s="28">
        <v>26</v>
      </c>
      <c r="AC43" s="13"/>
      <c r="AD43" s="14"/>
      <c r="AE43" s="14"/>
      <c r="AF43" s="14">
        <f t="shared" si="4"/>
        <v>0</v>
      </c>
      <c r="AG43" s="28">
        <v>26</v>
      </c>
      <c r="AH43" s="13"/>
      <c r="AI43" s="14"/>
      <c r="AJ43" s="14"/>
      <c r="AK43" s="14">
        <f t="shared" si="5"/>
        <v>0</v>
      </c>
      <c r="AL43" s="28">
        <v>26</v>
      </c>
      <c r="AM43" s="13"/>
      <c r="AN43" s="14"/>
      <c r="AO43" s="14"/>
      <c r="AP43" s="14">
        <f t="shared" si="6"/>
        <v>0</v>
      </c>
      <c r="AQ43" s="28">
        <v>26</v>
      </c>
      <c r="AR43" s="13"/>
      <c r="AS43" s="14"/>
      <c r="AT43" s="14"/>
      <c r="AU43" s="14">
        <f t="shared" si="7"/>
        <v>0</v>
      </c>
      <c r="AV43" s="28">
        <v>26</v>
      </c>
      <c r="AW43" s="13"/>
      <c r="AX43" s="14"/>
      <c r="AY43" s="14"/>
      <c r="AZ43" s="14">
        <f t="shared" si="8"/>
        <v>0</v>
      </c>
      <c r="BA43" s="28">
        <v>26</v>
      </c>
      <c r="BB43" s="13"/>
      <c r="BC43" s="14"/>
      <c r="BD43" s="14"/>
      <c r="BE43" s="14">
        <f t="shared" si="9"/>
        <v>0</v>
      </c>
    </row>
    <row r="44" spans="8:57" s="2" customFormat="1" ht="85.15" customHeight="1">
      <c r="H44" s="28">
        <v>27</v>
      </c>
      <c r="I44" s="13"/>
      <c r="J44" s="14"/>
      <c r="K44" s="14"/>
      <c r="L44" s="14">
        <f t="shared" si="0"/>
        <v>0</v>
      </c>
      <c r="M44" s="28">
        <v>27</v>
      </c>
      <c r="N44" s="13"/>
      <c r="O44" s="14"/>
      <c r="P44" s="14"/>
      <c r="Q44" s="14">
        <f t="shared" si="1"/>
        <v>0</v>
      </c>
      <c r="R44" s="28">
        <v>27</v>
      </c>
      <c r="S44" s="13"/>
      <c r="T44" s="14"/>
      <c r="U44" s="14"/>
      <c r="V44" s="14">
        <f t="shared" si="2"/>
        <v>0</v>
      </c>
      <c r="W44" s="28">
        <v>27</v>
      </c>
      <c r="X44" s="13"/>
      <c r="Y44" s="14"/>
      <c r="Z44" s="14"/>
      <c r="AA44" s="14">
        <f t="shared" si="3"/>
        <v>0</v>
      </c>
      <c r="AB44" s="28">
        <v>27</v>
      </c>
      <c r="AC44" s="13"/>
      <c r="AD44" s="14"/>
      <c r="AE44" s="14"/>
      <c r="AF44" s="14">
        <f t="shared" si="4"/>
        <v>0</v>
      </c>
      <c r="AG44" s="28">
        <v>27</v>
      </c>
      <c r="AH44" s="13"/>
      <c r="AI44" s="14"/>
      <c r="AJ44" s="14"/>
      <c r="AK44" s="14">
        <f t="shared" si="5"/>
        <v>0</v>
      </c>
      <c r="AL44" s="28">
        <v>27</v>
      </c>
      <c r="AM44" s="13"/>
      <c r="AN44" s="14"/>
      <c r="AO44" s="14"/>
      <c r="AP44" s="14">
        <f t="shared" si="6"/>
        <v>0</v>
      </c>
      <c r="AQ44" s="28">
        <v>27</v>
      </c>
      <c r="AR44" s="13"/>
      <c r="AS44" s="14"/>
      <c r="AT44" s="14"/>
      <c r="AU44" s="14">
        <f t="shared" si="7"/>
        <v>0</v>
      </c>
      <c r="AV44" s="28">
        <v>27</v>
      </c>
      <c r="AW44" s="13"/>
      <c r="AX44" s="14"/>
      <c r="AY44" s="14"/>
      <c r="AZ44" s="14">
        <f t="shared" si="8"/>
        <v>0</v>
      </c>
      <c r="BA44" s="28">
        <v>27</v>
      </c>
      <c r="BB44" s="13"/>
      <c r="BC44" s="14"/>
      <c r="BD44" s="14"/>
      <c r="BE44" s="14">
        <f t="shared" si="9"/>
        <v>0</v>
      </c>
    </row>
    <row r="45" spans="8:57" s="2" customFormat="1" ht="85.15" customHeight="1">
      <c r="H45" s="28">
        <v>28</v>
      </c>
      <c r="I45" s="13"/>
      <c r="J45" s="14"/>
      <c r="K45" s="14"/>
      <c r="L45" s="14">
        <f t="shared" si="0"/>
        <v>0</v>
      </c>
      <c r="M45" s="28">
        <v>28</v>
      </c>
      <c r="N45" s="13"/>
      <c r="O45" s="14"/>
      <c r="P45" s="14"/>
      <c r="Q45" s="14">
        <f t="shared" si="1"/>
        <v>0</v>
      </c>
      <c r="R45" s="28">
        <v>28</v>
      </c>
      <c r="S45" s="13"/>
      <c r="T45" s="14"/>
      <c r="U45" s="14"/>
      <c r="V45" s="14">
        <f t="shared" si="2"/>
        <v>0</v>
      </c>
      <c r="W45" s="28">
        <v>28</v>
      </c>
      <c r="X45" s="13"/>
      <c r="Y45" s="14"/>
      <c r="Z45" s="14"/>
      <c r="AA45" s="14">
        <f t="shared" si="3"/>
        <v>0</v>
      </c>
      <c r="AB45" s="28">
        <v>28</v>
      </c>
      <c r="AC45" s="13"/>
      <c r="AD45" s="14"/>
      <c r="AE45" s="14"/>
      <c r="AF45" s="14">
        <f t="shared" si="4"/>
        <v>0</v>
      </c>
      <c r="AG45" s="28">
        <v>28</v>
      </c>
      <c r="AH45" s="13"/>
      <c r="AI45" s="14"/>
      <c r="AJ45" s="14"/>
      <c r="AK45" s="14">
        <f t="shared" si="5"/>
        <v>0</v>
      </c>
      <c r="AL45" s="28">
        <v>28</v>
      </c>
      <c r="AM45" s="13"/>
      <c r="AN45" s="14"/>
      <c r="AO45" s="14"/>
      <c r="AP45" s="14">
        <f t="shared" si="6"/>
        <v>0</v>
      </c>
      <c r="AQ45" s="28">
        <v>28</v>
      </c>
      <c r="AR45" s="13"/>
      <c r="AS45" s="14"/>
      <c r="AT45" s="14"/>
      <c r="AU45" s="14">
        <f t="shared" si="7"/>
        <v>0</v>
      </c>
      <c r="AV45" s="28">
        <v>28</v>
      </c>
      <c r="AW45" s="13"/>
      <c r="AX45" s="14"/>
      <c r="AY45" s="14"/>
      <c r="AZ45" s="14">
        <f t="shared" si="8"/>
        <v>0</v>
      </c>
      <c r="BA45" s="28">
        <v>28</v>
      </c>
      <c r="BB45" s="13"/>
      <c r="BC45" s="14"/>
      <c r="BD45" s="14"/>
      <c r="BE45" s="14">
        <f t="shared" si="9"/>
        <v>0</v>
      </c>
    </row>
    <row r="46" spans="8:57" s="2" customFormat="1" ht="85.15" customHeight="1">
      <c r="H46" s="28">
        <v>29</v>
      </c>
      <c r="I46" s="13"/>
      <c r="J46" s="14"/>
      <c r="K46" s="14"/>
      <c r="L46" s="14">
        <f t="shared" si="0"/>
        <v>0</v>
      </c>
      <c r="M46" s="28">
        <v>29</v>
      </c>
      <c r="N46" s="13"/>
      <c r="O46" s="14"/>
      <c r="P46" s="14"/>
      <c r="Q46" s="14">
        <f t="shared" si="1"/>
        <v>0</v>
      </c>
      <c r="R46" s="28">
        <v>29</v>
      </c>
      <c r="S46" s="13"/>
      <c r="T46" s="14"/>
      <c r="U46" s="14"/>
      <c r="V46" s="14">
        <f t="shared" si="2"/>
        <v>0</v>
      </c>
      <c r="W46" s="28">
        <v>29</v>
      </c>
      <c r="X46" s="13"/>
      <c r="Y46" s="14"/>
      <c r="Z46" s="14"/>
      <c r="AA46" s="14">
        <f t="shared" si="3"/>
        <v>0</v>
      </c>
      <c r="AB46" s="28">
        <v>29</v>
      </c>
      <c r="AC46" s="13"/>
      <c r="AD46" s="14"/>
      <c r="AE46" s="14"/>
      <c r="AF46" s="14">
        <f t="shared" si="4"/>
        <v>0</v>
      </c>
      <c r="AG46" s="28">
        <v>29</v>
      </c>
      <c r="AH46" s="13"/>
      <c r="AI46" s="14"/>
      <c r="AJ46" s="14"/>
      <c r="AK46" s="14">
        <f t="shared" si="5"/>
        <v>0</v>
      </c>
      <c r="AL46" s="28">
        <v>29</v>
      </c>
      <c r="AM46" s="13"/>
      <c r="AN46" s="14"/>
      <c r="AO46" s="14"/>
      <c r="AP46" s="14">
        <f t="shared" si="6"/>
        <v>0</v>
      </c>
      <c r="AQ46" s="28">
        <v>29</v>
      </c>
      <c r="AR46" s="13"/>
      <c r="AS46" s="14"/>
      <c r="AT46" s="14"/>
      <c r="AU46" s="14">
        <f t="shared" si="7"/>
        <v>0</v>
      </c>
      <c r="AV46" s="28">
        <v>29</v>
      </c>
      <c r="AW46" s="13"/>
      <c r="AX46" s="14"/>
      <c r="AY46" s="14"/>
      <c r="AZ46" s="14">
        <f t="shared" si="8"/>
        <v>0</v>
      </c>
      <c r="BA46" s="28">
        <v>29</v>
      </c>
      <c r="BB46" s="13"/>
      <c r="BC46" s="14"/>
      <c r="BD46" s="14"/>
      <c r="BE46" s="14">
        <f t="shared" si="9"/>
        <v>0</v>
      </c>
    </row>
    <row r="47" spans="8:57" s="2" customFormat="1" ht="85.15" customHeight="1">
      <c r="H47" s="28">
        <v>30</v>
      </c>
      <c r="I47" s="13"/>
      <c r="J47" s="14"/>
      <c r="K47" s="14"/>
      <c r="L47" s="14">
        <f t="shared" si="0"/>
        <v>0</v>
      </c>
      <c r="M47" s="28">
        <v>30</v>
      </c>
      <c r="N47" s="13"/>
      <c r="O47" s="14"/>
      <c r="P47" s="14"/>
      <c r="Q47" s="14">
        <f t="shared" si="1"/>
        <v>0</v>
      </c>
      <c r="R47" s="28">
        <v>30</v>
      </c>
      <c r="S47" s="13"/>
      <c r="T47" s="14"/>
      <c r="U47" s="14"/>
      <c r="V47" s="14">
        <f t="shared" si="2"/>
        <v>0</v>
      </c>
      <c r="W47" s="28">
        <v>30</v>
      </c>
      <c r="X47" s="13"/>
      <c r="Y47" s="14"/>
      <c r="Z47" s="14"/>
      <c r="AA47" s="14">
        <f t="shared" si="3"/>
        <v>0</v>
      </c>
      <c r="AB47" s="28">
        <v>30</v>
      </c>
      <c r="AC47" s="13"/>
      <c r="AD47" s="14"/>
      <c r="AE47" s="14"/>
      <c r="AF47" s="14">
        <f t="shared" si="4"/>
        <v>0</v>
      </c>
      <c r="AG47" s="28">
        <v>30</v>
      </c>
      <c r="AH47" s="13"/>
      <c r="AI47" s="14"/>
      <c r="AJ47" s="14"/>
      <c r="AK47" s="14">
        <f t="shared" si="5"/>
        <v>0</v>
      </c>
      <c r="AL47" s="28">
        <v>30</v>
      </c>
      <c r="AM47" s="13"/>
      <c r="AN47" s="14"/>
      <c r="AO47" s="14"/>
      <c r="AP47" s="14">
        <f t="shared" si="6"/>
        <v>0</v>
      </c>
      <c r="AQ47" s="28">
        <v>30</v>
      </c>
      <c r="AR47" s="13"/>
      <c r="AS47" s="14"/>
      <c r="AT47" s="14"/>
      <c r="AU47" s="14">
        <f t="shared" si="7"/>
        <v>0</v>
      </c>
      <c r="AV47" s="28">
        <v>30</v>
      </c>
      <c r="AW47" s="13"/>
      <c r="AX47" s="14"/>
      <c r="AY47" s="14"/>
      <c r="AZ47" s="14">
        <f t="shared" si="8"/>
        <v>0</v>
      </c>
      <c r="BA47" s="28">
        <v>30</v>
      </c>
      <c r="BB47" s="13"/>
      <c r="BC47" s="14"/>
      <c r="BD47" s="14"/>
      <c r="BE47" s="14">
        <f t="shared" si="9"/>
        <v>0</v>
      </c>
    </row>
    <row r="48" spans="8:57" s="2" customFormat="1" ht="85.15" customHeight="1">
      <c r="H48" s="28">
        <v>31</v>
      </c>
      <c r="I48" s="13"/>
      <c r="J48" s="14"/>
      <c r="K48" s="14"/>
      <c r="L48" s="14">
        <f t="shared" si="0"/>
        <v>0</v>
      </c>
      <c r="M48" s="28">
        <v>31</v>
      </c>
      <c r="N48" s="13"/>
      <c r="O48" s="14"/>
      <c r="P48" s="14"/>
      <c r="Q48" s="14">
        <f t="shared" si="1"/>
        <v>0</v>
      </c>
      <c r="R48" s="28">
        <v>31</v>
      </c>
      <c r="S48" s="13"/>
      <c r="T48" s="14"/>
      <c r="U48" s="14"/>
      <c r="V48" s="14">
        <f t="shared" si="2"/>
        <v>0</v>
      </c>
      <c r="W48" s="28">
        <v>31</v>
      </c>
      <c r="X48" s="13"/>
      <c r="Y48" s="14"/>
      <c r="Z48" s="14"/>
      <c r="AA48" s="14">
        <f t="shared" si="3"/>
        <v>0</v>
      </c>
      <c r="AB48" s="28">
        <v>31</v>
      </c>
      <c r="AC48" s="13"/>
      <c r="AD48" s="14"/>
      <c r="AE48" s="14"/>
      <c r="AF48" s="14">
        <f t="shared" si="4"/>
        <v>0</v>
      </c>
      <c r="AG48" s="28">
        <v>31</v>
      </c>
      <c r="AH48" s="13"/>
      <c r="AI48" s="14"/>
      <c r="AJ48" s="14"/>
      <c r="AK48" s="14">
        <f t="shared" si="5"/>
        <v>0</v>
      </c>
      <c r="AL48" s="28">
        <v>31</v>
      </c>
      <c r="AM48" s="13"/>
      <c r="AN48" s="14"/>
      <c r="AO48" s="14"/>
      <c r="AP48" s="14">
        <f t="shared" si="6"/>
        <v>0</v>
      </c>
      <c r="AQ48" s="28">
        <v>31</v>
      </c>
      <c r="AR48" s="13"/>
      <c r="AS48" s="14"/>
      <c r="AT48" s="14"/>
      <c r="AU48" s="14">
        <f t="shared" si="7"/>
        <v>0</v>
      </c>
      <c r="AV48" s="28">
        <v>31</v>
      </c>
      <c r="AW48" s="13"/>
      <c r="AX48" s="14"/>
      <c r="AY48" s="14"/>
      <c r="AZ48" s="14">
        <f t="shared" si="8"/>
        <v>0</v>
      </c>
      <c r="BA48" s="28">
        <v>31</v>
      </c>
      <c r="BB48" s="13"/>
      <c r="BC48" s="14"/>
      <c r="BD48" s="14"/>
      <c r="BE48" s="14">
        <f t="shared" si="9"/>
        <v>0</v>
      </c>
    </row>
    <row r="49" spans="8:57" s="2" customFormat="1" ht="85.15" customHeight="1">
      <c r="H49" s="28">
        <v>32</v>
      </c>
      <c r="I49" s="13"/>
      <c r="J49" s="14"/>
      <c r="K49" s="14"/>
      <c r="L49" s="14">
        <f t="shared" si="0"/>
        <v>0</v>
      </c>
      <c r="M49" s="28">
        <v>32</v>
      </c>
      <c r="N49" s="13"/>
      <c r="O49" s="14"/>
      <c r="P49" s="14"/>
      <c r="Q49" s="14">
        <f t="shared" si="1"/>
        <v>0</v>
      </c>
      <c r="R49" s="28">
        <v>32</v>
      </c>
      <c r="S49" s="13"/>
      <c r="T49" s="14"/>
      <c r="U49" s="14"/>
      <c r="V49" s="14">
        <f t="shared" si="2"/>
        <v>0</v>
      </c>
      <c r="W49" s="28">
        <v>32</v>
      </c>
      <c r="X49" s="13"/>
      <c r="Y49" s="14"/>
      <c r="Z49" s="14"/>
      <c r="AA49" s="14">
        <f t="shared" si="3"/>
        <v>0</v>
      </c>
      <c r="AB49" s="28">
        <v>32</v>
      </c>
      <c r="AC49" s="13"/>
      <c r="AD49" s="14"/>
      <c r="AE49" s="14"/>
      <c r="AF49" s="14">
        <f t="shared" si="4"/>
        <v>0</v>
      </c>
      <c r="AG49" s="28">
        <v>32</v>
      </c>
      <c r="AH49" s="13"/>
      <c r="AI49" s="14"/>
      <c r="AJ49" s="14"/>
      <c r="AK49" s="14">
        <f t="shared" si="5"/>
        <v>0</v>
      </c>
      <c r="AL49" s="28">
        <v>32</v>
      </c>
      <c r="AM49" s="13"/>
      <c r="AN49" s="14"/>
      <c r="AO49" s="14"/>
      <c r="AP49" s="14">
        <f t="shared" si="6"/>
        <v>0</v>
      </c>
      <c r="AQ49" s="28">
        <v>32</v>
      </c>
      <c r="AR49" s="13"/>
      <c r="AS49" s="14"/>
      <c r="AT49" s="14"/>
      <c r="AU49" s="14">
        <f t="shared" si="7"/>
        <v>0</v>
      </c>
      <c r="AV49" s="28">
        <v>32</v>
      </c>
      <c r="AW49" s="13"/>
      <c r="AX49" s="14"/>
      <c r="AY49" s="14"/>
      <c r="AZ49" s="14">
        <f t="shared" si="8"/>
        <v>0</v>
      </c>
      <c r="BA49" s="28">
        <v>32</v>
      </c>
      <c r="BB49" s="13"/>
      <c r="BC49" s="14"/>
      <c r="BD49" s="14"/>
      <c r="BE49" s="14">
        <f t="shared" si="9"/>
        <v>0</v>
      </c>
    </row>
    <row r="50" spans="8:57" s="2" customFormat="1" ht="85.15" customHeight="1">
      <c r="H50" s="28">
        <v>33</v>
      </c>
      <c r="I50" s="13"/>
      <c r="J50" s="14"/>
      <c r="K50" s="14"/>
      <c r="L50" s="14">
        <f t="shared" si="0"/>
        <v>0</v>
      </c>
      <c r="M50" s="28">
        <v>33</v>
      </c>
      <c r="N50" s="13"/>
      <c r="O50" s="14"/>
      <c r="P50" s="14"/>
      <c r="Q50" s="14">
        <f t="shared" si="1"/>
        <v>0</v>
      </c>
      <c r="R50" s="28">
        <v>33</v>
      </c>
      <c r="S50" s="13"/>
      <c r="T50" s="14"/>
      <c r="U50" s="14"/>
      <c r="V50" s="14">
        <f t="shared" si="2"/>
        <v>0</v>
      </c>
      <c r="W50" s="28">
        <v>33</v>
      </c>
      <c r="X50" s="13"/>
      <c r="Y50" s="14"/>
      <c r="Z50" s="14"/>
      <c r="AA50" s="14">
        <f t="shared" si="3"/>
        <v>0</v>
      </c>
      <c r="AB50" s="28">
        <v>33</v>
      </c>
      <c r="AC50" s="13"/>
      <c r="AD50" s="14"/>
      <c r="AE50" s="14"/>
      <c r="AF50" s="14">
        <f t="shared" si="4"/>
        <v>0</v>
      </c>
      <c r="AG50" s="28">
        <v>33</v>
      </c>
      <c r="AH50" s="13"/>
      <c r="AI50" s="14"/>
      <c r="AJ50" s="14"/>
      <c r="AK50" s="14">
        <f t="shared" si="5"/>
        <v>0</v>
      </c>
      <c r="AL50" s="28">
        <v>33</v>
      </c>
      <c r="AM50" s="13"/>
      <c r="AN50" s="14"/>
      <c r="AO50" s="14"/>
      <c r="AP50" s="14">
        <f t="shared" si="6"/>
        <v>0</v>
      </c>
      <c r="AQ50" s="28">
        <v>33</v>
      </c>
      <c r="AR50" s="13"/>
      <c r="AS50" s="14"/>
      <c r="AT50" s="14"/>
      <c r="AU50" s="14">
        <f t="shared" si="7"/>
        <v>0</v>
      </c>
      <c r="AV50" s="28">
        <v>33</v>
      </c>
      <c r="AW50" s="13"/>
      <c r="AX50" s="14"/>
      <c r="AY50" s="14"/>
      <c r="AZ50" s="14">
        <f t="shared" si="8"/>
        <v>0</v>
      </c>
      <c r="BA50" s="28">
        <v>33</v>
      </c>
      <c r="BB50" s="13"/>
      <c r="BC50" s="14"/>
      <c r="BD50" s="14"/>
      <c r="BE50" s="14">
        <f t="shared" si="9"/>
        <v>0</v>
      </c>
    </row>
    <row r="51" spans="8:57" s="2" customFormat="1" ht="85.15" customHeight="1">
      <c r="H51" s="28">
        <v>34</v>
      </c>
      <c r="I51" s="13"/>
      <c r="J51" s="14"/>
      <c r="K51" s="14"/>
      <c r="L51" s="14">
        <f t="shared" si="0"/>
        <v>0</v>
      </c>
      <c r="M51" s="28">
        <v>34</v>
      </c>
      <c r="N51" s="13"/>
      <c r="O51" s="14"/>
      <c r="P51" s="14"/>
      <c r="Q51" s="14">
        <f t="shared" si="1"/>
        <v>0</v>
      </c>
      <c r="R51" s="28">
        <v>34</v>
      </c>
      <c r="S51" s="13"/>
      <c r="T51" s="14"/>
      <c r="U51" s="14"/>
      <c r="V51" s="14">
        <f t="shared" si="2"/>
        <v>0</v>
      </c>
      <c r="W51" s="28">
        <v>34</v>
      </c>
      <c r="X51" s="13"/>
      <c r="Y51" s="14"/>
      <c r="Z51" s="14"/>
      <c r="AA51" s="14">
        <f t="shared" si="3"/>
        <v>0</v>
      </c>
      <c r="AB51" s="28">
        <v>34</v>
      </c>
      <c r="AC51" s="13"/>
      <c r="AD51" s="14"/>
      <c r="AE51" s="14"/>
      <c r="AF51" s="14">
        <f t="shared" si="4"/>
        <v>0</v>
      </c>
      <c r="AG51" s="28">
        <v>34</v>
      </c>
      <c r="AH51" s="13"/>
      <c r="AI51" s="14"/>
      <c r="AJ51" s="14"/>
      <c r="AK51" s="14">
        <f t="shared" si="5"/>
        <v>0</v>
      </c>
      <c r="AL51" s="28">
        <v>34</v>
      </c>
      <c r="AM51" s="13"/>
      <c r="AN51" s="14"/>
      <c r="AO51" s="14"/>
      <c r="AP51" s="14">
        <f t="shared" si="6"/>
        <v>0</v>
      </c>
      <c r="AQ51" s="28">
        <v>34</v>
      </c>
      <c r="AR51" s="13"/>
      <c r="AS51" s="14"/>
      <c r="AT51" s="14"/>
      <c r="AU51" s="14">
        <f t="shared" si="7"/>
        <v>0</v>
      </c>
      <c r="AV51" s="28">
        <v>34</v>
      </c>
      <c r="AW51" s="13"/>
      <c r="AX51" s="14"/>
      <c r="AY51" s="14"/>
      <c r="AZ51" s="14">
        <f t="shared" si="8"/>
        <v>0</v>
      </c>
      <c r="BA51" s="28">
        <v>34</v>
      </c>
      <c r="BB51" s="13"/>
      <c r="BC51" s="14"/>
      <c r="BD51" s="14"/>
      <c r="BE51" s="14">
        <f t="shared" si="9"/>
        <v>0</v>
      </c>
    </row>
    <row r="52" spans="8:57" s="2" customFormat="1" ht="85.15" customHeight="1">
      <c r="H52" s="28">
        <v>35</v>
      </c>
      <c r="I52" s="13"/>
      <c r="J52" s="14"/>
      <c r="K52" s="14"/>
      <c r="L52" s="14">
        <f t="shared" si="0"/>
        <v>0</v>
      </c>
      <c r="M52" s="28">
        <v>35</v>
      </c>
      <c r="N52" s="13"/>
      <c r="O52" s="14"/>
      <c r="P52" s="14"/>
      <c r="Q52" s="14">
        <f t="shared" si="1"/>
        <v>0</v>
      </c>
      <c r="R52" s="28">
        <v>35</v>
      </c>
      <c r="S52" s="13"/>
      <c r="T52" s="14"/>
      <c r="U52" s="14"/>
      <c r="V52" s="14">
        <f t="shared" si="2"/>
        <v>0</v>
      </c>
      <c r="W52" s="28">
        <v>35</v>
      </c>
      <c r="X52" s="13"/>
      <c r="Y52" s="14"/>
      <c r="Z52" s="14"/>
      <c r="AA52" s="14">
        <f t="shared" si="3"/>
        <v>0</v>
      </c>
      <c r="AB52" s="28">
        <v>35</v>
      </c>
      <c r="AC52" s="13"/>
      <c r="AD52" s="14"/>
      <c r="AE52" s="14"/>
      <c r="AF52" s="14">
        <f t="shared" si="4"/>
        <v>0</v>
      </c>
      <c r="AG52" s="28">
        <v>35</v>
      </c>
      <c r="AH52" s="13"/>
      <c r="AI52" s="14"/>
      <c r="AJ52" s="14"/>
      <c r="AK52" s="14">
        <f t="shared" si="5"/>
        <v>0</v>
      </c>
      <c r="AL52" s="28">
        <v>35</v>
      </c>
      <c r="AM52" s="13"/>
      <c r="AN52" s="14"/>
      <c r="AO52" s="14"/>
      <c r="AP52" s="14">
        <f t="shared" si="6"/>
        <v>0</v>
      </c>
      <c r="AQ52" s="28">
        <v>35</v>
      </c>
      <c r="AR52" s="13"/>
      <c r="AS52" s="14"/>
      <c r="AT52" s="14"/>
      <c r="AU52" s="14">
        <f t="shared" si="7"/>
        <v>0</v>
      </c>
      <c r="AV52" s="28">
        <v>35</v>
      </c>
      <c r="AW52" s="13"/>
      <c r="AX52" s="14"/>
      <c r="AY52" s="14"/>
      <c r="AZ52" s="14">
        <f t="shared" si="8"/>
        <v>0</v>
      </c>
      <c r="BA52" s="28">
        <v>35</v>
      </c>
      <c r="BB52" s="13"/>
      <c r="BC52" s="14"/>
      <c r="BD52" s="14"/>
      <c r="BE52" s="14">
        <f t="shared" si="9"/>
        <v>0</v>
      </c>
    </row>
    <row r="53" spans="8:57" s="2" customFormat="1" ht="85.15" customHeight="1">
      <c r="H53" s="28">
        <v>36</v>
      </c>
      <c r="I53" s="13"/>
      <c r="J53" s="14"/>
      <c r="K53" s="14"/>
      <c r="L53" s="14">
        <f t="shared" si="0"/>
        <v>0</v>
      </c>
      <c r="M53" s="28">
        <v>36</v>
      </c>
      <c r="N53" s="13"/>
      <c r="O53" s="14"/>
      <c r="P53" s="14"/>
      <c r="Q53" s="14">
        <f t="shared" si="1"/>
        <v>0</v>
      </c>
      <c r="R53" s="28">
        <v>36</v>
      </c>
      <c r="S53" s="13"/>
      <c r="T53" s="14"/>
      <c r="U53" s="14"/>
      <c r="V53" s="14">
        <f t="shared" si="2"/>
        <v>0</v>
      </c>
      <c r="W53" s="28">
        <v>36</v>
      </c>
      <c r="X53" s="13"/>
      <c r="Y53" s="14"/>
      <c r="Z53" s="14"/>
      <c r="AA53" s="14">
        <f t="shared" si="3"/>
        <v>0</v>
      </c>
      <c r="AB53" s="28">
        <v>36</v>
      </c>
      <c r="AC53" s="13"/>
      <c r="AD53" s="14"/>
      <c r="AE53" s="14"/>
      <c r="AF53" s="14">
        <f t="shared" si="4"/>
        <v>0</v>
      </c>
      <c r="AG53" s="28">
        <v>36</v>
      </c>
      <c r="AH53" s="13"/>
      <c r="AI53" s="14"/>
      <c r="AJ53" s="14"/>
      <c r="AK53" s="14">
        <f t="shared" si="5"/>
        <v>0</v>
      </c>
      <c r="AL53" s="28">
        <v>36</v>
      </c>
      <c r="AM53" s="13"/>
      <c r="AN53" s="14"/>
      <c r="AO53" s="14"/>
      <c r="AP53" s="14">
        <f t="shared" si="6"/>
        <v>0</v>
      </c>
      <c r="AQ53" s="28">
        <v>36</v>
      </c>
      <c r="AR53" s="13"/>
      <c r="AS53" s="14"/>
      <c r="AT53" s="14"/>
      <c r="AU53" s="14">
        <f t="shared" si="7"/>
        <v>0</v>
      </c>
      <c r="AV53" s="28">
        <v>36</v>
      </c>
      <c r="AW53" s="13"/>
      <c r="AX53" s="14"/>
      <c r="AY53" s="14"/>
      <c r="AZ53" s="14">
        <f t="shared" si="8"/>
        <v>0</v>
      </c>
      <c r="BA53" s="28">
        <v>36</v>
      </c>
      <c r="BB53" s="13"/>
      <c r="BC53" s="14"/>
      <c r="BD53" s="14"/>
      <c r="BE53" s="14">
        <f t="shared" si="9"/>
        <v>0</v>
      </c>
    </row>
    <row r="54" spans="8:57" s="2" customFormat="1" ht="85.15" customHeight="1">
      <c r="H54" s="28">
        <v>37</v>
      </c>
      <c r="I54" s="13"/>
      <c r="J54" s="14"/>
      <c r="K54" s="14"/>
      <c r="L54" s="14">
        <f t="shared" si="0"/>
        <v>0</v>
      </c>
      <c r="M54" s="28">
        <v>37</v>
      </c>
      <c r="N54" s="13"/>
      <c r="O54" s="14"/>
      <c r="P54" s="14"/>
      <c r="Q54" s="14">
        <f t="shared" si="1"/>
        <v>0</v>
      </c>
      <c r="R54" s="28">
        <v>37</v>
      </c>
      <c r="S54" s="13"/>
      <c r="T54" s="14"/>
      <c r="U54" s="14"/>
      <c r="V54" s="14">
        <f t="shared" si="2"/>
        <v>0</v>
      </c>
      <c r="W54" s="28">
        <v>37</v>
      </c>
      <c r="X54" s="13"/>
      <c r="Y54" s="14"/>
      <c r="Z54" s="14"/>
      <c r="AA54" s="14">
        <f t="shared" si="3"/>
        <v>0</v>
      </c>
      <c r="AB54" s="28">
        <v>37</v>
      </c>
      <c r="AC54" s="13"/>
      <c r="AD54" s="14"/>
      <c r="AE54" s="14"/>
      <c r="AF54" s="14">
        <f t="shared" si="4"/>
        <v>0</v>
      </c>
      <c r="AG54" s="28">
        <v>37</v>
      </c>
      <c r="AH54" s="13"/>
      <c r="AI54" s="14"/>
      <c r="AJ54" s="14"/>
      <c r="AK54" s="14">
        <f t="shared" si="5"/>
        <v>0</v>
      </c>
      <c r="AL54" s="28">
        <v>37</v>
      </c>
      <c r="AM54" s="13"/>
      <c r="AN54" s="14"/>
      <c r="AO54" s="14"/>
      <c r="AP54" s="14">
        <f t="shared" si="6"/>
        <v>0</v>
      </c>
      <c r="AQ54" s="28">
        <v>37</v>
      </c>
      <c r="AR54" s="13"/>
      <c r="AS54" s="14"/>
      <c r="AT54" s="14"/>
      <c r="AU54" s="14">
        <f t="shared" si="7"/>
        <v>0</v>
      </c>
      <c r="AV54" s="28">
        <v>37</v>
      </c>
      <c r="AW54" s="13"/>
      <c r="AX54" s="14"/>
      <c r="AY54" s="14"/>
      <c r="AZ54" s="14">
        <f t="shared" si="8"/>
        <v>0</v>
      </c>
      <c r="BA54" s="28">
        <v>37</v>
      </c>
      <c r="BB54" s="13"/>
      <c r="BC54" s="14"/>
      <c r="BD54" s="14"/>
      <c r="BE54" s="14">
        <f t="shared" si="9"/>
        <v>0</v>
      </c>
    </row>
    <row r="55" spans="8:57" s="2" customFormat="1" ht="85.15" customHeight="1">
      <c r="H55" s="28">
        <v>38</v>
      </c>
      <c r="I55" s="13"/>
      <c r="J55" s="14"/>
      <c r="K55" s="14"/>
      <c r="L55" s="14">
        <f t="shared" si="0"/>
        <v>0</v>
      </c>
      <c r="M55" s="28">
        <v>38</v>
      </c>
      <c r="N55" s="13"/>
      <c r="O55" s="14"/>
      <c r="P55" s="14"/>
      <c r="Q55" s="14">
        <f t="shared" si="1"/>
        <v>0</v>
      </c>
      <c r="R55" s="28">
        <v>38</v>
      </c>
      <c r="S55" s="13"/>
      <c r="T55" s="14"/>
      <c r="U55" s="14"/>
      <c r="V55" s="14">
        <f t="shared" si="2"/>
        <v>0</v>
      </c>
      <c r="W55" s="28">
        <v>38</v>
      </c>
      <c r="X55" s="13"/>
      <c r="Y55" s="14"/>
      <c r="Z55" s="14"/>
      <c r="AA55" s="14">
        <f t="shared" si="3"/>
        <v>0</v>
      </c>
      <c r="AB55" s="28">
        <v>38</v>
      </c>
      <c r="AC55" s="13"/>
      <c r="AD55" s="14"/>
      <c r="AE55" s="14"/>
      <c r="AF55" s="14">
        <f t="shared" si="4"/>
        <v>0</v>
      </c>
      <c r="AG55" s="28">
        <v>38</v>
      </c>
      <c r="AH55" s="13"/>
      <c r="AI55" s="14"/>
      <c r="AJ55" s="14"/>
      <c r="AK55" s="14">
        <f t="shared" si="5"/>
        <v>0</v>
      </c>
      <c r="AL55" s="28">
        <v>38</v>
      </c>
      <c r="AM55" s="13"/>
      <c r="AN55" s="14"/>
      <c r="AO55" s="14"/>
      <c r="AP55" s="14">
        <f t="shared" si="6"/>
        <v>0</v>
      </c>
      <c r="AQ55" s="28">
        <v>38</v>
      </c>
      <c r="AR55" s="13"/>
      <c r="AS55" s="14"/>
      <c r="AT55" s="14"/>
      <c r="AU55" s="14">
        <f t="shared" si="7"/>
        <v>0</v>
      </c>
      <c r="AV55" s="28">
        <v>38</v>
      </c>
      <c r="AW55" s="13"/>
      <c r="AX55" s="14"/>
      <c r="AY55" s="14"/>
      <c r="AZ55" s="14">
        <f t="shared" si="8"/>
        <v>0</v>
      </c>
      <c r="BA55" s="28">
        <v>38</v>
      </c>
      <c r="BB55" s="13"/>
      <c r="BC55" s="14"/>
      <c r="BD55" s="14"/>
      <c r="BE55" s="14">
        <f t="shared" si="9"/>
        <v>0</v>
      </c>
    </row>
    <row r="56" spans="8:57" s="2" customFormat="1" ht="85.15" customHeight="1">
      <c r="H56" s="28">
        <v>39</v>
      </c>
      <c r="I56" s="13"/>
      <c r="J56" s="14"/>
      <c r="K56" s="14"/>
      <c r="L56" s="14">
        <f t="shared" si="0"/>
        <v>0</v>
      </c>
      <c r="M56" s="28">
        <v>39</v>
      </c>
      <c r="N56" s="13"/>
      <c r="O56" s="14"/>
      <c r="P56" s="14"/>
      <c r="Q56" s="14">
        <f t="shared" si="1"/>
        <v>0</v>
      </c>
      <c r="R56" s="28">
        <v>39</v>
      </c>
      <c r="S56" s="13"/>
      <c r="T56" s="14"/>
      <c r="U56" s="14"/>
      <c r="V56" s="14">
        <f t="shared" si="2"/>
        <v>0</v>
      </c>
      <c r="W56" s="28">
        <v>39</v>
      </c>
      <c r="X56" s="13"/>
      <c r="Y56" s="14"/>
      <c r="Z56" s="14"/>
      <c r="AA56" s="14">
        <f t="shared" si="3"/>
        <v>0</v>
      </c>
      <c r="AB56" s="28">
        <v>39</v>
      </c>
      <c r="AC56" s="13"/>
      <c r="AD56" s="14"/>
      <c r="AE56" s="14"/>
      <c r="AF56" s="14">
        <f t="shared" si="4"/>
        <v>0</v>
      </c>
      <c r="AG56" s="28">
        <v>39</v>
      </c>
      <c r="AH56" s="13"/>
      <c r="AI56" s="14"/>
      <c r="AJ56" s="14"/>
      <c r="AK56" s="14">
        <f t="shared" si="5"/>
        <v>0</v>
      </c>
      <c r="AL56" s="28">
        <v>39</v>
      </c>
      <c r="AM56" s="13"/>
      <c r="AN56" s="14"/>
      <c r="AO56" s="14"/>
      <c r="AP56" s="14">
        <f t="shared" si="6"/>
        <v>0</v>
      </c>
      <c r="AQ56" s="28">
        <v>39</v>
      </c>
      <c r="AR56" s="13"/>
      <c r="AS56" s="14"/>
      <c r="AT56" s="14"/>
      <c r="AU56" s="14">
        <f t="shared" si="7"/>
        <v>0</v>
      </c>
      <c r="AV56" s="28">
        <v>39</v>
      </c>
      <c r="AW56" s="13"/>
      <c r="AX56" s="14"/>
      <c r="AY56" s="14"/>
      <c r="AZ56" s="14">
        <f t="shared" si="8"/>
        <v>0</v>
      </c>
      <c r="BA56" s="28">
        <v>39</v>
      </c>
      <c r="BB56" s="13"/>
      <c r="BC56" s="14"/>
      <c r="BD56" s="14"/>
      <c r="BE56" s="14">
        <f t="shared" si="9"/>
        <v>0</v>
      </c>
    </row>
    <row r="57" spans="8:57" s="2" customFormat="1" ht="85.15" customHeight="1">
      <c r="H57" s="28">
        <v>40</v>
      </c>
      <c r="I57" s="13"/>
      <c r="J57" s="14"/>
      <c r="K57" s="14"/>
      <c r="L57" s="14">
        <f t="shared" si="0"/>
        <v>0</v>
      </c>
      <c r="M57" s="28">
        <v>40</v>
      </c>
      <c r="N57" s="13"/>
      <c r="O57" s="14"/>
      <c r="P57" s="14"/>
      <c r="Q57" s="14">
        <f t="shared" si="1"/>
        <v>0</v>
      </c>
      <c r="R57" s="28">
        <v>40</v>
      </c>
      <c r="S57" s="13"/>
      <c r="T57" s="14"/>
      <c r="U57" s="14"/>
      <c r="V57" s="14">
        <f t="shared" si="2"/>
        <v>0</v>
      </c>
      <c r="W57" s="28">
        <v>40</v>
      </c>
      <c r="X57" s="13"/>
      <c r="Y57" s="14"/>
      <c r="Z57" s="14"/>
      <c r="AA57" s="14">
        <f t="shared" si="3"/>
        <v>0</v>
      </c>
      <c r="AB57" s="28">
        <v>40</v>
      </c>
      <c r="AC57" s="13"/>
      <c r="AD57" s="14"/>
      <c r="AE57" s="14"/>
      <c r="AF57" s="14">
        <f t="shared" si="4"/>
        <v>0</v>
      </c>
      <c r="AG57" s="28">
        <v>40</v>
      </c>
      <c r="AH57" s="13"/>
      <c r="AI57" s="14"/>
      <c r="AJ57" s="14"/>
      <c r="AK57" s="14">
        <f t="shared" si="5"/>
        <v>0</v>
      </c>
      <c r="AL57" s="28">
        <v>40</v>
      </c>
      <c r="AM57" s="13"/>
      <c r="AN57" s="14"/>
      <c r="AO57" s="14"/>
      <c r="AP57" s="14">
        <f t="shared" si="6"/>
        <v>0</v>
      </c>
      <c r="AQ57" s="28">
        <v>40</v>
      </c>
      <c r="AR57" s="13"/>
      <c r="AS57" s="14"/>
      <c r="AT57" s="14"/>
      <c r="AU57" s="14">
        <f t="shared" si="7"/>
        <v>0</v>
      </c>
      <c r="AV57" s="28">
        <v>40</v>
      </c>
      <c r="AW57" s="13"/>
      <c r="AX57" s="14"/>
      <c r="AY57" s="14"/>
      <c r="AZ57" s="14">
        <f t="shared" si="8"/>
        <v>0</v>
      </c>
      <c r="BA57" s="28">
        <v>40</v>
      </c>
      <c r="BB57" s="13"/>
      <c r="BC57" s="14"/>
      <c r="BD57" s="14"/>
      <c r="BE57" s="14">
        <f t="shared" si="9"/>
        <v>0</v>
      </c>
    </row>
    <row r="58" spans="8:57" s="2" customFormat="1" ht="85.15" customHeight="1">
      <c r="H58" s="28">
        <v>41</v>
      </c>
      <c r="I58" s="13"/>
      <c r="J58" s="14"/>
      <c r="K58" s="14"/>
      <c r="L58" s="14">
        <f t="shared" si="0"/>
        <v>0</v>
      </c>
      <c r="M58" s="28">
        <v>41</v>
      </c>
      <c r="N58" s="13"/>
      <c r="O58" s="14"/>
      <c r="P58" s="14"/>
      <c r="Q58" s="14">
        <f t="shared" si="1"/>
        <v>0</v>
      </c>
      <c r="R58" s="28">
        <v>41</v>
      </c>
      <c r="S58" s="13"/>
      <c r="T58" s="14"/>
      <c r="U58" s="14"/>
      <c r="V58" s="14">
        <f t="shared" si="2"/>
        <v>0</v>
      </c>
      <c r="W58" s="28">
        <v>41</v>
      </c>
      <c r="X58" s="13"/>
      <c r="Y58" s="14"/>
      <c r="Z58" s="14"/>
      <c r="AA58" s="14">
        <f t="shared" si="3"/>
        <v>0</v>
      </c>
      <c r="AB58" s="28">
        <v>41</v>
      </c>
      <c r="AC58" s="13"/>
      <c r="AD58" s="14"/>
      <c r="AE58" s="14"/>
      <c r="AF58" s="14">
        <f t="shared" si="4"/>
        <v>0</v>
      </c>
      <c r="AG58" s="28">
        <v>41</v>
      </c>
      <c r="AH58" s="13"/>
      <c r="AI58" s="14"/>
      <c r="AJ58" s="14"/>
      <c r="AK58" s="14">
        <f t="shared" si="5"/>
        <v>0</v>
      </c>
      <c r="AL58" s="28">
        <v>41</v>
      </c>
      <c r="AM58" s="13"/>
      <c r="AN58" s="14"/>
      <c r="AO58" s="14"/>
      <c r="AP58" s="14">
        <f t="shared" si="6"/>
        <v>0</v>
      </c>
      <c r="AQ58" s="28">
        <v>41</v>
      </c>
      <c r="AR58" s="13"/>
      <c r="AS58" s="14"/>
      <c r="AT58" s="14"/>
      <c r="AU58" s="14">
        <f t="shared" si="7"/>
        <v>0</v>
      </c>
      <c r="AV58" s="28">
        <v>41</v>
      </c>
      <c r="AW58" s="13"/>
      <c r="AX58" s="14"/>
      <c r="AY58" s="14"/>
      <c r="AZ58" s="14">
        <f t="shared" si="8"/>
        <v>0</v>
      </c>
      <c r="BA58" s="28">
        <v>41</v>
      </c>
      <c r="BB58" s="13"/>
      <c r="BC58" s="14"/>
      <c r="BD58" s="14"/>
      <c r="BE58" s="14">
        <f t="shared" si="9"/>
        <v>0</v>
      </c>
    </row>
    <row r="59" spans="8:57" s="2" customFormat="1" ht="85.15" customHeight="1">
      <c r="H59" s="28">
        <v>42</v>
      </c>
      <c r="I59" s="13"/>
      <c r="J59" s="14"/>
      <c r="K59" s="14"/>
      <c r="L59" s="14">
        <f t="shared" si="0"/>
        <v>0</v>
      </c>
      <c r="M59" s="28">
        <v>42</v>
      </c>
      <c r="N59" s="13"/>
      <c r="O59" s="14"/>
      <c r="P59" s="14"/>
      <c r="Q59" s="14">
        <f t="shared" si="1"/>
        <v>0</v>
      </c>
      <c r="R59" s="28">
        <v>42</v>
      </c>
      <c r="S59" s="13"/>
      <c r="T59" s="14"/>
      <c r="U59" s="14"/>
      <c r="V59" s="14">
        <f t="shared" si="2"/>
        <v>0</v>
      </c>
      <c r="W59" s="28">
        <v>42</v>
      </c>
      <c r="X59" s="13"/>
      <c r="Y59" s="14"/>
      <c r="Z59" s="14"/>
      <c r="AA59" s="14">
        <f t="shared" si="3"/>
        <v>0</v>
      </c>
      <c r="AB59" s="28">
        <v>42</v>
      </c>
      <c r="AC59" s="13"/>
      <c r="AD59" s="14"/>
      <c r="AE59" s="14"/>
      <c r="AF59" s="14">
        <f t="shared" si="4"/>
        <v>0</v>
      </c>
      <c r="AG59" s="28">
        <v>42</v>
      </c>
      <c r="AH59" s="13"/>
      <c r="AI59" s="14"/>
      <c r="AJ59" s="14"/>
      <c r="AK59" s="14">
        <f t="shared" si="5"/>
        <v>0</v>
      </c>
      <c r="AL59" s="28">
        <v>42</v>
      </c>
      <c r="AM59" s="13"/>
      <c r="AN59" s="14"/>
      <c r="AO59" s="14"/>
      <c r="AP59" s="14">
        <f t="shared" si="6"/>
        <v>0</v>
      </c>
      <c r="AQ59" s="28">
        <v>42</v>
      </c>
      <c r="AR59" s="13"/>
      <c r="AS59" s="14"/>
      <c r="AT59" s="14"/>
      <c r="AU59" s="14">
        <f t="shared" si="7"/>
        <v>0</v>
      </c>
      <c r="AV59" s="28">
        <v>42</v>
      </c>
      <c r="AW59" s="13"/>
      <c r="AX59" s="14"/>
      <c r="AY59" s="14"/>
      <c r="AZ59" s="14">
        <f t="shared" si="8"/>
        <v>0</v>
      </c>
      <c r="BA59" s="28">
        <v>42</v>
      </c>
      <c r="BB59" s="13"/>
      <c r="BC59" s="14"/>
      <c r="BD59" s="14"/>
      <c r="BE59" s="14">
        <f t="shared" si="9"/>
        <v>0</v>
      </c>
    </row>
    <row r="60" spans="8:57" s="2" customFormat="1" ht="85.15" customHeight="1">
      <c r="H60" s="28">
        <v>43</v>
      </c>
      <c r="I60" s="13"/>
      <c r="J60" s="14"/>
      <c r="K60" s="14"/>
      <c r="L60" s="14">
        <f t="shared" si="0"/>
        <v>0</v>
      </c>
      <c r="M60" s="28">
        <v>43</v>
      </c>
      <c r="N60" s="13"/>
      <c r="O60" s="14"/>
      <c r="P60" s="14"/>
      <c r="Q60" s="14">
        <f t="shared" si="1"/>
        <v>0</v>
      </c>
      <c r="R60" s="28">
        <v>43</v>
      </c>
      <c r="S60" s="13"/>
      <c r="T60" s="14"/>
      <c r="U60" s="14"/>
      <c r="V60" s="14">
        <f t="shared" si="2"/>
        <v>0</v>
      </c>
      <c r="W60" s="28">
        <v>43</v>
      </c>
      <c r="X60" s="13"/>
      <c r="Y60" s="14"/>
      <c r="Z60" s="14"/>
      <c r="AA60" s="14">
        <f t="shared" si="3"/>
        <v>0</v>
      </c>
      <c r="AB60" s="28">
        <v>43</v>
      </c>
      <c r="AC60" s="13"/>
      <c r="AD60" s="14"/>
      <c r="AE60" s="14"/>
      <c r="AF60" s="14">
        <f t="shared" si="4"/>
        <v>0</v>
      </c>
      <c r="AG60" s="28">
        <v>43</v>
      </c>
      <c r="AH60" s="13"/>
      <c r="AI60" s="14"/>
      <c r="AJ60" s="14"/>
      <c r="AK60" s="14">
        <f t="shared" si="5"/>
        <v>0</v>
      </c>
      <c r="AL60" s="28">
        <v>43</v>
      </c>
      <c r="AM60" s="13"/>
      <c r="AN60" s="14"/>
      <c r="AO60" s="14"/>
      <c r="AP60" s="14">
        <f t="shared" si="6"/>
        <v>0</v>
      </c>
      <c r="AQ60" s="28">
        <v>43</v>
      </c>
      <c r="AR60" s="13"/>
      <c r="AS60" s="14"/>
      <c r="AT60" s="14"/>
      <c r="AU60" s="14">
        <f t="shared" si="7"/>
        <v>0</v>
      </c>
      <c r="AV60" s="28">
        <v>43</v>
      </c>
      <c r="AW60" s="13"/>
      <c r="AX60" s="14"/>
      <c r="AY60" s="14"/>
      <c r="AZ60" s="14">
        <f t="shared" si="8"/>
        <v>0</v>
      </c>
      <c r="BA60" s="28">
        <v>43</v>
      </c>
      <c r="BB60" s="13"/>
      <c r="BC60" s="14"/>
      <c r="BD60" s="14"/>
      <c r="BE60" s="14">
        <f t="shared" si="9"/>
        <v>0</v>
      </c>
    </row>
    <row r="61" spans="8:57" s="2" customFormat="1" ht="85.15" customHeight="1">
      <c r="H61" s="28">
        <v>44</v>
      </c>
      <c r="I61" s="13"/>
      <c r="J61" s="14"/>
      <c r="K61" s="14"/>
      <c r="L61" s="14">
        <f t="shared" si="0"/>
        <v>0</v>
      </c>
      <c r="M61" s="28">
        <v>44</v>
      </c>
      <c r="N61" s="13"/>
      <c r="O61" s="14"/>
      <c r="P61" s="14"/>
      <c r="Q61" s="14">
        <f t="shared" si="1"/>
        <v>0</v>
      </c>
      <c r="R61" s="28">
        <v>44</v>
      </c>
      <c r="S61" s="13"/>
      <c r="T61" s="14"/>
      <c r="U61" s="14"/>
      <c r="V61" s="14">
        <f t="shared" si="2"/>
        <v>0</v>
      </c>
      <c r="W61" s="28">
        <v>44</v>
      </c>
      <c r="X61" s="13"/>
      <c r="Y61" s="14"/>
      <c r="Z61" s="14"/>
      <c r="AA61" s="14">
        <f t="shared" si="3"/>
        <v>0</v>
      </c>
      <c r="AB61" s="28">
        <v>44</v>
      </c>
      <c r="AC61" s="13"/>
      <c r="AD61" s="14"/>
      <c r="AE61" s="14"/>
      <c r="AF61" s="14">
        <f t="shared" si="4"/>
        <v>0</v>
      </c>
      <c r="AG61" s="28">
        <v>44</v>
      </c>
      <c r="AH61" s="13"/>
      <c r="AI61" s="14"/>
      <c r="AJ61" s="14"/>
      <c r="AK61" s="14">
        <f t="shared" si="5"/>
        <v>0</v>
      </c>
      <c r="AL61" s="28">
        <v>44</v>
      </c>
      <c r="AM61" s="13"/>
      <c r="AN61" s="14"/>
      <c r="AO61" s="14"/>
      <c r="AP61" s="14">
        <f t="shared" si="6"/>
        <v>0</v>
      </c>
      <c r="AQ61" s="28">
        <v>44</v>
      </c>
      <c r="AR61" s="13"/>
      <c r="AS61" s="14"/>
      <c r="AT61" s="14"/>
      <c r="AU61" s="14">
        <f t="shared" si="7"/>
        <v>0</v>
      </c>
      <c r="AV61" s="28">
        <v>44</v>
      </c>
      <c r="AW61" s="13"/>
      <c r="AX61" s="14"/>
      <c r="AY61" s="14"/>
      <c r="AZ61" s="14">
        <f t="shared" si="8"/>
        <v>0</v>
      </c>
      <c r="BA61" s="28">
        <v>44</v>
      </c>
      <c r="BB61" s="13"/>
      <c r="BC61" s="14"/>
      <c r="BD61" s="14"/>
      <c r="BE61" s="14">
        <f t="shared" si="9"/>
        <v>0</v>
      </c>
    </row>
    <row r="62" spans="8:57" s="2" customFormat="1" ht="85.15" customHeight="1">
      <c r="H62" s="28">
        <v>45</v>
      </c>
      <c r="I62" s="13"/>
      <c r="J62" s="14"/>
      <c r="K62" s="14"/>
      <c r="L62" s="14">
        <f t="shared" si="0"/>
        <v>0</v>
      </c>
      <c r="M62" s="28">
        <v>45</v>
      </c>
      <c r="N62" s="13"/>
      <c r="O62" s="14"/>
      <c r="P62" s="14"/>
      <c r="Q62" s="14">
        <f t="shared" si="1"/>
        <v>0</v>
      </c>
      <c r="R62" s="28">
        <v>45</v>
      </c>
      <c r="S62" s="13"/>
      <c r="T62" s="14"/>
      <c r="U62" s="14"/>
      <c r="V62" s="14">
        <f t="shared" si="2"/>
        <v>0</v>
      </c>
      <c r="W62" s="28">
        <v>45</v>
      </c>
      <c r="X62" s="13"/>
      <c r="Y62" s="14"/>
      <c r="Z62" s="14"/>
      <c r="AA62" s="14">
        <f t="shared" si="3"/>
        <v>0</v>
      </c>
      <c r="AB62" s="28">
        <v>45</v>
      </c>
      <c r="AC62" s="13"/>
      <c r="AD62" s="14"/>
      <c r="AE62" s="14"/>
      <c r="AF62" s="14">
        <f t="shared" si="4"/>
        <v>0</v>
      </c>
      <c r="AG62" s="28">
        <v>45</v>
      </c>
      <c r="AH62" s="13"/>
      <c r="AI62" s="14"/>
      <c r="AJ62" s="14"/>
      <c r="AK62" s="14">
        <f t="shared" si="5"/>
        <v>0</v>
      </c>
      <c r="AL62" s="28">
        <v>45</v>
      </c>
      <c r="AM62" s="13"/>
      <c r="AN62" s="14"/>
      <c r="AO62" s="14"/>
      <c r="AP62" s="14">
        <f t="shared" si="6"/>
        <v>0</v>
      </c>
      <c r="AQ62" s="28">
        <v>45</v>
      </c>
      <c r="AR62" s="13"/>
      <c r="AS62" s="14"/>
      <c r="AT62" s="14"/>
      <c r="AU62" s="14">
        <f t="shared" si="7"/>
        <v>0</v>
      </c>
      <c r="AV62" s="28">
        <v>45</v>
      </c>
      <c r="AW62" s="13"/>
      <c r="AX62" s="14"/>
      <c r="AY62" s="14"/>
      <c r="AZ62" s="14">
        <f t="shared" si="8"/>
        <v>0</v>
      </c>
      <c r="BA62" s="28">
        <v>45</v>
      </c>
      <c r="BB62" s="13"/>
      <c r="BC62" s="14"/>
      <c r="BD62" s="14"/>
      <c r="BE62" s="14">
        <f t="shared" si="9"/>
        <v>0</v>
      </c>
    </row>
    <row r="63" spans="8:57" s="2" customFormat="1" ht="85.15" customHeight="1">
      <c r="H63" s="28">
        <v>46</v>
      </c>
      <c r="I63" s="13"/>
      <c r="J63" s="14"/>
      <c r="K63" s="14"/>
      <c r="L63" s="14">
        <f t="shared" si="0"/>
        <v>0</v>
      </c>
      <c r="M63" s="28">
        <v>46</v>
      </c>
      <c r="N63" s="13"/>
      <c r="O63" s="14"/>
      <c r="P63" s="14"/>
      <c r="Q63" s="14">
        <f t="shared" si="1"/>
        <v>0</v>
      </c>
      <c r="R63" s="28">
        <v>46</v>
      </c>
      <c r="S63" s="13"/>
      <c r="T63" s="14"/>
      <c r="U63" s="14"/>
      <c r="V63" s="14">
        <f t="shared" si="2"/>
        <v>0</v>
      </c>
      <c r="W63" s="28">
        <v>46</v>
      </c>
      <c r="X63" s="13"/>
      <c r="Y63" s="14"/>
      <c r="Z63" s="14"/>
      <c r="AA63" s="14">
        <f t="shared" si="3"/>
        <v>0</v>
      </c>
      <c r="AB63" s="28">
        <v>46</v>
      </c>
      <c r="AC63" s="13"/>
      <c r="AD63" s="14"/>
      <c r="AE63" s="14"/>
      <c r="AF63" s="14">
        <f t="shared" si="4"/>
        <v>0</v>
      </c>
      <c r="AG63" s="28">
        <v>46</v>
      </c>
      <c r="AH63" s="13"/>
      <c r="AI63" s="14"/>
      <c r="AJ63" s="14"/>
      <c r="AK63" s="14">
        <f t="shared" si="5"/>
        <v>0</v>
      </c>
      <c r="AL63" s="28">
        <v>46</v>
      </c>
      <c r="AM63" s="13"/>
      <c r="AN63" s="14"/>
      <c r="AO63" s="14"/>
      <c r="AP63" s="14">
        <f t="shared" si="6"/>
        <v>0</v>
      </c>
      <c r="AQ63" s="28">
        <v>46</v>
      </c>
      <c r="AR63" s="13"/>
      <c r="AS63" s="14"/>
      <c r="AT63" s="14"/>
      <c r="AU63" s="14">
        <f t="shared" si="7"/>
        <v>0</v>
      </c>
      <c r="AV63" s="28">
        <v>46</v>
      </c>
      <c r="AW63" s="13"/>
      <c r="AX63" s="14"/>
      <c r="AY63" s="14"/>
      <c r="AZ63" s="14">
        <f t="shared" si="8"/>
        <v>0</v>
      </c>
      <c r="BA63" s="28">
        <v>46</v>
      </c>
      <c r="BB63" s="13"/>
      <c r="BC63" s="14"/>
      <c r="BD63" s="14"/>
      <c r="BE63" s="14">
        <f t="shared" si="9"/>
        <v>0</v>
      </c>
    </row>
    <row r="64" spans="8:57" s="2" customFormat="1" ht="85.15" customHeight="1">
      <c r="H64" s="28">
        <v>47</v>
      </c>
      <c r="I64" s="13"/>
      <c r="J64" s="14"/>
      <c r="K64" s="14"/>
      <c r="L64" s="14">
        <f t="shared" si="0"/>
        <v>0</v>
      </c>
      <c r="M64" s="28">
        <v>47</v>
      </c>
      <c r="N64" s="13"/>
      <c r="O64" s="14"/>
      <c r="P64" s="14"/>
      <c r="Q64" s="14">
        <f t="shared" si="1"/>
        <v>0</v>
      </c>
      <c r="R64" s="28">
        <v>47</v>
      </c>
      <c r="S64" s="13"/>
      <c r="T64" s="14"/>
      <c r="U64" s="14"/>
      <c r="V64" s="14">
        <f t="shared" si="2"/>
        <v>0</v>
      </c>
      <c r="W64" s="28">
        <v>47</v>
      </c>
      <c r="X64" s="13"/>
      <c r="Y64" s="14"/>
      <c r="Z64" s="14"/>
      <c r="AA64" s="14">
        <f t="shared" si="3"/>
        <v>0</v>
      </c>
      <c r="AB64" s="28">
        <v>47</v>
      </c>
      <c r="AC64" s="13"/>
      <c r="AD64" s="14"/>
      <c r="AE64" s="14"/>
      <c r="AF64" s="14">
        <f t="shared" si="4"/>
        <v>0</v>
      </c>
      <c r="AG64" s="28">
        <v>47</v>
      </c>
      <c r="AH64" s="13"/>
      <c r="AI64" s="14"/>
      <c r="AJ64" s="14"/>
      <c r="AK64" s="14">
        <f t="shared" si="5"/>
        <v>0</v>
      </c>
      <c r="AL64" s="28">
        <v>47</v>
      </c>
      <c r="AM64" s="13"/>
      <c r="AN64" s="14"/>
      <c r="AO64" s="14"/>
      <c r="AP64" s="14">
        <f t="shared" si="6"/>
        <v>0</v>
      </c>
      <c r="AQ64" s="28">
        <v>47</v>
      </c>
      <c r="AR64" s="13"/>
      <c r="AS64" s="14"/>
      <c r="AT64" s="14"/>
      <c r="AU64" s="14">
        <f t="shared" si="7"/>
        <v>0</v>
      </c>
      <c r="AV64" s="28">
        <v>47</v>
      </c>
      <c r="AW64" s="13"/>
      <c r="AX64" s="14"/>
      <c r="AY64" s="14"/>
      <c r="AZ64" s="14">
        <f t="shared" si="8"/>
        <v>0</v>
      </c>
      <c r="BA64" s="28">
        <v>47</v>
      </c>
      <c r="BB64" s="13"/>
      <c r="BC64" s="14"/>
      <c r="BD64" s="14"/>
      <c r="BE64" s="14">
        <f t="shared" si="9"/>
        <v>0</v>
      </c>
    </row>
    <row r="65" spans="8:57" s="2" customFormat="1" ht="85.15" customHeight="1">
      <c r="H65" s="28">
        <v>48</v>
      </c>
      <c r="I65" s="13"/>
      <c r="J65" s="14"/>
      <c r="K65" s="14"/>
      <c r="L65" s="14">
        <f t="shared" si="0"/>
        <v>0</v>
      </c>
      <c r="M65" s="28">
        <v>48</v>
      </c>
      <c r="N65" s="13"/>
      <c r="O65" s="14"/>
      <c r="P65" s="14"/>
      <c r="Q65" s="14">
        <f t="shared" si="1"/>
        <v>0</v>
      </c>
      <c r="R65" s="28">
        <v>48</v>
      </c>
      <c r="S65" s="13"/>
      <c r="T65" s="14"/>
      <c r="U65" s="14"/>
      <c r="V65" s="14">
        <f t="shared" si="2"/>
        <v>0</v>
      </c>
      <c r="W65" s="28">
        <v>48</v>
      </c>
      <c r="X65" s="13"/>
      <c r="Y65" s="14"/>
      <c r="Z65" s="14"/>
      <c r="AA65" s="14">
        <f t="shared" si="3"/>
        <v>0</v>
      </c>
      <c r="AB65" s="28">
        <v>48</v>
      </c>
      <c r="AC65" s="13"/>
      <c r="AD65" s="14"/>
      <c r="AE65" s="14"/>
      <c r="AF65" s="14">
        <f t="shared" si="4"/>
        <v>0</v>
      </c>
      <c r="AG65" s="28">
        <v>48</v>
      </c>
      <c r="AH65" s="13"/>
      <c r="AI65" s="14"/>
      <c r="AJ65" s="14"/>
      <c r="AK65" s="14">
        <f t="shared" si="5"/>
        <v>0</v>
      </c>
      <c r="AL65" s="28">
        <v>48</v>
      </c>
      <c r="AM65" s="13"/>
      <c r="AN65" s="14"/>
      <c r="AO65" s="14"/>
      <c r="AP65" s="14">
        <f t="shared" si="6"/>
        <v>0</v>
      </c>
      <c r="AQ65" s="28">
        <v>48</v>
      </c>
      <c r="AR65" s="13"/>
      <c r="AS65" s="14"/>
      <c r="AT65" s="14"/>
      <c r="AU65" s="14">
        <f t="shared" si="7"/>
        <v>0</v>
      </c>
      <c r="AV65" s="28">
        <v>48</v>
      </c>
      <c r="AW65" s="13"/>
      <c r="AX65" s="14"/>
      <c r="AY65" s="14"/>
      <c r="AZ65" s="14">
        <f t="shared" si="8"/>
        <v>0</v>
      </c>
      <c r="BA65" s="28">
        <v>48</v>
      </c>
      <c r="BB65" s="13"/>
      <c r="BC65" s="14"/>
      <c r="BD65" s="14"/>
      <c r="BE65" s="14">
        <f t="shared" si="9"/>
        <v>0</v>
      </c>
    </row>
    <row r="66" spans="8:57" s="2" customFormat="1" ht="85.15" customHeight="1">
      <c r="H66" s="28">
        <v>49</v>
      </c>
      <c r="I66" s="13"/>
      <c r="J66" s="14"/>
      <c r="K66" s="14"/>
      <c r="L66" s="14">
        <f t="shared" si="0"/>
        <v>0</v>
      </c>
      <c r="M66" s="28">
        <v>49</v>
      </c>
      <c r="N66" s="13"/>
      <c r="O66" s="14"/>
      <c r="P66" s="14"/>
      <c r="Q66" s="14">
        <f t="shared" si="1"/>
        <v>0</v>
      </c>
      <c r="R66" s="28">
        <v>49</v>
      </c>
      <c r="S66" s="13"/>
      <c r="T66" s="14"/>
      <c r="U66" s="14"/>
      <c r="V66" s="14">
        <f t="shared" si="2"/>
        <v>0</v>
      </c>
      <c r="W66" s="28">
        <v>49</v>
      </c>
      <c r="X66" s="13"/>
      <c r="Y66" s="14"/>
      <c r="Z66" s="14"/>
      <c r="AA66" s="14">
        <f t="shared" si="3"/>
        <v>0</v>
      </c>
      <c r="AB66" s="28">
        <v>49</v>
      </c>
      <c r="AC66" s="13"/>
      <c r="AD66" s="14"/>
      <c r="AE66" s="14"/>
      <c r="AF66" s="14">
        <f t="shared" si="4"/>
        <v>0</v>
      </c>
      <c r="AG66" s="28">
        <v>49</v>
      </c>
      <c r="AH66" s="13"/>
      <c r="AI66" s="14"/>
      <c r="AJ66" s="14"/>
      <c r="AK66" s="14">
        <f t="shared" si="5"/>
        <v>0</v>
      </c>
      <c r="AL66" s="28">
        <v>49</v>
      </c>
      <c r="AM66" s="13"/>
      <c r="AN66" s="14"/>
      <c r="AO66" s="14"/>
      <c r="AP66" s="14">
        <f t="shared" si="6"/>
        <v>0</v>
      </c>
      <c r="AQ66" s="28">
        <v>49</v>
      </c>
      <c r="AR66" s="13"/>
      <c r="AS66" s="14"/>
      <c r="AT66" s="14"/>
      <c r="AU66" s="14">
        <f t="shared" si="7"/>
        <v>0</v>
      </c>
      <c r="AV66" s="28">
        <v>49</v>
      </c>
      <c r="AW66" s="13"/>
      <c r="AX66" s="14"/>
      <c r="AY66" s="14"/>
      <c r="AZ66" s="14">
        <f t="shared" si="8"/>
        <v>0</v>
      </c>
      <c r="BA66" s="28">
        <v>49</v>
      </c>
      <c r="BB66" s="13"/>
      <c r="BC66" s="14"/>
      <c r="BD66" s="14"/>
      <c r="BE66" s="14">
        <f t="shared" si="9"/>
        <v>0</v>
      </c>
    </row>
    <row r="67" spans="8:57" s="2" customFormat="1" ht="85.15" customHeight="1">
      <c r="H67" s="28">
        <v>50</v>
      </c>
      <c r="I67" s="13"/>
      <c r="J67" s="14"/>
      <c r="K67" s="14"/>
      <c r="L67" s="14">
        <f t="shared" si="0"/>
        <v>0</v>
      </c>
      <c r="M67" s="28">
        <v>50</v>
      </c>
      <c r="N67" s="13"/>
      <c r="O67" s="14"/>
      <c r="P67" s="14"/>
      <c r="Q67" s="14">
        <f t="shared" si="1"/>
        <v>0</v>
      </c>
      <c r="R67" s="28">
        <v>50</v>
      </c>
      <c r="S67" s="13"/>
      <c r="T67" s="14"/>
      <c r="U67" s="14"/>
      <c r="V67" s="14">
        <f t="shared" si="2"/>
        <v>0</v>
      </c>
      <c r="W67" s="28">
        <v>50</v>
      </c>
      <c r="X67" s="13"/>
      <c r="Y67" s="14"/>
      <c r="Z67" s="14"/>
      <c r="AA67" s="14">
        <f t="shared" si="3"/>
        <v>0</v>
      </c>
      <c r="AB67" s="28">
        <v>50</v>
      </c>
      <c r="AC67" s="13"/>
      <c r="AD67" s="14"/>
      <c r="AE67" s="14"/>
      <c r="AF67" s="14">
        <f t="shared" si="4"/>
        <v>0</v>
      </c>
      <c r="AG67" s="28">
        <v>50</v>
      </c>
      <c r="AH67" s="13"/>
      <c r="AI67" s="14"/>
      <c r="AJ67" s="14"/>
      <c r="AK67" s="14">
        <f t="shared" si="5"/>
        <v>0</v>
      </c>
      <c r="AL67" s="28">
        <v>50</v>
      </c>
      <c r="AM67" s="13"/>
      <c r="AN67" s="14"/>
      <c r="AO67" s="14"/>
      <c r="AP67" s="14">
        <f t="shared" si="6"/>
        <v>0</v>
      </c>
      <c r="AQ67" s="28">
        <v>50</v>
      </c>
      <c r="AR67" s="13"/>
      <c r="AS67" s="14"/>
      <c r="AT67" s="14"/>
      <c r="AU67" s="14">
        <f t="shared" si="7"/>
        <v>0</v>
      </c>
      <c r="AV67" s="28">
        <v>50</v>
      </c>
      <c r="AW67" s="13"/>
      <c r="AX67" s="14"/>
      <c r="AY67" s="14"/>
      <c r="AZ67" s="14">
        <f t="shared" si="8"/>
        <v>0</v>
      </c>
      <c r="BA67" s="28">
        <v>50</v>
      </c>
      <c r="BB67" s="13"/>
      <c r="BC67" s="14"/>
      <c r="BD67" s="14"/>
      <c r="BE67" s="14">
        <f t="shared" si="9"/>
        <v>0</v>
      </c>
    </row>
    <row r="68" spans="8:57" s="2" customFormat="1" ht="85.15" customHeight="1">
      <c r="H68" s="28">
        <v>51</v>
      </c>
      <c r="I68" s="13"/>
      <c r="J68" s="14"/>
      <c r="K68" s="14"/>
      <c r="L68" s="14">
        <f t="shared" si="0"/>
        <v>0</v>
      </c>
      <c r="M68" s="28">
        <v>51</v>
      </c>
      <c r="N68" s="13"/>
      <c r="O68" s="14"/>
      <c r="P68" s="14"/>
      <c r="Q68" s="14">
        <f t="shared" si="1"/>
        <v>0</v>
      </c>
      <c r="R68" s="28">
        <v>51</v>
      </c>
      <c r="S68" s="13"/>
      <c r="T68" s="14"/>
      <c r="U68" s="14"/>
      <c r="V68" s="14">
        <f t="shared" si="2"/>
        <v>0</v>
      </c>
      <c r="W68" s="28">
        <v>51</v>
      </c>
      <c r="X68" s="13"/>
      <c r="Y68" s="14"/>
      <c r="Z68" s="14"/>
      <c r="AA68" s="14">
        <f t="shared" si="3"/>
        <v>0</v>
      </c>
      <c r="AB68" s="28">
        <v>51</v>
      </c>
      <c r="AC68" s="13"/>
      <c r="AD68" s="14"/>
      <c r="AE68" s="14"/>
      <c r="AF68" s="14">
        <f t="shared" si="4"/>
        <v>0</v>
      </c>
      <c r="AG68" s="28">
        <v>51</v>
      </c>
      <c r="AH68" s="13"/>
      <c r="AI68" s="14"/>
      <c r="AJ68" s="14"/>
      <c r="AK68" s="14">
        <f t="shared" si="5"/>
        <v>0</v>
      </c>
      <c r="AL68" s="28">
        <v>51</v>
      </c>
      <c r="AM68" s="13"/>
      <c r="AN68" s="14"/>
      <c r="AO68" s="14"/>
      <c r="AP68" s="14">
        <f t="shared" si="6"/>
        <v>0</v>
      </c>
      <c r="AQ68" s="28">
        <v>51</v>
      </c>
      <c r="AR68" s="13"/>
      <c r="AS68" s="14"/>
      <c r="AT68" s="14"/>
      <c r="AU68" s="14">
        <f t="shared" si="7"/>
        <v>0</v>
      </c>
      <c r="AV68" s="28">
        <v>51</v>
      </c>
      <c r="AW68" s="13"/>
      <c r="AX68" s="14"/>
      <c r="AY68" s="14"/>
      <c r="AZ68" s="14">
        <f t="shared" si="8"/>
        <v>0</v>
      </c>
      <c r="BA68" s="28">
        <v>51</v>
      </c>
      <c r="BB68" s="13"/>
      <c r="BC68" s="14"/>
      <c r="BD68" s="14"/>
      <c r="BE68" s="14">
        <f t="shared" si="9"/>
        <v>0</v>
      </c>
    </row>
    <row r="69" spans="8:57" s="2" customFormat="1" ht="85.15" customHeight="1">
      <c r="H69" s="28">
        <v>52</v>
      </c>
      <c r="I69" s="13"/>
      <c r="J69" s="14"/>
      <c r="K69" s="14"/>
      <c r="L69" s="14">
        <f t="shared" si="0"/>
        <v>0</v>
      </c>
      <c r="M69" s="28">
        <v>52</v>
      </c>
      <c r="N69" s="13"/>
      <c r="O69" s="14"/>
      <c r="P69" s="14"/>
      <c r="Q69" s="14">
        <f t="shared" si="1"/>
        <v>0</v>
      </c>
      <c r="R69" s="28">
        <v>52</v>
      </c>
      <c r="S69" s="13"/>
      <c r="T69" s="14"/>
      <c r="U69" s="14"/>
      <c r="V69" s="14">
        <f t="shared" si="2"/>
        <v>0</v>
      </c>
      <c r="W69" s="28">
        <v>52</v>
      </c>
      <c r="X69" s="13"/>
      <c r="Y69" s="14"/>
      <c r="Z69" s="14"/>
      <c r="AA69" s="14">
        <f t="shared" si="3"/>
        <v>0</v>
      </c>
      <c r="AB69" s="28">
        <v>52</v>
      </c>
      <c r="AC69" s="13"/>
      <c r="AD69" s="14"/>
      <c r="AE69" s="14"/>
      <c r="AF69" s="14">
        <f t="shared" si="4"/>
        <v>0</v>
      </c>
      <c r="AG69" s="28">
        <v>52</v>
      </c>
      <c r="AH69" s="13"/>
      <c r="AI69" s="14"/>
      <c r="AJ69" s="14"/>
      <c r="AK69" s="14">
        <f t="shared" si="5"/>
        <v>0</v>
      </c>
      <c r="AL69" s="28">
        <v>52</v>
      </c>
      <c r="AM69" s="13"/>
      <c r="AN69" s="14"/>
      <c r="AO69" s="14"/>
      <c r="AP69" s="14">
        <f t="shared" si="6"/>
        <v>0</v>
      </c>
      <c r="AQ69" s="28">
        <v>52</v>
      </c>
      <c r="AR69" s="13"/>
      <c r="AS69" s="14"/>
      <c r="AT69" s="14"/>
      <c r="AU69" s="14">
        <f t="shared" si="7"/>
        <v>0</v>
      </c>
      <c r="AV69" s="28">
        <v>52</v>
      </c>
      <c r="AW69" s="13"/>
      <c r="AX69" s="14"/>
      <c r="AY69" s="14"/>
      <c r="AZ69" s="14">
        <f t="shared" si="8"/>
        <v>0</v>
      </c>
      <c r="BA69" s="28">
        <v>52</v>
      </c>
      <c r="BB69" s="13"/>
      <c r="BC69" s="14"/>
      <c r="BD69" s="14"/>
      <c r="BE69" s="14">
        <f t="shared" si="9"/>
        <v>0</v>
      </c>
    </row>
    <row r="70" spans="8:57" s="2" customFormat="1" ht="85.15" customHeight="1">
      <c r="H70" s="28">
        <v>53</v>
      </c>
      <c r="I70" s="13"/>
      <c r="J70" s="14"/>
      <c r="K70" s="14"/>
      <c r="L70" s="14">
        <f t="shared" si="0"/>
        <v>0</v>
      </c>
      <c r="M70" s="28">
        <v>53</v>
      </c>
      <c r="N70" s="13"/>
      <c r="O70" s="14"/>
      <c r="P70" s="14"/>
      <c r="Q70" s="14">
        <f t="shared" si="1"/>
        <v>0</v>
      </c>
      <c r="R70" s="28">
        <v>53</v>
      </c>
      <c r="S70" s="13"/>
      <c r="T70" s="14"/>
      <c r="U70" s="14"/>
      <c r="V70" s="14">
        <f t="shared" si="2"/>
        <v>0</v>
      </c>
      <c r="W70" s="28">
        <v>53</v>
      </c>
      <c r="X70" s="13"/>
      <c r="Y70" s="14"/>
      <c r="Z70" s="14"/>
      <c r="AA70" s="14">
        <f t="shared" si="3"/>
        <v>0</v>
      </c>
      <c r="AB70" s="28">
        <v>53</v>
      </c>
      <c r="AC70" s="13"/>
      <c r="AD70" s="14"/>
      <c r="AE70" s="14"/>
      <c r="AF70" s="14">
        <f t="shared" si="4"/>
        <v>0</v>
      </c>
      <c r="AG70" s="28">
        <v>53</v>
      </c>
      <c r="AH70" s="13"/>
      <c r="AI70" s="14"/>
      <c r="AJ70" s="14"/>
      <c r="AK70" s="14">
        <f t="shared" si="5"/>
        <v>0</v>
      </c>
      <c r="AL70" s="28">
        <v>53</v>
      </c>
      <c r="AM70" s="13"/>
      <c r="AN70" s="14"/>
      <c r="AO70" s="14"/>
      <c r="AP70" s="14">
        <f t="shared" si="6"/>
        <v>0</v>
      </c>
      <c r="AQ70" s="28">
        <v>53</v>
      </c>
      <c r="AR70" s="13"/>
      <c r="AS70" s="14"/>
      <c r="AT70" s="14"/>
      <c r="AU70" s="14">
        <f t="shared" si="7"/>
        <v>0</v>
      </c>
      <c r="AV70" s="28">
        <v>53</v>
      </c>
      <c r="AW70" s="13"/>
      <c r="AX70" s="14"/>
      <c r="AY70" s="14"/>
      <c r="AZ70" s="14">
        <f t="shared" si="8"/>
        <v>0</v>
      </c>
      <c r="BA70" s="28">
        <v>53</v>
      </c>
      <c r="BB70" s="13"/>
      <c r="BC70" s="14"/>
      <c r="BD70" s="14"/>
      <c r="BE70" s="14">
        <f t="shared" si="9"/>
        <v>0</v>
      </c>
    </row>
    <row r="71" spans="8:57" s="2" customFormat="1" ht="85.15" customHeight="1">
      <c r="H71" s="28">
        <v>54</v>
      </c>
      <c r="I71" s="13"/>
      <c r="J71" s="14"/>
      <c r="K71" s="14"/>
      <c r="L71" s="14">
        <f t="shared" si="0"/>
        <v>0</v>
      </c>
      <c r="M71" s="28">
        <v>54</v>
      </c>
      <c r="N71" s="13"/>
      <c r="O71" s="14"/>
      <c r="P71" s="14"/>
      <c r="Q71" s="14">
        <f t="shared" si="1"/>
        <v>0</v>
      </c>
      <c r="R71" s="28">
        <v>54</v>
      </c>
      <c r="S71" s="13"/>
      <c r="T71" s="14"/>
      <c r="U71" s="14"/>
      <c r="V71" s="14">
        <f t="shared" si="2"/>
        <v>0</v>
      </c>
      <c r="W71" s="28">
        <v>54</v>
      </c>
      <c r="X71" s="13"/>
      <c r="Y71" s="14"/>
      <c r="Z71" s="14"/>
      <c r="AA71" s="14">
        <f t="shared" si="3"/>
        <v>0</v>
      </c>
      <c r="AB71" s="28">
        <v>54</v>
      </c>
      <c r="AC71" s="13"/>
      <c r="AD71" s="14"/>
      <c r="AE71" s="14"/>
      <c r="AF71" s="14">
        <f t="shared" si="4"/>
        <v>0</v>
      </c>
      <c r="AG71" s="28">
        <v>54</v>
      </c>
      <c r="AH71" s="13"/>
      <c r="AI71" s="14"/>
      <c r="AJ71" s="14"/>
      <c r="AK71" s="14">
        <f t="shared" si="5"/>
        <v>0</v>
      </c>
      <c r="AL71" s="28">
        <v>54</v>
      </c>
      <c r="AM71" s="13"/>
      <c r="AN71" s="14"/>
      <c r="AO71" s="14"/>
      <c r="AP71" s="14">
        <f t="shared" si="6"/>
        <v>0</v>
      </c>
      <c r="AQ71" s="28">
        <v>54</v>
      </c>
      <c r="AR71" s="13"/>
      <c r="AS71" s="14"/>
      <c r="AT71" s="14"/>
      <c r="AU71" s="14">
        <f t="shared" si="7"/>
        <v>0</v>
      </c>
      <c r="AV71" s="28">
        <v>54</v>
      </c>
      <c r="AW71" s="13"/>
      <c r="AX71" s="14"/>
      <c r="AY71" s="14"/>
      <c r="AZ71" s="14">
        <f t="shared" si="8"/>
        <v>0</v>
      </c>
      <c r="BA71" s="28">
        <v>54</v>
      </c>
      <c r="BB71" s="13"/>
      <c r="BC71" s="14"/>
      <c r="BD71" s="14"/>
      <c r="BE71" s="14">
        <f t="shared" si="9"/>
        <v>0</v>
      </c>
    </row>
    <row r="72" spans="8:57" s="2" customFormat="1" ht="85.15" customHeight="1">
      <c r="H72" s="28">
        <v>55</v>
      </c>
      <c r="I72" s="13"/>
      <c r="J72" s="14"/>
      <c r="K72" s="14"/>
      <c r="L72" s="14">
        <f t="shared" si="0"/>
        <v>0</v>
      </c>
      <c r="M72" s="28">
        <v>55</v>
      </c>
      <c r="N72" s="13"/>
      <c r="O72" s="14"/>
      <c r="P72" s="14"/>
      <c r="Q72" s="14">
        <f t="shared" si="1"/>
        <v>0</v>
      </c>
      <c r="R72" s="28">
        <v>55</v>
      </c>
      <c r="S72" s="13"/>
      <c r="T72" s="14"/>
      <c r="U72" s="14"/>
      <c r="V72" s="14">
        <f t="shared" si="2"/>
        <v>0</v>
      </c>
      <c r="W72" s="28">
        <v>55</v>
      </c>
      <c r="X72" s="13"/>
      <c r="Y72" s="14"/>
      <c r="Z72" s="14"/>
      <c r="AA72" s="14">
        <f t="shared" si="3"/>
        <v>0</v>
      </c>
      <c r="AB72" s="28">
        <v>55</v>
      </c>
      <c r="AC72" s="13"/>
      <c r="AD72" s="14"/>
      <c r="AE72" s="14"/>
      <c r="AF72" s="14">
        <f t="shared" si="4"/>
        <v>0</v>
      </c>
      <c r="AG72" s="28">
        <v>55</v>
      </c>
      <c r="AH72" s="13"/>
      <c r="AI72" s="14"/>
      <c r="AJ72" s="14"/>
      <c r="AK72" s="14">
        <f t="shared" si="5"/>
        <v>0</v>
      </c>
      <c r="AL72" s="28">
        <v>55</v>
      </c>
      <c r="AM72" s="13"/>
      <c r="AN72" s="14"/>
      <c r="AO72" s="14"/>
      <c r="AP72" s="14">
        <f t="shared" si="6"/>
        <v>0</v>
      </c>
      <c r="AQ72" s="28">
        <v>55</v>
      </c>
      <c r="AR72" s="13"/>
      <c r="AS72" s="14"/>
      <c r="AT72" s="14"/>
      <c r="AU72" s="14">
        <f t="shared" si="7"/>
        <v>0</v>
      </c>
      <c r="AV72" s="28">
        <v>55</v>
      </c>
      <c r="AW72" s="13"/>
      <c r="AX72" s="14"/>
      <c r="AY72" s="14"/>
      <c r="AZ72" s="14">
        <f t="shared" si="8"/>
        <v>0</v>
      </c>
      <c r="BA72" s="28">
        <v>55</v>
      </c>
      <c r="BB72" s="13"/>
      <c r="BC72" s="14"/>
      <c r="BD72" s="14"/>
      <c r="BE72" s="14">
        <f t="shared" si="9"/>
        <v>0</v>
      </c>
    </row>
    <row r="73" spans="8:57" s="2" customFormat="1" ht="85.15" customHeight="1">
      <c r="H73" s="28">
        <v>56</v>
      </c>
      <c r="I73" s="13"/>
      <c r="J73" s="14"/>
      <c r="K73" s="14"/>
      <c r="L73" s="14">
        <f t="shared" si="0"/>
        <v>0</v>
      </c>
      <c r="M73" s="28">
        <v>56</v>
      </c>
      <c r="N73" s="13"/>
      <c r="O73" s="14"/>
      <c r="P73" s="14"/>
      <c r="Q73" s="14">
        <f t="shared" si="1"/>
        <v>0</v>
      </c>
      <c r="R73" s="28">
        <v>56</v>
      </c>
      <c r="S73" s="13"/>
      <c r="T73" s="14"/>
      <c r="U73" s="14"/>
      <c r="V73" s="14">
        <f t="shared" si="2"/>
        <v>0</v>
      </c>
      <c r="W73" s="28">
        <v>56</v>
      </c>
      <c r="X73" s="13"/>
      <c r="Y73" s="14"/>
      <c r="Z73" s="14"/>
      <c r="AA73" s="14">
        <f t="shared" si="3"/>
        <v>0</v>
      </c>
      <c r="AB73" s="28">
        <v>56</v>
      </c>
      <c r="AC73" s="13"/>
      <c r="AD73" s="14"/>
      <c r="AE73" s="14"/>
      <c r="AF73" s="14">
        <f t="shared" si="4"/>
        <v>0</v>
      </c>
      <c r="AG73" s="28">
        <v>56</v>
      </c>
      <c r="AH73" s="13"/>
      <c r="AI73" s="14"/>
      <c r="AJ73" s="14"/>
      <c r="AK73" s="14">
        <f t="shared" si="5"/>
        <v>0</v>
      </c>
      <c r="AL73" s="28">
        <v>56</v>
      </c>
      <c r="AM73" s="13"/>
      <c r="AN73" s="14"/>
      <c r="AO73" s="14"/>
      <c r="AP73" s="14">
        <f t="shared" si="6"/>
        <v>0</v>
      </c>
      <c r="AQ73" s="28">
        <v>56</v>
      </c>
      <c r="AR73" s="13"/>
      <c r="AS73" s="14"/>
      <c r="AT73" s="14"/>
      <c r="AU73" s="14">
        <f t="shared" si="7"/>
        <v>0</v>
      </c>
      <c r="AV73" s="28">
        <v>56</v>
      </c>
      <c r="AW73" s="13"/>
      <c r="AX73" s="14"/>
      <c r="AY73" s="14"/>
      <c r="AZ73" s="14">
        <f t="shared" si="8"/>
        <v>0</v>
      </c>
      <c r="BA73" s="28">
        <v>56</v>
      </c>
      <c r="BB73" s="13"/>
      <c r="BC73" s="14"/>
      <c r="BD73" s="14"/>
      <c r="BE73" s="14">
        <f t="shared" si="9"/>
        <v>0</v>
      </c>
    </row>
    <row r="74" spans="8:57" s="1" customFormat="1" ht="85.15" customHeight="1">
      <c r="H74" s="4"/>
      <c r="M74" s="4"/>
      <c r="R74" s="4"/>
      <c r="W74" s="4"/>
      <c r="AB74" s="4"/>
      <c r="AG74" s="4"/>
      <c r="AL74" s="4"/>
      <c r="AQ74" s="4"/>
      <c r="AV74" s="4"/>
      <c r="BA74" s="4"/>
    </row>
    <row r="75" spans="8:57" s="1" customFormat="1" ht="85.15" customHeight="1">
      <c r="H75" s="4"/>
      <c r="M75" s="4"/>
      <c r="R75" s="4"/>
      <c r="W75" s="4"/>
      <c r="AB75" s="4"/>
      <c r="AG75" s="4"/>
      <c r="AL75" s="4"/>
      <c r="AQ75" s="4"/>
      <c r="AV75" s="4"/>
      <c r="BA75" s="4"/>
    </row>
    <row r="76" spans="8:57" s="1" customFormat="1" ht="85.15" customHeight="1">
      <c r="H76" s="4"/>
      <c r="M76" s="4"/>
      <c r="R76" s="4"/>
      <c r="W76" s="4"/>
      <c r="AB76" s="4"/>
      <c r="AG76" s="4"/>
      <c r="AL76" s="4"/>
      <c r="AQ76" s="4"/>
      <c r="AV76" s="4"/>
      <c r="BA76" s="4"/>
    </row>
    <row r="77" spans="8:57" s="1" customFormat="1" ht="85.15" customHeight="1">
      <c r="H77" s="4"/>
      <c r="M77" s="4"/>
      <c r="R77" s="4"/>
      <c r="W77" s="4"/>
      <c r="AB77" s="4"/>
      <c r="AG77" s="4"/>
      <c r="AL77" s="4"/>
      <c r="AQ77" s="4"/>
      <c r="AV77" s="4"/>
      <c r="BA77" s="4"/>
    </row>
    <row r="78" spans="8:57" s="1" customFormat="1" ht="85.15" customHeight="1">
      <c r="H78" s="4"/>
      <c r="M78" s="4"/>
      <c r="R78" s="4"/>
      <c r="W78" s="4"/>
      <c r="AB78" s="4"/>
      <c r="AG78" s="4"/>
      <c r="AL78" s="4"/>
      <c r="AQ78" s="4"/>
      <c r="AV78" s="4"/>
      <c r="BA78" s="4"/>
    </row>
    <row r="79" spans="8:57" s="1" customFormat="1" ht="85.15" customHeight="1">
      <c r="H79" s="4"/>
      <c r="M79" s="4"/>
      <c r="R79" s="4"/>
      <c r="W79" s="4"/>
      <c r="AB79" s="4"/>
      <c r="AG79" s="4"/>
      <c r="AL79" s="4"/>
      <c r="AQ79" s="4"/>
      <c r="AV79" s="4"/>
      <c r="BA79" s="4"/>
    </row>
    <row r="80" spans="8:57" s="1" customFormat="1" ht="85.15" customHeight="1">
      <c r="H80" s="4"/>
      <c r="M80" s="4"/>
      <c r="R80" s="4"/>
      <c r="W80" s="4"/>
      <c r="AB80" s="4"/>
      <c r="AG80" s="4"/>
      <c r="AL80" s="4"/>
      <c r="AQ80" s="4"/>
      <c r="AV80" s="4"/>
      <c r="BA80" s="4"/>
    </row>
    <row r="81" spans="8:53" s="1" customFormat="1" ht="85.15" customHeight="1">
      <c r="H81" s="4"/>
      <c r="M81" s="4"/>
      <c r="R81" s="4"/>
      <c r="W81" s="4"/>
      <c r="AB81" s="4"/>
      <c r="AG81" s="4"/>
      <c r="AL81" s="4"/>
      <c r="AQ81" s="4"/>
      <c r="AV81" s="4"/>
      <c r="BA81" s="4"/>
    </row>
    <row r="82" spans="8:53" s="1" customFormat="1" ht="85.15" customHeight="1">
      <c r="H82" s="4"/>
      <c r="M82" s="4"/>
      <c r="R82" s="4"/>
      <c r="W82" s="4"/>
      <c r="AB82" s="4"/>
      <c r="AG82" s="4"/>
      <c r="AL82" s="4"/>
      <c r="AQ82" s="4"/>
      <c r="AV82" s="4"/>
      <c r="BA82" s="4"/>
    </row>
    <row r="83" spans="8:53" s="1" customFormat="1" ht="85.15" customHeight="1">
      <c r="H83" s="4"/>
      <c r="M83" s="4"/>
      <c r="R83" s="4"/>
      <c r="W83" s="4"/>
      <c r="AB83" s="4"/>
      <c r="AG83" s="4"/>
      <c r="AL83" s="4"/>
      <c r="AQ83" s="4"/>
      <c r="AV83" s="4"/>
      <c r="BA83" s="4"/>
    </row>
    <row r="84" spans="8:53" s="1" customFormat="1" ht="85.15" customHeight="1">
      <c r="H84" s="4"/>
      <c r="M84" s="4"/>
      <c r="R84" s="4"/>
      <c r="W84" s="4"/>
      <c r="AB84" s="4"/>
      <c r="AG84" s="4"/>
      <c r="AL84" s="4"/>
      <c r="AQ84" s="4"/>
      <c r="AV84" s="4"/>
      <c r="BA84" s="4"/>
    </row>
    <row r="85" spans="8:53" s="1" customFormat="1" ht="85.15" customHeight="1">
      <c r="H85" s="4"/>
      <c r="M85" s="4"/>
      <c r="R85" s="4"/>
      <c r="W85" s="4"/>
      <c r="AB85" s="4"/>
      <c r="AG85" s="4"/>
      <c r="AL85" s="4"/>
      <c r="AQ85" s="4"/>
      <c r="AV85" s="4"/>
      <c r="BA85" s="4"/>
    </row>
    <row r="86" spans="8:53" s="1" customFormat="1" ht="85.15" customHeight="1">
      <c r="H86" s="4"/>
      <c r="M86" s="4"/>
      <c r="R86" s="4"/>
      <c r="W86" s="4"/>
      <c r="AB86" s="4"/>
      <c r="AG86" s="4"/>
      <c r="AL86" s="4"/>
      <c r="AQ86" s="4"/>
      <c r="AV86" s="4"/>
      <c r="BA86" s="4"/>
    </row>
    <row r="87" spans="8:53" s="1" customFormat="1" ht="85.15" customHeight="1">
      <c r="H87" s="4"/>
      <c r="M87" s="4"/>
      <c r="R87" s="4"/>
      <c r="W87" s="4"/>
      <c r="AB87" s="4"/>
      <c r="AG87" s="4"/>
      <c r="AL87" s="4"/>
      <c r="AQ87" s="4"/>
      <c r="AV87" s="4"/>
      <c r="BA87" s="4"/>
    </row>
    <row r="88" spans="8:53" s="1" customFormat="1" ht="85.15" customHeight="1">
      <c r="H88" s="4"/>
      <c r="M88" s="4"/>
      <c r="R88" s="4"/>
      <c r="W88" s="4"/>
      <c r="AB88" s="4"/>
      <c r="AG88" s="4"/>
      <c r="AL88" s="4"/>
      <c r="AQ88" s="4"/>
      <c r="AV88" s="4"/>
      <c r="BA88" s="4"/>
    </row>
    <row r="89" spans="8:53" s="1" customFormat="1" ht="85.15" customHeight="1">
      <c r="H89" s="4"/>
      <c r="M89" s="4"/>
      <c r="R89" s="4"/>
      <c r="W89" s="4"/>
      <c r="AB89" s="4"/>
      <c r="AG89" s="4"/>
      <c r="AL89" s="4"/>
      <c r="AQ89" s="4"/>
      <c r="AV89" s="4"/>
      <c r="BA89" s="4"/>
    </row>
    <row r="90" spans="8:53" s="1" customFormat="1" ht="85.15" customHeight="1">
      <c r="H90" s="4"/>
      <c r="M90" s="4"/>
      <c r="R90" s="4"/>
      <c r="W90" s="4"/>
      <c r="AB90" s="4"/>
      <c r="AG90" s="4"/>
      <c r="AL90" s="4"/>
      <c r="AQ90" s="4"/>
      <c r="AV90" s="4"/>
      <c r="BA90" s="4"/>
    </row>
    <row r="91" spans="8:53" s="1" customFormat="1" ht="85.15" customHeight="1">
      <c r="H91" s="4"/>
      <c r="M91" s="4"/>
      <c r="R91" s="4"/>
      <c r="W91" s="4"/>
      <c r="AB91" s="4"/>
      <c r="AG91" s="4"/>
      <c r="AL91" s="4"/>
      <c r="AQ91" s="4"/>
      <c r="AV91" s="4"/>
      <c r="BA91" s="4"/>
    </row>
    <row r="92" spans="8:53" s="1" customFormat="1" ht="85.15" customHeight="1">
      <c r="H92" s="4"/>
      <c r="M92" s="4"/>
      <c r="R92" s="4"/>
      <c r="W92" s="4"/>
      <c r="AB92" s="4"/>
      <c r="AG92" s="4"/>
      <c r="AL92" s="4"/>
      <c r="AQ92" s="4"/>
      <c r="AV92" s="4"/>
      <c r="BA92" s="4"/>
    </row>
    <row r="93" spans="8:53" s="1" customFormat="1" ht="85.15" customHeight="1">
      <c r="H93" s="4"/>
      <c r="M93" s="4"/>
      <c r="R93" s="4"/>
      <c r="W93" s="4"/>
      <c r="AB93" s="4"/>
      <c r="AG93" s="4"/>
      <c r="AL93" s="4"/>
      <c r="AQ93" s="4"/>
      <c r="AV93" s="4"/>
      <c r="BA93" s="4"/>
    </row>
    <row r="94" spans="8:53" s="1" customFormat="1" ht="85.15" customHeight="1">
      <c r="H94" s="4"/>
      <c r="M94" s="4"/>
      <c r="R94" s="4"/>
      <c r="W94" s="4"/>
      <c r="AB94" s="4"/>
      <c r="AG94" s="4"/>
      <c r="AL94" s="4"/>
      <c r="AQ94" s="4"/>
      <c r="AV94" s="4"/>
      <c r="BA94" s="4"/>
    </row>
    <row r="95" spans="8:53" s="1" customFormat="1" ht="85.15" customHeight="1">
      <c r="H95" s="4"/>
      <c r="M95" s="4"/>
      <c r="R95" s="4"/>
      <c r="W95" s="4"/>
      <c r="AB95" s="4"/>
      <c r="AG95" s="4"/>
      <c r="AL95" s="4"/>
      <c r="AQ95" s="4"/>
      <c r="AV95" s="4"/>
      <c r="BA95" s="4"/>
    </row>
    <row r="96" spans="8:53" s="1" customFormat="1" ht="85.15" customHeight="1">
      <c r="H96" s="4"/>
      <c r="M96" s="4"/>
      <c r="R96" s="4"/>
      <c r="W96" s="4"/>
      <c r="AB96" s="4"/>
      <c r="AG96" s="4"/>
      <c r="AL96" s="4"/>
      <c r="AQ96" s="4"/>
      <c r="AV96" s="4"/>
      <c r="BA96" s="4"/>
    </row>
    <row r="97" spans="8:53" s="1" customFormat="1" ht="85.15" customHeight="1">
      <c r="H97" s="4"/>
      <c r="M97" s="4"/>
      <c r="R97" s="4"/>
      <c r="W97" s="4"/>
      <c r="AB97" s="4"/>
      <c r="AG97" s="4"/>
      <c r="AL97" s="4"/>
      <c r="AQ97" s="4"/>
      <c r="AV97" s="4"/>
      <c r="BA97" s="4"/>
    </row>
    <row r="98" spans="8:53" s="1" customFormat="1" ht="85.15" customHeight="1">
      <c r="H98" s="4"/>
      <c r="M98" s="4"/>
      <c r="R98" s="4"/>
      <c r="W98" s="4"/>
      <c r="AB98" s="4"/>
      <c r="AG98" s="4"/>
      <c r="AL98" s="4"/>
      <c r="AQ98" s="4"/>
      <c r="AV98" s="4"/>
      <c r="BA98" s="4"/>
    </row>
    <row r="99" spans="8:53" s="1" customFormat="1" ht="85.15" customHeight="1">
      <c r="H99" s="4"/>
      <c r="M99" s="4"/>
      <c r="R99" s="4"/>
      <c r="W99" s="4"/>
      <c r="AB99" s="4"/>
      <c r="AG99" s="4"/>
      <c r="AL99" s="4"/>
      <c r="AQ99" s="4"/>
      <c r="AV99" s="4"/>
      <c r="BA99" s="4"/>
    </row>
    <row r="100" spans="8:53" s="1" customFormat="1" ht="85.15" customHeight="1">
      <c r="H100" s="4"/>
      <c r="M100" s="4"/>
      <c r="R100" s="4"/>
      <c r="W100" s="4"/>
      <c r="AB100" s="4"/>
      <c r="AG100" s="4"/>
      <c r="AL100" s="4"/>
      <c r="AQ100" s="4"/>
      <c r="AV100" s="4"/>
      <c r="BA100" s="4"/>
    </row>
    <row r="101" spans="8:53" s="1" customFormat="1" ht="85.15" customHeight="1">
      <c r="H101" s="4"/>
      <c r="M101" s="4"/>
      <c r="R101" s="4"/>
      <c r="W101" s="4"/>
      <c r="AB101" s="4"/>
      <c r="AG101" s="4"/>
      <c r="AL101" s="4"/>
      <c r="AQ101" s="4"/>
      <c r="AV101" s="4"/>
      <c r="BA101" s="4"/>
    </row>
    <row r="102" spans="8:53" s="1" customFormat="1" ht="85.15" customHeight="1">
      <c r="H102" s="4"/>
      <c r="M102" s="4"/>
      <c r="R102" s="4"/>
      <c r="W102" s="4"/>
      <c r="AB102" s="4"/>
      <c r="AG102" s="4"/>
      <c r="AL102" s="4"/>
      <c r="AQ102" s="4"/>
      <c r="AV102" s="4"/>
      <c r="BA102" s="4"/>
    </row>
    <row r="103" spans="8:53" s="1" customFormat="1" ht="85.15" customHeight="1">
      <c r="H103" s="4"/>
      <c r="M103" s="4"/>
      <c r="R103" s="4"/>
      <c r="W103" s="4"/>
      <c r="AB103" s="4"/>
      <c r="AG103" s="4"/>
      <c r="AL103" s="4"/>
      <c r="AQ103" s="4"/>
      <c r="AV103" s="4"/>
      <c r="BA103" s="4"/>
    </row>
    <row r="104" spans="8:53" s="1" customFormat="1" ht="85.15" customHeight="1">
      <c r="H104" s="4"/>
      <c r="M104" s="4"/>
      <c r="R104" s="4"/>
      <c r="W104" s="4"/>
      <c r="AB104" s="4"/>
      <c r="AG104" s="4"/>
      <c r="AL104" s="4"/>
      <c r="AQ104" s="4"/>
      <c r="AV104" s="4"/>
      <c r="BA104" s="4"/>
    </row>
    <row r="105" spans="8:53" s="1" customFormat="1" ht="85.15" customHeight="1">
      <c r="H105" s="4"/>
      <c r="M105" s="4"/>
      <c r="R105" s="4"/>
      <c r="W105" s="4"/>
      <c r="AB105" s="4"/>
      <c r="AG105" s="4"/>
      <c r="AL105" s="4"/>
      <c r="AQ105" s="4"/>
      <c r="AV105" s="4"/>
      <c r="BA105" s="4"/>
    </row>
    <row r="106" spans="8:53" s="1" customFormat="1" ht="85.15" customHeight="1">
      <c r="H106" s="4"/>
      <c r="M106" s="4"/>
      <c r="R106" s="4"/>
      <c r="W106" s="4"/>
      <c r="AB106" s="4"/>
      <c r="AG106" s="4"/>
      <c r="AL106" s="4"/>
      <c r="AQ106" s="4"/>
      <c r="AV106" s="4"/>
      <c r="BA106" s="4"/>
    </row>
    <row r="107" spans="8:53" s="1" customFormat="1" ht="85.15" customHeight="1">
      <c r="H107" s="4"/>
      <c r="M107" s="4"/>
      <c r="R107" s="4"/>
      <c r="W107" s="4"/>
      <c r="AB107" s="4"/>
      <c r="AG107" s="4"/>
      <c r="AL107" s="4"/>
      <c r="AQ107" s="4"/>
      <c r="AV107" s="4"/>
      <c r="BA107" s="4"/>
    </row>
    <row r="108" spans="8:53" s="1" customFormat="1" ht="85.15" customHeight="1">
      <c r="H108" s="4"/>
      <c r="M108" s="4"/>
      <c r="R108" s="4"/>
      <c r="W108" s="4"/>
      <c r="AB108" s="4"/>
      <c r="AG108" s="4"/>
      <c r="AL108" s="4"/>
      <c r="AQ108" s="4"/>
      <c r="AV108" s="4"/>
      <c r="BA108" s="4"/>
    </row>
    <row r="109" spans="8:53" s="1" customFormat="1" ht="85.15" customHeight="1">
      <c r="H109" s="4"/>
      <c r="M109" s="4"/>
      <c r="R109" s="4"/>
      <c r="W109" s="4"/>
      <c r="AB109" s="4"/>
      <c r="AG109" s="4"/>
      <c r="AL109" s="4"/>
      <c r="AQ109" s="4"/>
      <c r="AV109" s="4"/>
      <c r="BA109" s="4"/>
    </row>
    <row r="110" spans="8:53" s="1" customFormat="1" ht="85.15" customHeight="1">
      <c r="H110" s="4"/>
      <c r="M110" s="4"/>
      <c r="R110" s="4"/>
      <c r="W110" s="4"/>
      <c r="AB110" s="4"/>
      <c r="AG110" s="4"/>
      <c r="AL110" s="4"/>
      <c r="AQ110" s="4"/>
      <c r="AV110" s="4"/>
      <c r="BA110" s="4"/>
    </row>
    <row r="111" spans="8:53" s="1" customFormat="1" ht="85.15" customHeight="1">
      <c r="H111" s="4"/>
      <c r="M111" s="4"/>
      <c r="R111" s="4"/>
      <c r="W111" s="4"/>
      <c r="AB111" s="4"/>
      <c r="AG111" s="4"/>
      <c r="AL111" s="4"/>
      <c r="AQ111" s="4"/>
      <c r="AV111" s="4"/>
      <c r="BA111" s="4"/>
    </row>
    <row r="112" spans="8:53" s="1" customFormat="1" ht="85.15" customHeight="1">
      <c r="H112" s="4"/>
      <c r="M112" s="4"/>
      <c r="R112" s="4"/>
      <c r="W112" s="4"/>
      <c r="AB112" s="4"/>
      <c r="AG112" s="4"/>
      <c r="AL112" s="4"/>
      <c r="AQ112" s="4"/>
      <c r="AV112" s="4"/>
      <c r="BA112" s="4"/>
    </row>
    <row r="113" spans="8:53" s="1" customFormat="1" ht="85.15" customHeight="1">
      <c r="H113" s="4"/>
      <c r="M113" s="4"/>
      <c r="R113" s="4"/>
      <c r="W113" s="4"/>
      <c r="AB113" s="4"/>
      <c r="AG113" s="4"/>
      <c r="AL113" s="4"/>
      <c r="AQ113" s="4"/>
      <c r="AV113" s="4"/>
      <c r="BA113" s="4"/>
    </row>
    <row r="114" spans="8:53" s="1" customFormat="1" ht="85.15" customHeight="1">
      <c r="H114" s="4"/>
      <c r="M114" s="4"/>
      <c r="R114" s="4"/>
      <c r="W114" s="4"/>
      <c r="AB114" s="4"/>
      <c r="AG114" s="4"/>
      <c r="AL114" s="4"/>
      <c r="AQ114" s="4"/>
      <c r="AV114" s="4"/>
      <c r="BA114" s="4"/>
    </row>
    <row r="115" spans="8:53" s="1" customFormat="1" ht="85.15" customHeight="1">
      <c r="H115" s="4"/>
      <c r="M115" s="4"/>
      <c r="R115" s="4"/>
      <c r="W115" s="4"/>
      <c r="AB115" s="4"/>
      <c r="AG115" s="4"/>
      <c r="AL115" s="4"/>
      <c r="AQ115" s="4"/>
      <c r="AV115" s="4"/>
      <c r="BA115" s="4"/>
    </row>
    <row r="116" spans="8:53" s="1" customFormat="1" ht="85.15" customHeight="1">
      <c r="H116" s="4"/>
      <c r="M116" s="4"/>
      <c r="R116" s="4"/>
      <c r="W116" s="4"/>
      <c r="AB116" s="4"/>
      <c r="AG116" s="4"/>
      <c r="AL116" s="4"/>
      <c r="AQ116" s="4"/>
      <c r="AV116" s="4"/>
      <c r="BA116" s="4"/>
    </row>
    <row r="117" spans="8:53" s="1" customFormat="1" ht="85.15" customHeight="1">
      <c r="H117" s="4"/>
      <c r="M117" s="4"/>
      <c r="R117" s="4"/>
      <c r="W117" s="4"/>
      <c r="AB117" s="4"/>
      <c r="AG117" s="4"/>
      <c r="AL117" s="4"/>
      <c r="AQ117" s="4"/>
      <c r="AV117" s="4"/>
      <c r="BA117" s="4"/>
    </row>
    <row r="118" spans="8:53" s="1" customFormat="1" ht="85.15" customHeight="1">
      <c r="H118" s="4"/>
      <c r="M118" s="4"/>
      <c r="R118" s="4"/>
      <c r="W118" s="4"/>
      <c r="AB118" s="4"/>
      <c r="AG118" s="4"/>
      <c r="AL118" s="4"/>
      <c r="AQ118" s="4"/>
      <c r="AV118" s="4"/>
      <c r="BA118" s="4"/>
    </row>
    <row r="119" spans="8:53" s="1" customFormat="1" ht="85.15" customHeight="1">
      <c r="H119" s="4"/>
      <c r="M119" s="4"/>
      <c r="R119" s="4"/>
      <c r="W119" s="4"/>
      <c r="AB119" s="4"/>
      <c r="AG119" s="4"/>
      <c r="AL119" s="4"/>
      <c r="AQ119" s="4"/>
      <c r="AV119" s="4"/>
      <c r="BA119" s="4"/>
    </row>
    <row r="120" spans="8:53" s="1" customFormat="1" ht="85.15" customHeight="1">
      <c r="H120" s="4"/>
      <c r="M120" s="4"/>
      <c r="R120" s="4"/>
      <c r="W120" s="4"/>
      <c r="AB120" s="4"/>
      <c r="AG120" s="4"/>
      <c r="AL120" s="4"/>
      <c r="AQ120" s="4"/>
      <c r="AV120" s="4"/>
      <c r="BA120" s="4"/>
    </row>
    <row r="121" spans="8:53" s="1" customFormat="1" ht="85.15" customHeight="1">
      <c r="H121" s="4"/>
      <c r="M121" s="4"/>
      <c r="R121" s="4"/>
      <c r="W121" s="4"/>
      <c r="AB121" s="4"/>
      <c r="AG121" s="4"/>
      <c r="AL121" s="4"/>
      <c r="AQ121" s="4"/>
      <c r="AV121" s="4"/>
      <c r="BA121" s="4"/>
    </row>
    <row r="122" spans="8:53" s="1" customFormat="1" ht="85.15" customHeight="1">
      <c r="H122" s="4"/>
      <c r="M122" s="4"/>
      <c r="R122" s="4"/>
      <c r="W122" s="4"/>
      <c r="AB122" s="4"/>
      <c r="AG122" s="4"/>
      <c r="AL122" s="4"/>
      <c r="AQ122" s="4"/>
      <c r="AV122" s="4"/>
      <c r="BA122" s="4"/>
    </row>
    <row r="123" spans="8:53" s="1" customFormat="1" ht="85.15" customHeight="1">
      <c r="H123" s="4"/>
      <c r="M123" s="4"/>
      <c r="R123" s="4"/>
      <c r="W123" s="4"/>
      <c r="AB123" s="4"/>
      <c r="AG123" s="4"/>
      <c r="AL123" s="4"/>
      <c r="AQ123" s="4"/>
      <c r="AV123" s="4"/>
      <c r="BA123" s="4"/>
    </row>
    <row r="124" spans="8:53" s="1" customFormat="1" ht="85.15" customHeight="1">
      <c r="H124" s="4"/>
      <c r="M124" s="4"/>
      <c r="R124" s="4"/>
      <c r="W124" s="4"/>
      <c r="AB124" s="4"/>
      <c r="AG124" s="4"/>
      <c r="AL124" s="4"/>
      <c r="AQ124" s="4"/>
      <c r="AV124" s="4"/>
      <c r="BA124" s="4"/>
    </row>
    <row r="125" spans="8:53" s="1" customFormat="1" ht="85.15" customHeight="1">
      <c r="H125" s="4"/>
      <c r="M125" s="4"/>
      <c r="R125" s="4"/>
      <c r="W125" s="4"/>
      <c r="AB125" s="4"/>
      <c r="AG125" s="4"/>
      <c r="AL125" s="4"/>
      <c r="AQ125" s="4"/>
      <c r="AV125" s="4"/>
      <c r="BA125" s="4"/>
    </row>
    <row r="126" spans="8:53" s="1" customFormat="1" ht="85.15" customHeight="1">
      <c r="H126" s="4"/>
      <c r="M126" s="4"/>
      <c r="R126" s="4"/>
      <c r="W126" s="4"/>
      <c r="AB126" s="4"/>
      <c r="AG126" s="4"/>
      <c r="AL126" s="4"/>
      <c r="AQ126" s="4"/>
      <c r="AV126" s="4"/>
      <c r="BA126" s="4"/>
    </row>
    <row r="127" spans="8:53" s="1" customFormat="1" ht="85.15" customHeight="1">
      <c r="H127" s="4"/>
      <c r="M127" s="4"/>
      <c r="R127" s="4"/>
      <c r="W127" s="4"/>
      <c r="AB127" s="4"/>
      <c r="AG127" s="4"/>
      <c r="AL127" s="4"/>
      <c r="AQ127" s="4"/>
      <c r="AV127" s="4"/>
      <c r="BA127" s="4"/>
    </row>
    <row r="128" spans="8:53" s="1" customFormat="1" ht="85.15" customHeight="1">
      <c r="H128" s="4"/>
      <c r="M128" s="4"/>
      <c r="R128" s="4"/>
      <c r="W128" s="4"/>
      <c r="AB128" s="4"/>
      <c r="AG128" s="4"/>
      <c r="AL128" s="4"/>
      <c r="AQ128" s="4"/>
      <c r="AV128" s="4"/>
      <c r="BA128" s="4"/>
    </row>
    <row r="129" spans="8:53" s="1" customFormat="1" ht="85.15" customHeight="1">
      <c r="H129" s="4"/>
      <c r="M129" s="4"/>
      <c r="R129" s="4"/>
      <c r="W129" s="4"/>
      <c r="AB129" s="4"/>
      <c r="AG129" s="4"/>
      <c r="AL129" s="4"/>
      <c r="AQ129" s="4"/>
      <c r="AV129" s="4"/>
      <c r="BA129" s="4"/>
    </row>
    <row r="130" spans="8:53" s="1" customFormat="1" ht="85.15" customHeight="1">
      <c r="H130" s="4"/>
      <c r="M130" s="4"/>
      <c r="R130" s="4"/>
      <c r="W130" s="4"/>
      <c r="AB130" s="4"/>
      <c r="AG130" s="4"/>
      <c r="AL130" s="4"/>
      <c r="AQ130" s="4"/>
      <c r="AV130" s="4"/>
      <c r="BA130" s="4"/>
    </row>
    <row r="131" spans="8:53" s="1" customFormat="1" ht="85.15" customHeight="1">
      <c r="H131" s="4"/>
      <c r="M131" s="4"/>
      <c r="R131" s="4"/>
      <c r="W131" s="4"/>
      <c r="AB131" s="4"/>
      <c r="AG131" s="4"/>
      <c r="AL131" s="4"/>
      <c r="AQ131" s="4"/>
      <c r="AV131" s="4"/>
      <c r="BA131" s="4"/>
    </row>
    <row r="132" spans="8:53" s="1" customFormat="1" ht="85.15" customHeight="1">
      <c r="H132" s="4"/>
      <c r="M132" s="4"/>
      <c r="R132" s="4"/>
      <c r="W132" s="4"/>
      <c r="AB132" s="4"/>
      <c r="AG132" s="4"/>
      <c r="AL132" s="4"/>
      <c r="AQ132" s="4"/>
      <c r="AV132" s="4"/>
      <c r="BA132" s="4"/>
    </row>
    <row r="133" spans="8:53" s="1" customFormat="1" ht="85.15" customHeight="1">
      <c r="H133" s="4"/>
      <c r="M133" s="4"/>
      <c r="R133" s="4"/>
      <c r="W133" s="4"/>
      <c r="AB133" s="4"/>
      <c r="AG133" s="4"/>
      <c r="AL133" s="4"/>
      <c r="AQ133" s="4"/>
      <c r="AV133" s="4"/>
      <c r="BA133" s="4"/>
    </row>
    <row r="134" spans="8:53" s="1" customFormat="1" ht="85.15" customHeight="1">
      <c r="H134" s="4"/>
      <c r="M134" s="4"/>
      <c r="R134" s="4"/>
      <c r="W134" s="4"/>
      <c r="AB134" s="4"/>
      <c r="AG134" s="4"/>
      <c r="AL134" s="4"/>
      <c r="AQ134" s="4"/>
      <c r="AV134" s="4"/>
      <c r="BA134" s="4"/>
    </row>
    <row r="135" spans="8:53" s="1" customFormat="1" ht="85.15" customHeight="1">
      <c r="H135" s="4"/>
      <c r="M135" s="4"/>
      <c r="R135" s="4"/>
      <c r="W135" s="4"/>
      <c r="AB135" s="4"/>
      <c r="AG135" s="4"/>
      <c r="AL135" s="4"/>
      <c r="AQ135" s="4"/>
      <c r="AV135" s="4"/>
      <c r="BA135" s="4"/>
    </row>
    <row r="136" spans="8:53" s="1" customFormat="1" ht="85.15" customHeight="1">
      <c r="H136" s="4"/>
      <c r="M136" s="4"/>
      <c r="R136" s="4"/>
      <c r="W136" s="4"/>
      <c r="AB136" s="4"/>
      <c r="AG136" s="4"/>
      <c r="AL136" s="4"/>
      <c r="AQ136" s="4"/>
      <c r="AV136" s="4"/>
      <c r="BA136" s="4"/>
    </row>
    <row r="137" spans="8:53" s="1" customFormat="1" ht="85.15" customHeight="1">
      <c r="H137" s="4"/>
      <c r="M137" s="4"/>
      <c r="R137" s="4"/>
      <c r="W137" s="4"/>
      <c r="AB137" s="4"/>
      <c r="AG137" s="4"/>
      <c r="AL137" s="4"/>
      <c r="AQ137" s="4"/>
      <c r="AV137" s="4"/>
      <c r="BA137" s="4"/>
    </row>
    <row r="138" spans="8:53" s="1" customFormat="1" ht="85.15" customHeight="1">
      <c r="H138" s="4"/>
      <c r="M138" s="4"/>
      <c r="R138" s="4"/>
      <c r="W138" s="4"/>
      <c r="AB138" s="4"/>
      <c r="AG138" s="4"/>
      <c r="AL138" s="4"/>
      <c r="AQ138" s="4"/>
      <c r="AV138" s="4"/>
      <c r="BA138" s="4"/>
    </row>
    <row r="139" spans="8:53" s="1" customFormat="1" ht="85.15" customHeight="1">
      <c r="H139" s="4"/>
      <c r="M139" s="4"/>
      <c r="R139" s="4"/>
      <c r="W139" s="4"/>
      <c r="AB139" s="4"/>
      <c r="AG139" s="4"/>
      <c r="AL139" s="4"/>
      <c r="AQ139" s="4"/>
      <c r="AV139" s="4"/>
      <c r="BA139" s="4"/>
    </row>
    <row r="140" spans="8:53" s="1" customFormat="1" ht="85.15" customHeight="1">
      <c r="H140" s="4"/>
      <c r="M140" s="4"/>
      <c r="R140" s="4"/>
      <c r="W140" s="4"/>
      <c r="AB140" s="4"/>
      <c r="AG140" s="4"/>
      <c r="AL140" s="4"/>
      <c r="AQ140" s="4"/>
      <c r="AV140" s="4"/>
      <c r="BA140" s="4"/>
    </row>
    <row r="141" spans="8:53" s="1" customFormat="1" ht="85.15" customHeight="1">
      <c r="H141" s="4"/>
      <c r="M141" s="4"/>
      <c r="R141" s="4"/>
      <c r="W141" s="4"/>
      <c r="AB141" s="4"/>
      <c r="AG141" s="4"/>
      <c r="AL141" s="4"/>
      <c r="AQ141" s="4"/>
      <c r="AV141" s="4"/>
      <c r="BA141" s="4"/>
    </row>
    <row r="142" spans="8:53" s="1" customFormat="1" ht="85.15" customHeight="1">
      <c r="H142" s="4"/>
      <c r="M142" s="4"/>
      <c r="R142" s="4"/>
      <c r="W142" s="4"/>
      <c r="AB142" s="4"/>
      <c r="AG142" s="4"/>
      <c r="AL142" s="4"/>
      <c r="AQ142" s="4"/>
      <c r="AV142" s="4"/>
      <c r="BA142" s="4"/>
    </row>
    <row r="143" spans="8:53" s="1" customFormat="1" ht="85.15" customHeight="1">
      <c r="H143" s="4"/>
      <c r="M143" s="4"/>
      <c r="R143" s="4"/>
      <c r="W143" s="4"/>
      <c r="AB143" s="4"/>
      <c r="AG143" s="4"/>
      <c r="AL143" s="4"/>
      <c r="AQ143" s="4"/>
      <c r="AV143" s="4"/>
      <c r="BA143" s="4"/>
    </row>
    <row r="144" spans="8:53" s="1" customFormat="1" ht="85.15" customHeight="1">
      <c r="H144" s="4"/>
      <c r="M144" s="4"/>
      <c r="R144" s="4"/>
      <c r="W144" s="4"/>
      <c r="AB144" s="4"/>
      <c r="AG144" s="4"/>
      <c r="AL144" s="4"/>
      <c r="AQ144" s="4"/>
      <c r="AV144" s="4"/>
      <c r="BA144" s="4"/>
    </row>
    <row r="145" spans="8:53" s="1" customFormat="1" ht="85.15" customHeight="1">
      <c r="H145" s="4"/>
      <c r="M145" s="4"/>
      <c r="R145" s="4"/>
      <c r="W145" s="4"/>
      <c r="AB145" s="4"/>
      <c r="AG145" s="4"/>
      <c r="AL145" s="4"/>
      <c r="AQ145" s="4"/>
      <c r="AV145" s="4"/>
      <c r="BA145" s="4"/>
    </row>
    <row r="146" spans="8:53" s="1" customFormat="1" ht="85.15" customHeight="1">
      <c r="H146" s="4"/>
      <c r="M146" s="4"/>
      <c r="R146" s="4"/>
      <c r="W146" s="4"/>
      <c r="AB146" s="4"/>
      <c r="AG146" s="4"/>
      <c r="AL146" s="4"/>
      <c r="AQ146" s="4"/>
      <c r="AV146" s="4"/>
      <c r="BA146" s="4"/>
    </row>
    <row r="147" spans="8:53" s="1" customFormat="1" ht="85.15" customHeight="1">
      <c r="H147" s="4"/>
      <c r="M147" s="4"/>
      <c r="R147" s="4"/>
      <c r="W147" s="4"/>
      <c r="AB147" s="4"/>
      <c r="AG147" s="4"/>
      <c r="AL147" s="4"/>
      <c r="AQ147" s="4"/>
      <c r="AV147" s="4"/>
      <c r="BA147" s="4"/>
    </row>
    <row r="148" spans="8:53" s="1" customFormat="1" ht="85.15" customHeight="1">
      <c r="H148" s="4"/>
      <c r="M148" s="4"/>
      <c r="R148" s="4"/>
      <c r="W148" s="4"/>
      <c r="AB148" s="4"/>
      <c r="AG148" s="4"/>
      <c r="AL148" s="4"/>
      <c r="AQ148" s="4"/>
      <c r="AV148" s="4"/>
      <c r="BA148" s="4"/>
    </row>
    <row r="149" spans="8:53" s="1" customFormat="1" ht="85.15" customHeight="1">
      <c r="H149" s="4"/>
      <c r="M149" s="4"/>
      <c r="R149" s="4"/>
      <c r="W149" s="4"/>
      <c r="AB149" s="4"/>
      <c r="AG149" s="4"/>
      <c r="AL149" s="4"/>
      <c r="AQ149" s="4"/>
      <c r="AV149" s="4"/>
      <c r="BA149" s="4"/>
    </row>
    <row r="150" spans="8:53" s="1" customFormat="1" ht="85.15" customHeight="1">
      <c r="H150" s="4"/>
      <c r="M150" s="4"/>
      <c r="R150" s="4"/>
      <c r="W150" s="4"/>
      <c r="AB150" s="4"/>
      <c r="AG150" s="4"/>
      <c r="AL150" s="4"/>
      <c r="AQ150" s="4"/>
      <c r="AV150" s="4"/>
      <c r="BA150" s="4"/>
    </row>
    <row r="151" spans="8:53" s="1" customFormat="1" ht="85.15" customHeight="1">
      <c r="H151" s="4"/>
      <c r="M151" s="4"/>
      <c r="R151" s="4"/>
      <c r="W151" s="4"/>
      <c r="AB151" s="4"/>
      <c r="AG151" s="4"/>
      <c r="AL151" s="4"/>
      <c r="AQ151" s="4"/>
      <c r="AV151" s="4"/>
      <c r="BA151" s="4"/>
    </row>
    <row r="152" spans="8:53" s="1" customFormat="1" ht="85.15" customHeight="1">
      <c r="H152" s="4"/>
      <c r="M152" s="4"/>
      <c r="R152" s="4"/>
      <c r="W152" s="4"/>
      <c r="AB152" s="4"/>
      <c r="AG152" s="4"/>
      <c r="AL152" s="4"/>
      <c r="AQ152" s="4"/>
      <c r="AV152" s="4"/>
      <c r="BA152" s="4"/>
    </row>
    <row r="153" spans="8:53" s="1" customFormat="1" ht="85.15" customHeight="1">
      <c r="H153" s="4"/>
      <c r="M153" s="4"/>
      <c r="R153" s="4"/>
      <c r="W153" s="4"/>
      <c r="AB153" s="4"/>
      <c r="AG153" s="4"/>
      <c r="AL153" s="4"/>
      <c r="AQ153" s="4"/>
      <c r="AV153" s="4"/>
      <c r="BA153" s="4"/>
    </row>
    <row r="154" spans="8:53" s="1" customFormat="1" ht="85.15" customHeight="1">
      <c r="H154" s="4"/>
      <c r="M154" s="4"/>
      <c r="R154" s="4"/>
      <c r="W154" s="4"/>
      <c r="AB154" s="4"/>
      <c r="AG154" s="4"/>
      <c r="AL154" s="4"/>
      <c r="AQ154" s="4"/>
      <c r="AV154" s="4"/>
      <c r="BA154" s="4"/>
    </row>
    <row r="155" spans="8:53" s="1" customFormat="1" ht="85.15" customHeight="1">
      <c r="H155" s="4"/>
      <c r="M155" s="4"/>
      <c r="R155" s="4"/>
      <c r="W155" s="4"/>
      <c r="AB155" s="4"/>
      <c r="AG155" s="4"/>
      <c r="AL155" s="4"/>
      <c r="AQ155" s="4"/>
      <c r="AV155" s="4"/>
      <c r="BA155" s="4"/>
    </row>
    <row r="156" spans="8:53" s="1" customFormat="1" ht="85.15" customHeight="1">
      <c r="H156" s="4"/>
      <c r="M156" s="4"/>
      <c r="R156" s="4"/>
      <c r="W156" s="4"/>
      <c r="AB156" s="4"/>
      <c r="AG156" s="4"/>
      <c r="AL156" s="4"/>
      <c r="AQ156" s="4"/>
      <c r="AV156" s="4"/>
      <c r="BA156" s="4"/>
    </row>
    <row r="157" spans="8:53" s="1" customFormat="1" ht="85.15" customHeight="1">
      <c r="H157" s="4"/>
      <c r="M157" s="4"/>
      <c r="R157" s="4"/>
      <c r="W157" s="4"/>
      <c r="AB157" s="4"/>
      <c r="AG157" s="4"/>
      <c r="AL157" s="4"/>
      <c r="AQ157" s="4"/>
      <c r="AV157" s="4"/>
      <c r="BA157" s="4"/>
    </row>
    <row r="158" spans="8:53" s="1" customFormat="1" ht="85.15" customHeight="1">
      <c r="H158" s="4"/>
      <c r="M158" s="4"/>
      <c r="R158" s="4"/>
      <c r="W158" s="4"/>
      <c r="AB158" s="4"/>
      <c r="AG158" s="4"/>
      <c r="AL158" s="4"/>
      <c r="AQ158" s="4"/>
      <c r="AV158" s="4"/>
      <c r="BA158" s="4"/>
    </row>
    <row r="159" spans="8:53" s="1" customFormat="1" ht="85.15" customHeight="1">
      <c r="H159" s="4"/>
      <c r="M159" s="4"/>
      <c r="R159" s="4"/>
      <c r="W159" s="4"/>
      <c r="AB159" s="4"/>
      <c r="AG159" s="4"/>
      <c r="AL159" s="4"/>
      <c r="AQ159" s="4"/>
      <c r="AV159" s="4"/>
      <c r="BA159" s="4"/>
    </row>
    <row r="160" spans="8:53" s="1" customFormat="1" ht="85.15" customHeight="1">
      <c r="H160" s="4"/>
      <c r="M160" s="4"/>
      <c r="R160" s="4"/>
      <c r="W160" s="4"/>
      <c r="AB160" s="4"/>
      <c r="AG160" s="4"/>
      <c r="AL160" s="4"/>
      <c r="AQ160" s="4"/>
      <c r="AV160" s="4"/>
      <c r="BA160" s="4"/>
    </row>
    <row r="161" spans="8:53" s="1" customFormat="1" ht="85.15" customHeight="1">
      <c r="H161" s="4"/>
      <c r="M161" s="4"/>
      <c r="R161" s="4"/>
      <c r="W161" s="4"/>
      <c r="AB161" s="4"/>
      <c r="AG161" s="4"/>
      <c r="AL161" s="4"/>
      <c r="AQ161" s="4"/>
      <c r="AV161" s="4"/>
      <c r="BA161" s="4"/>
    </row>
    <row r="162" spans="8:53" s="1" customFormat="1" ht="85.15" customHeight="1">
      <c r="H162" s="4"/>
      <c r="M162" s="4"/>
      <c r="R162" s="4"/>
      <c r="W162" s="4"/>
      <c r="AB162" s="4"/>
      <c r="AG162" s="4"/>
      <c r="AL162" s="4"/>
      <c r="AQ162" s="4"/>
      <c r="AV162" s="4"/>
      <c r="BA162" s="4"/>
    </row>
    <row r="163" spans="8:53" s="1" customFormat="1" ht="85.15" customHeight="1">
      <c r="H163" s="4"/>
      <c r="M163" s="4"/>
      <c r="R163" s="4"/>
      <c r="W163" s="4"/>
      <c r="AB163" s="4"/>
      <c r="AG163" s="4"/>
      <c r="AL163" s="4"/>
      <c r="AQ163" s="4"/>
      <c r="AV163" s="4"/>
      <c r="BA163" s="4"/>
    </row>
    <row r="164" spans="8:53" s="1" customFormat="1" ht="85.15" customHeight="1">
      <c r="H164" s="4"/>
      <c r="M164" s="4"/>
      <c r="R164" s="4"/>
      <c r="W164" s="4"/>
      <c r="AB164" s="4"/>
      <c r="AG164" s="4"/>
      <c r="AL164" s="4"/>
      <c r="AQ164" s="4"/>
      <c r="AV164" s="4"/>
      <c r="BA164" s="4"/>
    </row>
    <row r="165" spans="8:53" s="1" customFormat="1" ht="85.15" customHeight="1">
      <c r="H165" s="4"/>
      <c r="M165" s="4"/>
      <c r="R165" s="4"/>
      <c r="W165" s="4"/>
      <c r="AB165" s="4"/>
      <c r="AG165" s="4"/>
      <c r="AL165" s="4"/>
      <c r="AQ165" s="4"/>
      <c r="AV165" s="4"/>
      <c r="BA165" s="4"/>
    </row>
    <row r="166" spans="8:53" s="1" customFormat="1" ht="85.15" customHeight="1">
      <c r="H166" s="4"/>
      <c r="M166" s="4"/>
      <c r="R166" s="4"/>
      <c r="W166" s="4"/>
      <c r="AB166" s="4"/>
      <c r="AG166" s="4"/>
      <c r="AL166" s="4"/>
      <c r="AQ166" s="4"/>
      <c r="AV166" s="4"/>
      <c r="BA166" s="4"/>
    </row>
    <row r="167" spans="8:53" s="1" customFormat="1" ht="85.15" customHeight="1">
      <c r="H167" s="4"/>
      <c r="M167" s="4"/>
      <c r="R167" s="4"/>
      <c r="W167" s="4"/>
      <c r="AB167" s="4"/>
      <c r="AG167" s="4"/>
      <c r="AL167" s="4"/>
      <c r="AQ167" s="4"/>
      <c r="AV167" s="4"/>
      <c r="BA167" s="4"/>
    </row>
    <row r="168" spans="8:53" s="1" customFormat="1" ht="85.15" customHeight="1">
      <c r="H168" s="4"/>
      <c r="M168" s="4"/>
      <c r="R168" s="4"/>
      <c r="W168" s="4"/>
      <c r="AB168" s="4"/>
      <c r="AG168" s="4"/>
      <c r="AL168" s="4"/>
      <c r="AQ168" s="4"/>
      <c r="AV168" s="4"/>
      <c r="BA168" s="4"/>
    </row>
    <row r="169" spans="8:53" s="1" customFormat="1" ht="85.15" customHeight="1">
      <c r="H169" s="4"/>
      <c r="M169" s="4"/>
      <c r="R169" s="4"/>
      <c r="W169" s="4"/>
      <c r="AB169" s="4"/>
      <c r="AG169" s="4"/>
      <c r="AL169" s="4"/>
      <c r="AQ169" s="4"/>
      <c r="AV169" s="4"/>
      <c r="BA169" s="4"/>
    </row>
    <row r="170" spans="8:53" s="1" customFormat="1" ht="85.15" customHeight="1">
      <c r="H170" s="4"/>
      <c r="M170" s="4"/>
      <c r="R170" s="4"/>
      <c r="W170" s="4"/>
      <c r="AB170" s="4"/>
      <c r="AG170" s="4"/>
      <c r="AL170" s="4"/>
      <c r="AQ170" s="4"/>
      <c r="AV170" s="4"/>
      <c r="BA170" s="4"/>
    </row>
    <row r="171" spans="8:53" s="1" customFormat="1" ht="85.15" customHeight="1">
      <c r="H171" s="4"/>
      <c r="M171" s="4"/>
      <c r="R171" s="4"/>
      <c r="W171" s="4"/>
      <c r="AB171" s="4"/>
      <c r="AG171" s="4"/>
      <c r="AL171" s="4"/>
      <c r="AQ171" s="4"/>
      <c r="AV171" s="4"/>
      <c r="BA171" s="4"/>
    </row>
    <row r="172" spans="8:53" s="1" customFormat="1" ht="85.15" customHeight="1">
      <c r="H172" s="4"/>
      <c r="M172" s="4"/>
      <c r="R172" s="4"/>
      <c r="W172" s="4"/>
      <c r="AB172" s="4"/>
      <c r="AG172" s="4"/>
      <c r="AL172" s="4"/>
      <c r="AQ172" s="4"/>
      <c r="AV172" s="4"/>
      <c r="BA172" s="4"/>
    </row>
    <row r="173" spans="8:53" s="1" customFormat="1" ht="85.15" customHeight="1">
      <c r="H173" s="4"/>
      <c r="M173" s="4"/>
      <c r="R173" s="4"/>
      <c r="W173" s="4"/>
      <c r="AB173" s="4"/>
      <c r="AG173" s="4"/>
      <c r="AL173" s="4"/>
      <c r="AQ173" s="4"/>
      <c r="AV173" s="4"/>
      <c r="BA173" s="4"/>
    </row>
    <row r="174" spans="8:53" s="1" customFormat="1" ht="85.15" customHeight="1">
      <c r="H174" s="4"/>
      <c r="M174" s="4"/>
      <c r="R174" s="4"/>
      <c r="W174" s="4"/>
      <c r="AB174" s="4"/>
      <c r="AG174" s="4"/>
      <c r="AL174" s="4"/>
      <c r="AQ174" s="4"/>
      <c r="AV174" s="4"/>
      <c r="BA174" s="4"/>
    </row>
    <row r="175" spans="8:53" s="1" customFormat="1" ht="85.15" customHeight="1">
      <c r="H175" s="4"/>
      <c r="M175" s="4"/>
      <c r="R175" s="4"/>
      <c r="W175" s="4"/>
      <c r="AB175" s="4"/>
      <c r="AG175" s="4"/>
      <c r="AL175" s="4"/>
      <c r="AQ175" s="4"/>
      <c r="AV175" s="4"/>
      <c r="BA175" s="4"/>
    </row>
    <row r="176" spans="8:53" s="1" customFormat="1" ht="85.15" customHeight="1">
      <c r="H176" s="4"/>
      <c r="M176" s="4"/>
      <c r="R176" s="4"/>
      <c r="W176" s="4"/>
      <c r="AB176" s="4"/>
      <c r="AG176" s="4"/>
      <c r="AL176" s="4"/>
      <c r="AQ176" s="4"/>
      <c r="AV176" s="4"/>
      <c r="BA176" s="4"/>
    </row>
    <row r="177" spans="8:53" s="1" customFormat="1" ht="85.15" customHeight="1">
      <c r="H177" s="4"/>
      <c r="M177" s="4"/>
      <c r="R177" s="4"/>
      <c r="W177" s="4"/>
      <c r="AB177" s="4"/>
      <c r="AG177" s="4"/>
      <c r="AL177" s="4"/>
      <c r="AQ177" s="4"/>
      <c r="AV177" s="4"/>
      <c r="BA177" s="4"/>
    </row>
    <row r="178" spans="8:53" s="1" customFormat="1" ht="85.15" customHeight="1">
      <c r="H178" s="4"/>
      <c r="M178" s="4"/>
      <c r="R178" s="4"/>
      <c r="W178" s="4"/>
      <c r="AB178" s="4"/>
      <c r="AG178" s="4"/>
      <c r="AL178" s="4"/>
      <c r="AQ178" s="4"/>
      <c r="AV178" s="4"/>
      <c r="BA178" s="4"/>
    </row>
    <row r="179" spans="8:53" s="1" customFormat="1" ht="85.15" customHeight="1">
      <c r="H179" s="4"/>
      <c r="M179" s="4"/>
      <c r="R179" s="4"/>
      <c r="W179" s="4"/>
      <c r="AB179" s="4"/>
      <c r="AG179" s="4"/>
      <c r="AL179" s="4"/>
      <c r="AQ179" s="4"/>
      <c r="AV179" s="4"/>
      <c r="BA179" s="4"/>
    </row>
    <row r="180" spans="8:53" s="1" customFormat="1" ht="85.15" customHeight="1">
      <c r="H180" s="4"/>
      <c r="M180" s="4"/>
      <c r="R180" s="4"/>
      <c r="W180" s="4"/>
      <c r="AB180" s="4"/>
      <c r="AG180" s="4"/>
      <c r="AL180" s="4"/>
      <c r="AQ180" s="4"/>
      <c r="AV180" s="4"/>
      <c r="BA180" s="4"/>
    </row>
    <row r="181" spans="8:53" s="1" customFormat="1" ht="85.15" customHeight="1">
      <c r="H181" s="4"/>
      <c r="M181" s="4"/>
      <c r="R181" s="4"/>
      <c r="W181" s="4"/>
      <c r="AB181" s="4"/>
      <c r="AG181" s="4"/>
      <c r="AL181" s="4"/>
      <c r="AQ181" s="4"/>
      <c r="AV181" s="4"/>
      <c r="BA181" s="4"/>
    </row>
    <row r="182" spans="8:53" s="1" customFormat="1" ht="85.15" customHeight="1">
      <c r="H182" s="4"/>
      <c r="M182" s="4"/>
      <c r="R182" s="4"/>
      <c r="W182" s="4"/>
      <c r="AB182" s="4"/>
      <c r="AG182" s="4"/>
      <c r="AL182" s="4"/>
      <c r="AQ182" s="4"/>
      <c r="AV182" s="4"/>
      <c r="BA182" s="4"/>
    </row>
    <row r="183" spans="8:53" s="1" customFormat="1" ht="85.15" customHeight="1">
      <c r="H183" s="4"/>
      <c r="M183" s="4"/>
      <c r="R183" s="4"/>
      <c r="W183" s="4"/>
      <c r="AB183" s="4"/>
      <c r="AG183" s="4"/>
      <c r="AL183" s="4"/>
      <c r="AQ183" s="4"/>
      <c r="AV183" s="4"/>
      <c r="BA183" s="4"/>
    </row>
    <row r="184" spans="8:53" s="1" customFormat="1" ht="85.15" customHeight="1">
      <c r="H184" s="4"/>
      <c r="M184" s="4"/>
      <c r="R184" s="4"/>
      <c r="W184" s="4"/>
      <c r="AB184" s="4"/>
      <c r="AG184" s="4"/>
      <c r="AL184" s="4"/>
      <c r="AQ184" s="4"/>
      <c r="AV184" s="4"/>
      <c r="BA184" s="4"/>
    </row>
    <row r="185" spans="8:53" s="1" customFormat="1" ht="53.45" customHeight="1">
      <c r="H185" s="4"/>
      <c r="M185" s="4"/>
      <c r="R185" s="4"/>
      <c r="W185" s="4"/>
      <c r="AB185" s="4"/>
      <c r="AG185" s="4"/>
      <c r="AL185" s="4"/>
      <c r="AQ185" s="4"/>
      <c r="AV185" s="4"/>
      <c r="BA185" s="4"/>
    </row>
    <row r="186" spans="8:53" s="1" customFormat="1" ht="53.45" customHeight="1">
      <c r="H186" s="4"/>
      <c r="M186" s="4"/>
      <c r="R186" s="4"/>
      <c r="W186" s="4"/>
      <c r="AB186" s="4"/>
      <c r="AG186" s="4"/>
      <c r="AL186" s="4"/>
      <c r="AQ186" s="4"/>
      <c r="AV186" s="4"/>
      <c r="BA186" s="4"/>
    </row>
    <row r="187" spans="8:53" s="1" customFormat="1" ht="53.45" customHeight="1">
      <c r="H187" s="4"/>
      <c r="M187" s="4"/>
      <c r="R187" s="4"/>
      <c r="W187" s="4"/>
      <c r="AB187" s="4"/>
      <c r="AG187" s="4"/>
      <c r="AL187" s="4"/>
      <c r="AQ187" s="4"/>
      <c r="AV187" s="4"/>
      <c r="BA187" s="4"/>
    </row>
    <row r="188" spans="8:53" s="1" customFormat="1" ht="53.45" customHeight="1">
      <c r="H188" s="4"/>
      <c r="M188" s="4"/>
      <c r="R188" s="4"/>
      <c r="W188" s="4"/>
      <c r="AB188" s="4"/>
      <c r="AG188" s="4"/>
      <c r="AL188" s="4"/>
      <c r="AQ188" s="4"/>
      <c r="AV188" s="4"/>
      <c r="BA188" s="4"/>
    </row>
    <row r="189" spans="8:53" s="1" customFormat="1" ht="53.45" customHeight="1">
      <c r="H189" s="4"/>
      <c r="M189" s="4"/>
      <c r="R189" s="4"/>
      <c r="W189" s="4"/>
      <c r="AB189" s="4"/>
      <c r="AG189" s="4"/>
      <c r="AL189" s="4"/>
      <c r="AQ189" s="4"/>
      <c r="AV189" s="4"/>
      <c r="BA189" s="4"/>
    </row>
    <row r="190" spans="8:53" s="1" customFormat="1" ht="53.45" customHeight="1">
      <c r="H190" s="4"/>
      <c r="M190" s="4"/>
      <c r="R190" s="4"/>
      <c r="W190" s="4"/>
      <c r="AB190" s="4"/>
      <c r="AG190" s="4"/>
      <c r="AL190" s="4"/>
      <c r="AQ190" s="4"/>
      <c r="AV190" s="4"/>
      <c r="BA190" s="4"/>
    </row>
    <row r="191" spans="8:53" s="1" customFormat="1" ht="53.45" customHeight="1">
      <c r="H191" s="4"/>
      <c r="M191" s="4"/>
      <c r="R191" s="4"/>
      <c r="W191" s="4"/>
      <c r="AB191" s="4"/>
      <c r="AG191" s="4"/>
      <c r="AL191" s="4"/>
      <c r="AQ191" s="4"/>
      <c r="AV191" s="4"/>
      <c r="BA191" s="4"/>
    </row>
    <row r="192" spans="8:53" s="1" customFormat="1" ht="53.45" customHeight="1">
      <c r="H192" s="4"/>
      <c r="M192" s="4"/>
      <c r="R192" s="4"/>
      <c r="W192" s="4"/>
      <c r="AB192" s="4"/>
      <c r="AG192" s="4"/>
      <c r="AL192" s="4"/>
      <c r="AQ192" s="4"/>
      <c r="AV192" s="4"/>
      <c r="BA192" s="4"/>
    </row>
    <row r="193" spans="8:53" s="1" customFormat="1" ht="53.45" customHeight="1">
      <c r="H193" s="4"/>
      <c r="M193" s="4"/>
      <c r="R193" s="4"/>
      <c r="W193" s="4"/>
      <c r="AB193" s="4"/>
      <c r="AG193" s="4"/>
      <c r="AL193" s="4"/>
      <c r="AQ193" s="4"/>
      <c r="AV193" s="4"/>
      <c r="BA193" s="4"/>
    </row>
    <row r="194" spans="8:53" s="1" customFormat="1" ht="53.45" customHeight="1">
      <c r="H194" s="4"/>
      <c r="M194" s="4"/>
      <c r="R194" s="4"/>
      <c r="W194" s="4"/>
      <c r="AB194" s="4"/>
      <c r="AG194" s="4"/>
      <c r="AL194" s="4"/>
      <c r="AQ194" s="4"/>
      <c r="AV194" s="4"/>
      <c r="BA194" s="4"/>
    </row>
    <row r="195" spans="8:53" s="1" customFormat="1" ht="53.45" customHeight="1">
      <c r="H195" s="4"/>
      <c r="M195" s="4"/>
      <c r="R195" s="4"/>
      <c r="W195" s="4"/>
      <c r="AB195" s="4"/>
      <c r="AG195" s="4"/>
      <c r="AL195" s="4"/>
      <c r="AQ195" s="4"/>
      <c r="AV195" s="4"/>
      <c r="BA195" s="4"/>
    </row>
    <row r="196" spans="8:53" s="1" customFormat="1" ht="53.45" customHeight="1">
      <c r="H196" s="4"/>
      <c r="M196" s="4"/>
      <c r="R196" s="4"/>
      <c r="W196" s="4"/>
      <c r="AB196" s="4"/>
      <c r="AG196" s="4"/>
      <c r="AL196" s="4"/>
      <c r="AQ196" s="4"/>
      <c r="AV196" s="4"/>
      <c r="BA196" s="4"/>
    </row>
    <row r="197" spans="8:53" s="1" customFormat="1" ht="53.45" customHeight="1">
      <c r="H197" s="4"/>
      <c r="M197" s="4"/>
      <c r="R197" s="4"/>
      <c r="W197" s="4"/>
      <c r="AB197" s="4"/>
      <c r="AG197" s="4"/>
      <c r="AL197" s="4"/>
      <c r="AQ197" s="4"/>
      <c r="AV197" s="4"/>
      <c r="BA197" s="4"/>
    </row>
    <row r="198" spans="8:53" s="1" customFormat="1" ht="53.45" customHeight="1">
      <c r="H198" s="4"/>
      <c r="M198" s="4"/>
      <c r="R198" s="4"/>
      <c r="W198" s="4"/>
      <c r="AB198" s="4"/>
      <c r="AG198" s="4"/>
      <c r="AL198" s="4"/>
      <c r="AQ198" s="4"/>
      <c r="AV198" s="4"/>
      <c r="BA198" s="4"/>
    </row>
    <row r="199" spans="8:53" s="1" customFormat="1" ht="53.45" customHeight="1">
      <c r="H199" s="4"/>
      <c r="M199" s="4"/>
      <c r="R199" s="4"/>
      <c r="W199" s="4"/>
      <c r="AB199" s="4"/>
      <c r="AG199" s="4"/>
      <c r="AL199" s="4"/>
      <c r="AQ199" s="4"/>
      <c r="AV199" s="4"/>
      <c r="BA199" s="4"/>
    </row>
    <row r="200" spans="8:53" s="1" customFormat="1" ht="53.45" customHeight="1">
      <c r="H200" s="4"/>
      <c r="M200" s="4"/>
      <c r="R200" s="4"/>
      <c r="W200" s="4"/>
      <c r="AB200" s="4"/>
      <c r="AG200" s="4"/>
      <c r="AL200" s="4"/>
      <c r="AQ200" s="4"/>
      <c r="AV200" s="4"/>
      <c r="BA200" s="4"/>
    </row>
    <row r="201" spans="8:53" s="1" customFormat="1" ht="53.45" customHeight="1">
      <c r="H201" s="4"/>
      <c r="M201" s="4"/>
      <c r="R201" s="4"/>
      <c r="W201" s="4"/>
      <c r="AB201" s="4"/>
      <c r="AG201" s="4"/>
      <c r="AL201" s="4"/>
      <c r="AQ201" s="4"/>
      <c r="AV201" s="4"/>
      <c r="BA201" s="4"/>
    </row>
    <row r="202" spans="8:53" s="1" customFormat="1" ht="53.45" customHeight="1">
      <c r="H202" s="4"/>
      <c r="M202" s="4"/>
      <c r="R202" s="4"/>
      <c r="W202" s="4"/>
      <c r="AB202" s="4"/>
      <c r="AG202" s="4"/>
      <c r="AL202" s="4"/>
      <c r="AQ202" s="4"/>
      <c r="AV202" s="4"/>
      <c r="BA202" s="4"/>
    </row>
    <row r="203" spans="8:53" s="1" customFormat="1" ht="53.45" customHeight="1">
      <c r="H203" s="4"/>
      <c r="M203" s="4"/>
      <c r="R203" s="4"/>
      <c r="W203" s="4"/>
      <c r="AB203" s="4"/>
      <c r="AG203" s="4"/>
      <c r="AL203" s="4"/>
      <c r="AQ203" s="4"/>
      <c r="AV203" s="4"/>
      <c r="BA203" s="4"/>
    </row>
    <row r="204" spans="8:53" s="1" customFormat="1" ht="53.45" customHeight="1">
      <c r="H204" s="4"/>
      <c r="M204" s="4"/>
      <c r="R204" s="4"/>
      <c r="W204" s="4"/>
      <c r="AB204" s="4"/>
      <c r="AG204" s="4"/>
      <c r="AL204" s="4"/>
      <c r="AQ204" s="4"/>
      <c r="AV204" s="4"/>
      <c r="BA204" s="4"/>
    </row>
    <row r="205" spans="8:53" s="1" customFormat="1" ht="53.45" customHeight="1">
      <c r="H205" s="4"/>
      <c r="M205" s="4"/>
      <c r="R205" s="4"/>
      <c r="W205" s="4"/>
      <c r="AB205" s="4"/>
      <c r="AG205" s="4"/>
      <c r="AL205" s="4"/>
      <c r="AQ205" s="4"/>
      <c r="AV205" s="4"/>
      <c r="BA205" s="4"/>
    </row>
    <row r="206" spans="8:53" s="1" customFormat="1" ht="53.45" customHeight="1">
      <c r="H206" s="4"/>
      <c r="M206" s="4"/>
      <c r="R206" s="4"/>
      <c r="W206" s="4"/>
      <c r="AB206" s="4"/>
      <c r="AG206" s="4"/>
      <c r="AL206" s="4"/>
      <c r="AQ206" s="4"/>
      <c r="AV206" s="4"/>
      <c r="BA206" s="4"/>
    </row>
    <row r="207" spans="8:53" s="1" customFormat="1" ht="53.45" customHeight="1">
      <c r="H207" s="4"/>
      <c r="M207" s="4"/>
      <c r="R207" s="4"/>
      <c r="W207" s="4"/>
      <c r="AB207" s="4"/>
      <c r="AG207" s="4"/>
      <c r="AL207" s="4"/>
      <c r="AQ207" s="4"/>
      <c r="AV207" s="4"/>
      <c r="BA207" s="4"/>
    </row>
    <row r="208" spans="8:53" s="1" customFormat="1" ht="53.45" customHeight="1">
      <c r="H208" s="4"/>
      <c r="M208" s="4"/>
      <c r="R208" s="4"/>
      <c r="W208" s="4"/>
      <c r="AB208" s="4"/>
      <c r="AG208" s="4"/>
      <c r="AL208" s="4"/>
      <c r="AQ208" s="4"/>
      <c r="AV208" s="4"/>
      <c r="BA208" s="4"/>
    </row>
    <row r="209" spans="8:53" s="1" customFormat="1" ht="53.45" customHeight="1">
      <c r="H209" s="4"/>
      <c r="M209" s="4"/>
      <c r="R209" s="4"/>
      <c r="W209" s="4"/>
      <c r="AB209" s="4"/>
      <c r="AG209" s="4"/>
      <c r="AL209" s="4"/>
      <c r="AQ209" s="4"/>
      <c r="AV209" s="4"/>
      <c r="BA209" s="4"/>
    </row>
    <row r="210" spans="8:53" s="1" customFormat="1" ht="53.45" customHeight="1">
      <c r="H210" s="4"/>
      <c r="M210" s="4"/>
      <c r="R210" s="4"/>
      <c r="W210" s="4"/>
      <c r="AB210" s="4"/>
      <c r="AG210" s="4"/>
      <c r="AL210" s="4"/>
      <c r="AQ210" s="4"/>
      <c r="AV210" s="4"/>
      <c r="BA210" s="4"/>
    </row>
    <row r="211" spans="8:53" s="1" customFormat="1" ht="53.45" customHeight="1">
      <c r="H211" s="4"/>
      <c r="M211" s="4"/>
      <c r="R211" s="4"/>
      <c r="W211" s="4"/>
      <c r="AB211" s="4"/>
      <c r="AG211" s="4"/>
      <c r="AL211" s="4"/>
      <c r="AQ211" s="4"/>
      <c r="AV211" s="4"/>
      <c r="BA211" s="4"/>
    </row>
    <row r="212" spans="8:53" s="1" customFormat="1" ht="53.45" customHeight="1">
      <c r="H212" s="4"/>
      <c r="M212" s="4"/>
      <c r="R212" s="4"/>
      <c r="W212" s="4"/>
      <c r="AB212" s="4"/>
      <c r="AG212" s="4"/>
      <c r="AL212" s="4"/>
      <c r="AQ212" s="4"/>
      <c r="AV212" s="4"/>
      <c r="BA212" s="4"/>
    </row>
    <row r="213" spans="8:53" s="1" customFormat="1" ht="53.45" customHeight="1">
      <c r="H213" s="4"/>
      <c r="M213" s="4"/>
      <c r="R213" s="4"/>
      <c r="W213" s="4"/>
      <c r="AB213" s="4"/>
      <c r="AG213" s="4"/>
      <c r="AL213" s="4"/>
      <c r="AQ213" s="4"/>
      <c r="AV213" s="4"/>
      <c r="BA213" s="4"/>
    </row>
    <row r="214" spans="8:53" s="1" customFormat="1" ht="53.45" customHeight="1">
      <c r="H214" s="4"/>
      <c r="M214" s="4"/>
      <c r="R214" s="4"/>
      <c r="W214" s="4"/>
      <c r="AB214" s="4"/>
      <c r="AG214" s="4"/>
      <c r="AL214" s="4"/>
      <c r="AQ214" s="4"/>
      <c r="AV214" s="4"/>
      <c r="BA214" s="4"/>
    </row>
    <row r="215" spans="8:53" s="1" customFormat="1" ht="53.45" customHeight="1">
      <c r="H215" s="4"/>
      <c r="M215" s="4"/>
      <c r="R215" s="4"/>
      <c r="W215" s="4"/>
      <c r="AB215" s="4"/>
      <c r="AG215" s="4"/>
      <c r="AL215" s="4"/>
      <c r="AQ215" s="4"/>
      <c r="AV215" s="4"/>
      <c r="BA215" s="4"/>
    </row>
    <row r="216" spans="8:53" s="1" customFormat="1" ht="53.45" customHeight="1">
      <c r="H216" s="4"/>
      <c r="M216" s="4"/>
      <c r="R216" s="4"/>
      <c r="W216" s="4"/>
      <c r="AB216" s="4"/>
      <c r="AG216" s="4"/>
      <c r="AL216" s="4"/>
      <c r="AQ216" s="4"/>
      <c r="AV216" s="4"/>
      <c r="BA216" s="4"/>
    </row>
    <row r="217" spans="8:53" s="1" customFormat="1" ht="53.45" customHeight="1">
      <c r="H217" s="4"/>
      <c r="M217" s="4"/>
      <c r="R217" s="4"/>
      <c r="W217" s="4"/>
      <c r="AB217" s="4"/>
      <c r="AG217" s="4"/>
      <c r="AL217" s="4"/>
      <c r="AQ217" s="4"/>
      <c r="AV217" s="4"/>
      <c r="BA217" s="4"/>
    </row>
    <row r="218" spans="8:53" s="1" customFormat="1" ht="53.45" customHeight="1">
      <c r="H218" s="4"/>
      <c r="M218" s="4"/>
      <c r="R218" s="4"/>
      <c r="W218" s="4"/>
      <c r="AB218" s="4"/>
      <c r="AG218" s="4"/>
      <c r="AL218" s="4"/>
      <c r="AQ218" s="4"/>
      <c r="AV218" s="4"/>
      <c r="BA218" s="4"/>
    </row>
    <row r="219" spans="8:53" s="1" customFormat="1" ht="53.45" customHeight="1">
      <c r="H219" s="4"/>
      <c r="M219" s="4"/>
      <c r="R219" s="4"/>
      <c r="W219" s="4"/>
      <c r="AB219" s="4"/>
      <c r="AG219" s="4"/>
      <c r="AL219" s="4"/>
      <c r="AQ219" s="4"/>
      <c r="AV219" s="4"/>
      <c r="BA219" s="4"/>
    </row>
    <row r="220" spans="8:53" s="1" customFormat="1" ht="53.45" customHeight="1">
      <c r="H220" s="4"/>
      <c r="M220" s="4"/>
      <c r="R220" s="4"/>
      <c r="W220" s="4"/>
      <c r="AB220" s="4"/>
      <c r="AG220" s="4"/>
      <c r="AL220" s="4"/>
      <c r="AQ220" s="4"/>
      <c r="AV220" s="4"/>
      <c r="BA220" s="4"/>
    </row>
    <row r="221" spans="8:53" s="1" customFormat="1" ht="53.45" customHeight="1">
      <c r="H221" s="4"/>
      <c r="M221" s="4"/>
      <c r="R221" s="4"/>
      <c r="W221" s="4"/>
      <c r="AB221" s="4"/>
      <c r="AG221" s="4"/>
      <c r="AL221" s="4"/>
      <c r="AQ221" s="4"/>
      <c r="AV221" s="4"/>
      <c r="BA221" s="4"/>
    </row>
    <row r="222" spans="8:53" s="1" customFormat="1" ht="53.45" customHeight="1">
      <c r="H222" s="4"/>
      <c r="M222" s="4"/>
      <c r="R222" s="4"/>
      <c r="W222" s="4"/>
      <c r="AB222" s="4"/>
      <c r="AG222" s="4"/>
      <c r="AL222" s="4"/>
      <c r="AQ222" s="4"/>
      <c r="AV222" s="4"/>
      <c r="BA222" s="4"/>
    </row>
    <row r="223" spans="8:53" s="1" customFormat="1" ht="53.45" customHeight="1">
      <c r="H223" s="4"/>
      <c r="M223" s="4"/>
      <c r="R223" s="4"/>
      <c r="W223" s="4"/>
      <c r="AB223" s="4"/>
      <c r="AG223" s="4"/>
      <c r="AL223" s="4"/>
      <c r="AQ223" s="4"/>
      <c r="AV223" s="4"/>
      <c r="BA223" s="4"/>
    </row>
    <row r="224" spans="8:53" s="1" customFormat="1" ht="53.45" customHeight="1">
      <c r="H224" s="4"/>
      <c r="M224" s="4"/>
      <c r="R224" s="4"/>
      <c r="W224" s="4"/>
      <c r="AB224" s="4"/>
      <c r="AG224" s="4"/>
      <c r="AL224" s="4"/>
      <c r="AQ224" s="4"/>
      <c r="AV224" s="4"/>
      <c r="BA224" s="4"/>
    </row>
    <row r="225" spans="8:53" s="1" customFormat="1" ht="53.45" customHeight="1">
      <c r="H225" s="4"/>
      <c r="M225" s="4"/>
      <c r="R225" s="4"/>
      <c r="W225" s="4"/>
      <c r="AB225" s="4"/>
      <c r="AG225" s="4"/>
      <c r="AL225" s="4"/>
      <c r="AQ225" s="4"/>
      <c r="AV225" s="4"/>
      <c r="BA225" s="4"/>
    </row>
    <row r="226" spans="8:53" s="1" customFormat="1" ht="53.45" customHeight="1">
      <c r="H226" s="4"/>
      <c r="M226" s="4"/>
      <c r="R226" s="4"/>
      <c r="W226" s="4"/>
      <c r="AB226" s="4"/>
      <c r="AG226" s="4"/>
      <c r="AL226" s="4"/>
      <c r="AQ226" s="4"/>
      <c r="AV226" s="4"/>
      <c r="BA226" s="4"/>
    </row>
    <row r="227" spans="8:53" s="1" customFormat="1" ht="53.45" customHeight="1">
      <c r="H227" s="4"/>
      <c r="M227" s="4"/>
      <c r="R227" s="4"/>
      <c r="W227" s="4"/>
      <c r="AB227" s="4"/>
      <c r="AG227" s="4"/>
      <c r="AL227" s="4"/>
      <c r="AQ227" s="4"/>
      <c r="AV227" s="4"/>
      <c r="BA227" s="4"/>
    </row>
    <row r="228" spans="8:53" s="1" customFormat="1" ht="53.45" customHeight="1">
      <c r="H228" s="4"/>
      <c r="M228" s="4"/>
      <c r="R228" s="4"/>
      <c r="W228" s="4"/>
      <c r="AB228" s="4"/>
      <c r="AG228" s="4"/>
      <c r="AL228" s="4"/>
      <c r="AQ228" s="4"/>
      <c r="AV228" s="4"/>
      <c r="BA228" s="4"/>
    </row>
    <row r="229" spans="8:53" s="1" customFormat="1" ht="53.45" customHeight="1">
      <c r="H229" s="4"/>
      <c r="M229" s="4"/>
      <c r="R229" s="4"/>
      <c r="W229" s="4"/>
      <c r="AB229" s="4"/>
      <c r="AG229" s="4"/>
      <c r="AL229" s="4"/>
      <c r="AQ229" s="4"/>
      <c r="AV229" s="4"/>
      <c r="BA229" s="4"/>
    </row>
    <row r="230" spans="8:53" s="1" customFormat="1" ht="53.45" customHeight="1">
      <c r="H230" s="4"/>
      <c r="M230" s="4"/>
      <c r="R230" s="4"/>
      <c r="W230" s="4"/>
      <c r="AB230" s="4"/>
      <c r="AG230" s="4"/>
      <c r="AL230" s="4"/>
      <c r="AQ230" s="4"/>
      <c r="AV230" s="4"/>
      <c r="BA230" s="4"/>
    </row>
    <row r="231" spans="8:53" s="1" customFormat="1" ht="53.45" customHeight="1">
      <c r="H231" s="4"/>
      <c r="M231" s="4"/>
      <c r="R231" s="4"/>
      <c r="W231" s="4"/>
      <c r="AB231" s="4"/>
      <c r="AG231" s="4"/>
      <c r="AL231" s="4"/>
      <c r="AQ231" s="4"/>
      <c r="AV231" s="4"/>
      <c r="BA231" s="4"/>
    </row>
    <row r="232" spans="8:53" s="1" customFormat="1" ht="53.45" customHeight="1">
      <c r="H232" s="4"/>
      <c r="M232" s="4"/>
      <c r="R232" s="4"/>
      <c r="W232" s="4"/>
      <c r="AB232" s="4"/>
      <c r="AG232" s="4"/>
      <c r="AL232" s="4"/>
      <c r="AQ232" s="4"/>
      <c r="AV232" s="4"/>
      <c r="BA232" s="4"/>
    </row>
    <row r="233" spans="8:53" s="1" customFormat="1" ht="53.45" customHeight="1">
      <c r="H233" s="4"/>
      <c r="M233" s="4"/>
      <c r="R233" s="4"/>
      <c r="W233" s="4"/>
      <c r="AB233" s="4"/>
      <c r="AG233" s="4"/>
      <c r="AL233" s="4"/>
      <c r="AQ233" s="4"/>
      <c r="AV233" s="4"/>
      <c r="BA233" s="4"/>
    </row>
    <row r="234" spans="8:53" s="1" customFormat="1" ht="53.45" customHeight="1">
      <c r="H234" s="4"/>
      <c r="M234" s="4"/>
      <c r="R234" s="4"/>
      <c r="W234" s="4"/>
      <c r="AB234" s="4"/>
      <c r="AG234" s="4"/>
      <c r="AL234" s="4"/>
      <c r="AQ234" s="4"/>
      <c r="AV234" s="4"/>
      <c r="BA234" s="4"/>
    </row>
    <row r="235" spans="8:53" s="1" customFormat="1" ht="53.45" customHeight="1">
      <c r="H235" s="4"/>
      <c r="M235" s="4"/>
      <c r="R235" s="4"/>
      <c r="W235" s="4"/>
      <c r="AB235" s="4"/>
      <c r="AG235" s="4"/>
      <c r="AL235" s="4"/>
      <c r="AQ235" s="4"/>
      <c r="AV235" s="4"/>
      <c r="BA235" s="4"/>
    </row>
    <row r="236" spans="8:53" s="1" customFormat="1" ht="53.45" customHeight="1">
      <c r="H236" s="4"/>
      <c r="M236" s="4"/>
      <c r="R236" s="4"/>
      <c r="W236" s="4"/>
      <c r="AB236" s="4"/>
      <c r="AG236" s="4"/>
      <c r="AL236" s="4"/>
      <c r="AQ236" s="4"/>
      <c r="AV236" s="4"/>
      <c r="BA236" s="4"/>
    </row>
    <row r="237" spans="8:53" s="1" customFormat="1" ht="53.45" customHeight="1">
      <c r="H237" s="4"/>
      <c r="M237" s="4"/>
      <c r="R237" s="4"/>
      <c r="W237" s="4"/>
      <c r="AB237" s="4"/>
      <c r="AG237" s="4"/>
      <c r="AL237" s="4"/>
      <c r="AQ237" s="4"/>
      <c r="AV237" s="4"/>
      <c r="BA237" s="4"/>
    </row>
    <row r="238" spans="8:53" s="1" customFormat="1" ht="53.45" customHeight="1">
      <c r="H238" s="4"/>
      <c r="M238" s="4"/>
      <c r="R238" s="4"/>
      <c r="W238" s="4"/>
      <c r="AB238" s="4"/>
      <c r="AG238" s="4"/>
      <c r="AL238" s="4"/>
      <c r="AQ238" s="4"/>
      <c r="AV238" s="4"/>
      <c r="BA238" s="4"/>
    </row>
    <row r="239" spans="8:53" s="1" customFormat="1" ht="53.45" customHeight="1">
      <c r="H239" s="4"/>
      <c r="M239" s="4"/>
      <c r="R239" s="4"/>
      <c r="W239" s="4"/>
      <c r="AB239" s="4"/>
      <c r="AG239" s="4"/>
      <c r="AL239" s="4"/>
      <c r="AQ239" s="4"/>
      <c r="AV239" s="4"/>
      <c r="BA239" s="4"/>
    </row>
    <row r="240" spans="8:53" s="1" customFormat="1" ht="53.45" customHeight="1">
      <c r="H240" s="4"/>
      <c r="M240" s="4"/>
      <c r="R240" s="4"/>
      <c r="W240" s="4"/>
      <c r="AB240" s="4"/>
      <c r="AG240" s="4"/>
      <c r="AL240" s="4"/>
      <c r="AQ240" s="4"/>
      <c r="AV240" s="4"/>
      <c r="BA240" s="4"/>
    </row>
    <row r="241" spans="8:53" s="1" customFormat="1" ht="53.45" customHeight="1">
      <c r="H241" s="4"/>
      <c r="M241" s="4"/>
      <c r="R241" s="4"/>
      <c r="W241" s="4"/>
      <c r="AB241" s="4"/>
      <c r="AG241" s="4"/>
      <c r="AL241" s="4"/>
      <c r="AQ241" s="4"/>
      <c r="AV241" s="4"/>
      <c r="BA241" s="4"/>
    </row>
    <row r="242" spans="8:53" s="1" customFormat="1" ht="53.45" customHeight="1">
      <c r="H242" s="4"/>
      <c r="M242" s="4"/>
      <c r="R242" s="4"/>
      <c r="W242" s="4"/>
      <c r="AB242" s="4"/>
      <c r="AG242" s="4"/>
      <c r="AL242" s="4"/>
      <c r="AQ242" s="4"/>
      <c r="AV242" s="4"/>
      <c r="BA242" s="4"/>
    </row>
    <row r="243" spans="8:53" s="1" customFormat="1" ht="53.45" customHeight="1">
      <c r="H243" s="4"/>
      <c r="M243" s="4"/>
      <c r="R243" s="4"/>
      <c r="W243" s="4"/>
      <c r="AB243" s="4"/>
      <c r="AG243" s="4"/>
      <c r="AL243" s="4"/>
      <c r="AQ243" s="4"/>
      <c r="AV243" s="4"/>
      <c r="BA243" s="4"/>
    </row>
    <row r="244" spans="8:53" s="1" customFormat="1" ht="53.45" customHeight="1">
      <c r="H244" s="4"/>
      <c r="M244" s="4"/>
      <c r="R244" s="4"/>
      <c r="W244" s="4"/>
      <c r="AB244" s="4"/>
      <c r="AG244" s="4"/>
      <c r="AL244" s="4"/>
      <c r="AQ244" s="4"/>
      <c r="AV244" s="4"/>
      <c r="BA244" s="4"/>
    </row>
    <row r="245" spans="8:53" s="1" customFormat="1" ht="53.45" customHeight="1">
      <c r="H245" s="4"/>
      <c r="M245" s="4"/>
      <c r="R245" s="4"/>
      <c r="W245" s="4"/>
      <c r="AB245" s="4"/>
      <c r="AG245" s="4"/>
      <c r="AL245" s="4"/>
      <c r="AQ245" s="4"/>
      <c r="AV245" s="4"/>
      <c r="BA245" s="4"/>
    </row>
    <row r="246" spans="8:53" s="1" customFormat="1" ht="53.45" customHeight="1">
      <c r="H246" s="4"/>
      <c r="M246" s="4"/>
      <c r="R246" s="4"/>
      <c r="W246" s="4"/>
      <c r="AB246" s="4"/>
      <c r="AG246" s="4"/>
      <c r="AL246" s="4"/>
      <c r="AQ246" s="4"/>
      <c r="AV246" s="4"/>
      <c r="BA246" s="4"/>
    </row>
    <row r="247" spans="8:53" s="1" customFormat="1" ht="53.45" customHeight="1">
      <c r="H247" s="4"/>
      <c r="M247" s="4"/>
      <c r="R247" s="4"/>
      <c r="W247" s="4"/>
      <c r="AB247" s="4"/>
      <c r="AG247" s="4"/>
      <c r="AL247" s="4"/>
      <c r="AQ247" s="4"/>
      <c r="AV247" s="4"/>
      <c r="BA247" s="4"/>
    </row>
    <row r="248" spans="8:53" s="1" customFormat="1" ht="53.45" customHeight="1">
      <c r="H248" s="4"/>
      <c r="M248" s="4"/>
      <c r="R248" s="4"/>
      <c r="W248" s="4"/>
      <c r="AB248" s="4"/>
      <c r="AG248" s="4"/>
      <c r="AL248" s="4"/>
      <c r="AQ248" s="4"/>
      <c r="AV248" s="4"/>
      <c r="BA248" s="4"/>
    </row>
    <row r="249" spans="8:53" s="1" customFormat="1" ht="53.45" customHeight="1">
      <c r="H249" s="4"/>
      <c r="M249" s="4"/>
      <c r="R249" s="4"/>
      <c r="W249" s="4"/>
      <c r="AB249" s="4"/>
      <c r="AG249" s="4"/>
      <c r="AL249" s="4"/>
      <c r="AQ249" s="4"/>
      <c r="AV249" s="4"/>
      <c r="BA249" s="4"/>
    </row>
    <row r="250" spans="8:53" s="1" customFormat="1" ht="53.45" customHeight="1">
      <c r="H250" s="4"/>
      <c r="M250" s="4"/>
      <c r="R250" s="4"/>
      <c r="W250" s="4"/>
      <c r="AB250" s="4"/>
      <c r="AG250" s="4"/>
      <c r="AL250" s="4"/>
      <c r="AQ250" s="4"/>
      <c r="AV250" s="4"/>
      <c r="BA250" s="4"/>
    </row>
    <row r="251" spans="8:53" s="1" customFormat="1" ht="53.45" customHeight="1">
      <c r="H251" s="4"/>
      <c r="M251" s="4"/>
      <c r="R251" s="4"/>
      <c r="W251" s="4"/>
      <c r="AB251" s="4"/>
      <c r="AG251" s="4"/>
      <c r="AL251" s="4"/>
      <c r="AQ251" s="4"/>
      <c r="AV251" s="4"/>
      <c r="BA251" s="4"/>
    </row>
    <row r="252" spans="8:53" s="1" customFormat="1" ht="53.45" customHeight="1">
      <c r="H252" s="4"/>
      <c r="M252" s="4"/>
      <c r="R252" s="4"/>
      <c r="W252" s="4"/>
      <c r="AB252" s="4"/>
      <c r="AG252" s="4"/>
      <c r="AL252" s="4"/>
      <c r="AQ252" s="4"/>
      <c r="AV252" s="4"/>
      <c r="BA252" s="4"/>
    </row>
    <row r="253" spans="8:53" s="1" customFormat="1" ht="53.45" customHeight="1">
      <c r="H253" s="4"/>
      <c r="M253" s="4"/>
      <c r="R253" s="4"/>
      <c r="W253" s="4"/>
      <c r="AB253" s="4"/>
      <c r="AG253" s="4"/>
      <c r="AL253" s="4"/>
      <c r="AQ253" s="4"/>
      <c r="AV253" s="4"/>
      <c r="BA253" s="4"/>
    </row>
    <row r="254" spans="8:53" s="1" customFormat="1" ht="53.45" customHeight="1">
      <c r="H254" s="4"/>
      <c r="M254" s="4"/>
      <c r="R254" s="4"/>
      <c r="W254" s="4"/>
      <c r="AB254" s="4"/>
      <c r="AG254" s="4"/>
      <c r="AL254" s="4"/>
      <c r="AQ254" s="4"/>
      <c r="AV254" s="4"/>
      <c r="BA254" s="4"/>
    </row>
    <row r="255" spans="8:53" s="1" customFormat="1" ht="53.45" customHeight="1">
      <c r="H255" s="4"/>
      <c r="M255" s="4"/>
      <c r="R255" s="4"/>
      <c r="W255" s="4"/>
      <c r="AB255" s="4"/>
      <c r="AG255" s="4"/>
      <c r="AL255" s="4"/>
      <c r="AQ255" s="4"/>
      <c r="AV255" s="4"/>
      <c r="BA255" s="4"/>
    </row>
    <row r="256" spans="8:53" s="1" customFormat="1" ht="53.45" customHeight="1">
      <c r="H256" s="4"/>
      <c r="M256" s="4"/>
      <c r="R256" s="4"/>
      <c r="W256" s="4"/>
      <c r="AB256" s="4"/>
      <c r="AG256" s="4"/>
      <c r="AL256" s="4"/>
      <c r="AQ256" s="4"/>
      <c r="AV256" s="4"/>
      <c r="BA256" s="4"/>
    </row>
    <row r="257" spans="8:53" s="1" customFormat="1" ht="53.45" customHeight="1">
      <c r="H257" s="4"/>
      <c r="M257" s="4"/>
      <c r="R257" s="4"/>
      <c r="W257" s="4"/>
      <c r="AB257" s="4"/>
      <c r="AG257" s="4"/>
      <c r="AL257" s="4"/>
      <c r="AQ257" s="4"/>
      <c r="AV257" s="4"/>
      <c r="BA257" s="4"/>
    </row>
    <row r="258" spans="8:53" s="1" customFormat="1" ht="53.45" customHeight="1">
      <c r="H258" s="4"/>
      <c r="M258" s="4"/>
      <c r="R258" s="4"/>
      <c r="W258" s="4"/>
      <c r="AB258" s="4"/>
      <c r="AG258" s="4"/>
      <c r="AL258" s="4"/>
      <c r="AQ258" s="4"/>
      <c r="AV258" s="4"/>
      <c r="BA258" s="4"/>
    </row>
    <row r="259" spans="8:53" s="1" customFormat="1" ht="53.45" customHeight="1">
      <c r="H259" s="4"/>
      <c r="M259" s="4"/>
      <c r="R259" s="4"/>
      <c r="W259" s="4"/>
      <c r="AB259" s="4"/>
      <c r="AG259" s="4"/>
      <c r="AL259" s="4"/>
      <c r="AQ259" s="4"/>
      <c r="AV259" s="4"/>
      <c r="BA259" s="4"/>
    </row>
    <row r="260" spans="8:53" s="1" customFormat="1" ht="53.45" customHeight="1">
      <c r="H260" s="4"/>
      <c r="M260" s="4"/>
      <c r="R260" s="4"/>
      <c r="W260" s="4"/>
      <c r="AB260" s="4"/>
      <c r="AG260" s="4"/>
      <c r="AL260" s="4"/>
      <c r="AQ260" s="4"/>
      <c r="AV260" s="4"/>
      <c r="BA260" s="4"/>
    </row>
    <row r="261" spans="8:53" s="1" customFormat="1" ht="53.45" customHeight="1">
      <c r="H261" s="4"/>
      <c r="M261" s="4"/>
      <c r="R261" s="4"/>
      <c r="W261" s="4"/>
      <c r="AB261" s="4"/>
      <c r="AG261" s="4"/>
      <c r="AL261" s="4"/>
      <c r="AQ261" s="4"/>
      <c r="AV261" s="4"/>
      <c r="BA261" s="4"/>
    </row>
    <row r="262" spans="8:53" s="1" customFormat="1" ht="53.45" customHeight="1">
      <c r="H262" s="4"/>
      <c r="M262" s="4"/>
      <c r="R262" s="4"/>
      <c r="W262" s="4"/>
      <c r="AB262" s="4"/>
      <c r="AG262" s="4"/>
      <c r="AL262" s="4"/>
      <c r="AQ262" s="4"/>
      <c r="AV262" s="4"/>
      <c r="BA262" s="4"/>
    </row>
    <row r="263" spans="8:53" s="1" customFormat="1" ht="53.45" customHeight="1">
      <c r="H263" s="4"/>
      <c r="M263" s="4"/>
      <c r="R263" s="4"/>
      <c r="W263" s="4"/>
      <c r="AB263" s="4"/>
      <c r="AG263" s="4"/>
      <c r="AL263" s="4"/>
      <c r="AQ263" s="4"/>
      <c r="AV263" s="4"/>
      <c r="BA263" s="4"/>
    </row>
    <row r="264" spans="8:53" s="1" customFormat="1" ht="53.45" customHeight="1">
      <c r="H264" s="4"/>
      <c r="M264" s="4"/>
      <c r="R264" s="4"/>
      <c r="W264" s="4"/>
      <c r="AB264" s="4"/>
      <c r="AG264" s="4"/>
      <c r="AL264" s="4"/>
      <c r="AQ264" s="4"/>
      <c r="AV264" s="4"/>
      <c r="BA264" s="4"/>
    </row>
    <row r="265" spans="8:53" s="1" customFormat="1" ht="53.45" customHeight="1">
      <c r="H265" s="4"/>
      <c r="M265" s="4"/>
      <c r="R265" s="4"/>
      <c r="W265" s="4"/>
      <c r="AB265" s="4"/>
      <c r="AG265" s="4"/>
      <c r="AL265" s="4"/>
      <c r="AQ265" s="4"/>
      <c r="AV265" s="4"/>
      <c r="BA265" s="4"/>
    </row>
    <row r="266" spans="8:53" s="1" customFormat="1" ht="53.45" customHeight="1">
      <c r="H266" s="4"/>
      <c r="M266" s="4"/>
      <c r="R266" s="4"/>
      <c r="W266" s="4"/>
      <c r="AB266" s="4"/>
      <c r="AG266" s="4"/>
      <c r="AL266" s="4"/>
      <c r="AQ266" s="4"/>
      <c r="AV266" s="4"/>
      <c r="BA266" s="4"/>
    </row>
    <row r="267" spans="8:53" s="1" customFormat="1" ht="53.45" customHeight="1">
      <c r="H267" s="4"/>
      <c r="M267" s="4"/>
      <c r="R267" s="4"/>
      <c r="W267" s="4"/>
      <c r="AB267" s="4"/>
      <c r="AG267" s="4"/>
      <c r="AL267" s="4"/>
      <c r="AQ267" s="4"/>
      <c r="AV267" s="4"/>
      <c r="BA267" s="4"/>
    </row>
    <row r="268" spans="8:53" s="1" customFormat="1" ht="53.45" customHeight="1">
      <c r="H268" s="4"/>
      <c r="M268" s="4"/>
      <c r="R268" s="4"/>
      <c r="W268" s="4"/>
      <c r="AB268" s="4"/>
      <c r="AG268" s="4"/>
      <c r="AL268" s="4"/>
      <c r="AQ268" s="4"/>
      <c r="AV268" s="4"/>
      <c r="BA268" s="4"/>
    </row>
    <row r="269" spans="8:53" s="1" customFormat="1" ht="53.45" customHeight="1">
      <c r="H269" s="4"/>
      <c r="M269" s="4"/>
      <c r="R269" s="4"/>
      <c r="W269" s="4"/>
      <c r="AB269" s="4"/>
      <c r="AG269" s="4"/>
      <c r="AL269" s="4"/>
      <c r="AQ269" s="4"/>
      <c r="AV269" s="4"/>
      <c r="BA269" s="4"/>
    </row>
    <row r="270" spans="8:53" s="1" customFormat="1" ht="53.45" customHeight="1">
      <c r="H270" s="4"/>
      <c r="M270" s="4"/>
      <c r="R270" s="4"/>
      <c r="W270" s="4"/>
      <c r="AB270" s="4"/>
      <c r="AG270" s="4"/>
      <c r="AL270" s="4"/>
      <c r="AQ270" s="4"/>
      <c r="AV270" s="4"/>
      <c r="BA270" s="4"/>
    </row>
    <row r="271" spans="8:53" s="1" customFormat="1" ht="53.45" customHeight="1">
      <c r="H271" s="4"/>
      <c r="M271" s="4"/>
      <c r="R271" s="4"/>
      <c r="W271" s="4"/>
      <c r="AB271" s="4"/>
      <c r="AG271" s="4"/>
      <c r="AL271" s="4"/>
      <c r="AQ271" s="4"/>
      <c r="AV271" s="4"/>
      <c r="BA271" s="4"/>
    </row>
    <row r="272" spans="8:53" s="1" customFormat="1" ht="53.45" customHeight="1">
      <c r="H272" s="4"/>
      <c r="M272" s="4"/>
      <c r="R272" s="4"/>
      <c r="W272" s="4"/>
      <c r="AB272" s="4"/>
      <c r="AG272" s="4"/>
      <c r="AL272" s="4"/>
      <c r="AQ272" s="4"/>
      <c r="AV272" s="4"/>
      <c r="BA272" s="4"/>
    </row>
    <row r="273" spans="8:53" s="1" customFormat="1" ht="53.45" customHeight="1">
      <c r="H273" s="4"/>
      <c r="M273" s="4"/>
      <c r="R273" s="4"/>
      <c r="W273" s="4"/>
      <c r="AB273" s="4"/>
      <c r="AG273" s="4"/>
      <c r="AL273" s="4"/>
      <c r="AQ273" s="4"/>
      <c r="AV273" s="4"/>
      <c r="BA273" s="4"/>
    </row>
    <row r="274" spans="8:53" s="1" customFormat="1" ht="53.45" customHeight="1">
      <c r="H274" s="4"/>
      <c r="M274" s="4"/>
      <c r="R274" s="4"/>
      <c r="W274" s="4"/>
      <c r="AB274" s="4"/>
      <c r="AG274" s="4"/>
      <c r="AL274" s="4"/>
      <c r="AQ274" s="4"/>
      <c r="AV274" s="4"/>
      <c r="BA274" s="4"/>
    </row>
    <row r="275" spans="8:53" s="1" customFormat="1" ht="53.45" customHeight="1">
      <c r="H275" s="4"/>
      <c r="M275" s="4"/>
      <c r="R275" s="4"/>
      <c r="W275" s="4"/>
      <c r="AB275" s="4"/>
      <c r="AG275" s="4"/>
      <c r="AL275" s="4"/>
      <c r="AQ275" s="4"/>
      <c r="AV275" s="4"/>
      <c r="BA275" s="4"/>
    </row>
    <row r="276" spans="8:53" s="1" customFormat="1" ht="53.45" customHeight="1">
      <c r="H276" s="4"/>
      <c r="M276" s="4"/>
      <c r="R276" s="4"/>
      <c r="W276" s="4"/>
      <c r="AB276" s="4"/>
      <c r="AG276" s="4"/>
      <c r="AL276" s="4"/>
      <c r="AQ276" s="4"/>
      <c r="AV276" s="4"/>
      <c r="BA276" s="4"/>
    </row>
    <row r="277" spans="8:53" s="1" customFormat="1" ht="53.45" customHeight="1">
      <c r="H277" s="4"/>
      <c r="M277" s="4"/>
      <c r="R277" s="4"/>
      <c r="W277" s="4"/>
      <c r="AB277" s="4"/>
      <c r="AG277" s="4"/>
      <c r="AL277" s="4"/>
      <c r="AQ277" s="4"/>
      <c r="AV277" s="4"/>
      <c r="BA277" s="4"/>
    </row>
    <row r="278" spans="8:53" s="1" customFormat="1" ht="53.45" customHeight="1">
      <c r="H278" s="4"/>
      <c r="M278" s="4"/>
      <c r="R278" s="4"/>
      <c r="W278" s="4"/>
      <c r="AB278" s="4"/>
      <c r="AG278" s="4"/>
      <c r="AL278" s="4"/>
      <c r="AQ278" s="4"/>
      <c r="AV278" s="4"/>
      <c r="BA278" s="4"/>
    </row>
    <row r="279" spans="8:53" s="1" customFormat="1" ht="53.45" customHeight="1">
      <c r="H279" s="4"/>
      <c r="M279" s="4"/>
      <c r="R279" s="4"/>
      <c r="W279" s="4"/>
      <c r="AB279" s="4"/>
      <c r="AG279" s="4"/>
      <c r="AL279" s="4"/>
      <c r="AQ279" s="4"/>
      <c r="AV279" s="4"/>
      <c r="BA279" s="4"/>
    </row>
    <row r="280" spans="8:53" s="1" customFormat="1" ht="53.45" customHeight="1">
      <c r="H280" s="4"/>
      <c r="M280" s="4"/>
      <c r="R280" s="4"/>
      <c r="W280" s="4"/>
      <c r="AB280" s="4"/>
      <c r="AG280" s="4"/>
      <c r="AL280" s="4"/>
      <c r="AQ280" s="4"/>
      <c r="AV280" s="4"/>
      <c r="BA280" s="4"/>
    </row>
    <row r="281" spans="8:53" s="1" customFormat="1" ht="53.45" customHeight="1">
      <c r="H281" s="4"/>
      <c r="M281" s="4"/>
      <c r="R281" s="4"/>
      <c r="W281" s="4"/>
      <c r="AB281" s="4"/>
      <c r="AG281" s="4"/>
      <c r="AL281" s="4"/>
      <c r="AQ281" s="4"/>
      <c r="AV281" s="4"/>
      <c r="BA281" s="4"/>
    </row>
    <row r="282" spans="8:53" s="1" customFormat="1" ht="53.45" customHeight="1">
      <c r="H282" s="4"/>
      <c r="M282" s="4"/>
      <c r="R282" s="4"/>
      <c r="W282" s="4"/>
      <c r="AB282" s="4"/>
      <c r="AG282" s="4"/>
      <c r="AL282" s="4"/>
      <c r="AQ282" s="4"/>
      <c r="AV282" s="4"/>
      <c r="BA282" s="4"/>
    </row>
    <row r="283" spans="8:53" s="1" customFormat="1" ht="53.45" customHeight="1">
      <c r="H283" s="4"/>
      <c r="M283" s="4"/>
      <c r="R283" s="4"/>
      <c r="W283" s="4"/>
      <c r="AB283" s="4"/>
      <c r="AG283" s="4"/>
      <c r="AL283" s="4"/>
      <c r="AQ283" s="4"/>
      <c r="AV283" s="4"/>
      <c r="BA283" s="4"/>
    </row>
    <row r="284" spans="8:53" s="1" customFormat="1" ht="53.45" customHeight="1">
      <c r="H284" s="4"/>
      <c r="M284" s="4"/>
      <c r="R284" s="4"/>
      <c r="W284" s="4"/>
      <c r="AB284" s="4"/>
      <c r="AG284" s="4"/>
      <c r="AL284" s="4"/>
      <c r="AQ284" s="4"/>
      <c r="AV284" s="4"/>
      <c r="BA284" s="4"/>
    </row>
    <row r="285" spans="8:53" s="1" customFormat="1" ht="53.45" customHeight="1">
      <c r="H285" s="4"/>
      <c r="M285" s="4"/>
      <c r="R285" s="4"/>
      <c r="W285" s="4"/>
      <c r="AB285" s="4"/>
      <c r="AG285" s="4"/>
      <c r="AL285" s="4"/>
      <c r="AQ285" s="4"/>
      <c r="AV285" s="4"/>
      <c r="BA285" s="4"/>
    </row>
    <row r="286" spans="8:53" s="1" customFormat="1" ht="53.45" customHeight="1">
      <c r="H286" s="4"/>
      <c r="M286" s="4"/>
      <c r="R286" s="4"/>
      <c r="W286" s="4"/>
      <c r="AB286" s="4"/>
      <c r="AG286" s="4"/>
      <c r="AL286" s="4"/>
      <c r="AQ286" s="4"/>
      <c r="AV286" s="4"/>
      <c r="BA286" s="4"/>
    </row>
    <row r="287" spans="8:53" s="1" customFormat="1" ht="53.45" customHeight="1">
      <c r="H287" s="4"/>
      <c r="M287" s="4"/>
      <c r="R287" s="4"/>
      <c r="W287" s="4"/>
      <c r="AB287" s="4"/>
      <c r="AG287" s="4"/>
      <c r="AL287" s="4"/>
      <c r="AQ287" s="4"/>
      <c r="AV287" s="4"/>
      <c r="BA287" s="4"/>
    </row>
    <row r="288" spans="8:53" s="1" customFormat="1" ht="53.45" customHeight="1">
      <c r="H288" s="4"/>
      <c r="M288" s="4"/>
      <c r="R288" s="4"/>
      <c r="W288" s="4"/>
      <c r="AB288" s="4"/>
      <c r="AG288" s="4"/>
      <c r="AL288" s="4"/>
      <c r="AQ288" s="4"/>
      <c r="AV288" s="4"/>
      <c r="BA288" s="4"/>
    </row>
    <row r="289" spans="8:53" s="1" customFormat="1" ht="53.45" customHeight="1">
      <c r="H289" s="4"/>
      <c r="M289" s="4"/>
      <c r="R289" s="4"/>
      <c r="W289" s="4"/>
      <c r="AB289" s="4"/>
      <c r="AG289" s="4"/>
      <c r="AL289" s="4"/>
      <c r="AQ289" s="4"/>
      <c r="AV289" s="4"/>
      <c r="BA289" s="4"/>
    </row>
    <row r="290" spans="8:53" s="1" customFormat="1" ht="53.45" customHeight="1">
      <c r="H290" s="4"/>
      <c r="M290" s="4"/>
      <c r="R290" s="4"/>
      <c r="W290" s="4"/>
      <c r="AB290" s="4"/>
      <c r="AG290" s="4"/>
      <c r="AL290" s="4"/>
      <c r="AQ290" s="4"/>
      <c r="AV290" s="4"/>
      <c r="BA290" s="4"/>
    </row>
    <row r="291" spans="8:53" s="1" customFormat="1" ht="53.45" customHeight="1">
      <c r="H291" s="4"/>
      <c r="M291" s="4"/>
      <c r="R291" s="4"/>
      <c r="W291" s="4"/>
      <c r="AB291" s="4"/>
      <c r="AG291" s="4"/>
      <c r="AL291" s="4"/>
      <c r="AQ291" s="4"/>
      <c r="AV291" s="4"/>
      <c r="BA291" s="4"/>
    </row>
    <row r="292" spans="8:53" s="1" customFormat="1" ht="53.45" customHeight="1">
      <c r="H292" s="4"/>
      <c r="M292" s="4"/>
      <c r="R292" s="4"/>
      <c r="W292" s="4"/>
      <c r="AB292" s="4"/>
      <c r="AG292" s="4"/>
      <c r="AL292" s="4"/>
      <c r="AQ292" s="4"/>
      <c r="AV292" s="4"/>
      <c r="BA292" s="4"/>
    </row>
    <row r="293" spans="8:53" s="1" customFormat="1" ht="53.45" customHeight="1">
      <c r="H293" s="4"/>
      <c r="M293" s="4"/>
      <c r="R293" s="4"/>
      <c r="W293" s="4"/>
      <c r="AB293" s="4"/>
      <c r="AG293" s="4"/>
      <c r="AL293" s="4"/>
      <c r="AQ293" s="4"/>
      <c r="AV293" s="4"/>
      <c r="BA293" s="4"/>
    </row>
    <row r="294" spans="8:53" s="1" customFormat="1" ht="53.45" customHeight="1">
      <c r="H294" s="4"/>
      <c r="M294" s="4"/>
      <c r="R294" s="4"/>
      <c r="W294" s="4"/>
      <c r="AB294" s="4"/>
      <c r="AG294" s="4"/>
      <c r="AL294" s="4"/>
      <c r="AQ294" s="4"/>
      <c r="AV294" s="4"/>
      <c r="BA294" s="4"/>
    </row>
    <row r="295" spans="8:53" s="1" customFormat="1" ht="53.45" customHeight="1">
      <c r="H295" s="4"/>
      <c r="M295" s="4"/>
      <c r="R295" s="4"/>
      <c r="W295" s="4"/>
      <c r="AB295" s="4"/>
      <c r="AG295" s="4"/>
      <c r="AL295" s="4"/>
      <c r="AQ295" s="4"/>
      <c r="AV295" s="4"/>
      <c r="BA295" s="4"/>
    </row>
    <row r="296" spans="8:53" s="1" customFormat="1" ht="53.45" customHeight="1">
      <c r="H296" s="4"/>
      <c r="M296" s="4"/>
      <c r="R296" s="4"/>
      <c r="W296" s="4"/>
      <c r="AB296" s="4"/>
      <c r="AG296" s="4"/>
      <c r="AL296" s="4"/>
      <c r="AQ296" s="4"/>
      <c r="AV296" s="4"/>
      <c r="BA296" s="4"/>
    </row>
    <row r="297" spans="8:53" s="1" customFormat="1" ht="53.45" customHeight="1">
      <c r="H297" s="4"/>
      <c r="M297" s="4"/>
      <c r="R297" s="4"/>
      <c r="W297" s="4"/>
      <c r="AB297" s="4"/>
      <c r="AG297" s="4"/>
      <c r="AL297" s="4"/>
      <c r="AQ297" s="4"/>
      <c r="AV297" s="4"/>
      <c r="BA297" s="4"/>
    </row>
    <row r="298" spans="8:53" s="1" customFormat="1" ht="53.45" customHeight="1">
      <c r="H298" s="4"/>
      <c r="M298" s="4"/>
      <c r="R298" s="4"/>
      <c r="W298" s="4"/>
      <c r="AB298" s="4"/>
      <c r="AG298" s="4"/>
      <c r="AL298" s="4"/>
      <c r="AQ298" s="4"/>
      <c r="AV298" s="4"/>
      <c r="BA298" s="4"/>
    </row>
    <row r="299" spans="8:53" s="1" customFormat="1" ht="53.45" customHeight="1">
      <c r="H299" s="4"/>
      <c r="M299" s="4"/>
      <c r="R299" s="4"/>
      <c r="W299" s="4"/>
      <c r="AB299" s="4"/>
      <c r="AG299" s="4"/>
      <c r="AL299" s="4"/>
      <c r="AQ299" s="4"/>
      <c r="AV299" s="4"/>
      <c r="BA299" s="4"/>
    </row>
    <row r="300" spans="8:53" s="1" customFormat="1" ht="53.45" customHeight="1">
      <c r="H300" s="4"/>
      <c r="M300" s="4"/>
      <c r="R300" s="4"/>
      <c r="W300" s="4"/>
      <c r="AB300" s="4"/>
      <c r="AG300" s="4"/>
      <c r="AL300" s="4"/>
      <c r="AQ300" s="4"/>
      <c r="AV300" s="4"/>
      <c r="BA300" s="4"/>
    </row>
    <row r="301" spans="8:53" s="1" customFormat="1" ht="53.45" customHeight="1">
      <c r="H301" s="4"/>
      <c r="M301" s="4"/>
      <c r="R301" s="4"/>
      <c r="W301" s="4"/>
      <c r="AB301" s="4"/>
      <c r="AG301" s="4"/>
      <c r="AL301" s="4"/>
      <c r="AQ301" s="4"/>
      <c r="AV301" s="4"/>
      <c r="BA301" s="4"/>
    </row>
    <row r="302" spans="8:53" s="1" customFormat="1" ht="53.45" customHeight="1">
      <c r="H302" s="4"/>
      <c r="M302" s="4"/>
      <c r="R302" s="4"/>
      <c r="W302" s="4"/>
      <c r="AB302" s="4"/>
      <c r="AG302" s="4"/>
      <c r="AL302" s="4"/>
      <c r="AQ302" s="4"/>
      <c r="AV302" s="4"/>
      <c r="BA302" s="4"/>
    </row>
    <row r="303" spans="8:53" s="1" customFormat="1" ht="53.45" customHeight="1">
      <c r="H303" s="4"/>
      <c r="M303" s="4"/>
      <c r="R303" s="4"/>
      <c r="W303" s="4"/>
      <c r="AB303" s="4"/>
      <c r="AG303" s="4"/>
      <c r="AL303" s="4"/>
      <c r="AQ303" s="4"/>
      <c r="AV303" s="4"/>
      <c r="BA303" s="4"/>
    </row>
    <row r="304" spans="8:53" s="1" customFormat="1" ht="53.45" customHeight="1">
      <c r="H304" s="4"/>
      <c r="M304" s="4"/>
      <c r="R304" s="4"/>
      <c r="W304" s="4"/>
      <c r="AB304" s="4"/>
      <c r="AG304" s="4"/>
      <c r="AL304" s="4"/>
      <c r="AQ304" s="4"/>
      <c r="AV304" s="4"/>
      <c r="BA304" s="4"/>
    </row>
    <row r="305" spans="8:53" s="1" customFormat="1" ht="53.45" customHeight="1">
      <c r="H305" s="4"/>
      <c r="M305" s="4"/>
      <c r="R305" s="4"/>
      <c r="W305" s="4"/>
      <c r="AB305" s="4"/>
      <c r="AG305" s="4"/>
      <c r="AL305" s="4"/>
      <c r="AQ305" s="4"/>
      <c r="AV305" s="4"/>
      <c r="BA305" s="4"/>
    </row>
    <row r="306" spans="8:53" s="1" customFormat="1" ht="53.45" customHeight="1">
      <c r="H306" s="4"/>
      <c r="M306" s="4"/>
      <c r="R306" s="4"/>
      <c r="W306" s="4"/>
      <c r="AB306" s="4"/>
      <c r="AG306" s="4"/>
      <c r="AL306" s="4"/>
      <c r="AQ306" s="4"/>
      <c r="AV306" s="4"/>
      <c r="BA306" s="4"/>
    </row>
    <row r="307" spans="8:53" s="1" customFormat="1" ht="53.45" customHeight="1">
      <c r="H307" s="4"/>
      <c r="M307" s="4"/>
      <c r="R307" s="4"/>
      <c r="W307" s="4"/>
      <c r="AB307" s="4"/>
      <c r="AG307" s="4"/>
      <c r="AL307" s="4"/>
      <c r="AQ307" s="4"/>
      <c r="AV307" s="4"/>
      <c r="BA307" s="4"/>
    </row>
    <row r="308" spans="8:53" s="1" customFormat="1" ht="53.45" customHeight="1">
      <c r="H308" s="4"/>
      <c r="M308" s="4"/>
      <c r="R308" s="4"/>
      <c r="W308" s="4"/>
      <c r="AB308" s="4"/>
      <c r="AG308" s="4"/>
      <c r="AL308" s="4"/>
      <c r="AQ308" s="4"/>
      <c r="AV308" s="4"/>
      <c r="BA308" s="4"/>
    </row>
    <row r="309" spans="8:53" s="1" customFormat="1" ht="53.45" customHeight="1">
      <c r="H309" s="4"/>
      <c r="M309" s="4"/>
      <c r="R309" s="4"/>
      <c r="W309" s="4"/>
      <c r="AB309" s="4"/>
      <c r="AG309" s="4"/>
      <c r="AL309" s="4"/>
      <c r="AQ309" s="4"/>
      <c r="AV309" s="4"/>
      <c r="BA309" s="4"/>
    </row>
    <row r="310" spans="8:53" s="1" customFormat="1" ht="53.45" customHeight="1">
      <c r="H310" s="4"/>
      <c r="M310" s="4"/>
      <c r="R310" s="4"/>
      <c r="W310" s="4"/>
      <c r="AB310" s="4"/>
      <c r="AG310" s="4"/>
      <c r="AL310" s="4"/>
      <c r="AQ310" s="4"/>
      <c r="AV310" s="4"/>
      <c r="BA310" s="4"/>
    </row>
    <row r="311" spans="8:53" s="1" customFormat="1" ht="53.45" customHeight="1">
      <c r="H311" s="4"/>
      <c r="M311" s="4"/>
      <c r="R311" s="4"/>
      <c r="W311" s="4"/>
      <c r="AB311" s="4"/>
      <c r="AG311" s="4"/>
      <c r="AL311" s="4"/>
      <c r="AQ311" s="4"/>
      <c r="AV311" s="4"/>
      <c r="BA311" s="4"/>
    </row>
    <row r="312" spans="8:53" s="1" customFormat="1" ht="53.45" customHeight="1">
      <c r="H312" s="4"/>
      <c r="M312" s="4"/>
      <c r="R312" s="4"/>
      <c r="W312" s="4"/>
      <c r="AB312" s="4"/>
      <c r="AG312" s="4"/>
      <c r="AL312" s="4"/>
      <c r="AQ312" s="4"/>
      <c r="AV312" s="4"/>
      <c r="BA312" s="4"/>
    </row>
    <row r="313" spans="8:53" s="1" customFormat="1" ht="53.45" customHeight="1">
      <c r="H313" s="4"/>
      <c r="M313" s="4"/>
      <c r="R313" s="4"/>
      <c r="W313" s="4"/>
      <c r="AB313" s="4"/>
      <c r="AG313" s="4"/>
      <c r="AL313" s="4"/>
      <c r="AQ313" s="4"/>
      <c r="AV313" s="4"/>
      <c r="BA313" s="4"/>
    </row>
    <row r="314" spans="8:53" s="1" customFormat="1" ht="53.45" customHeight="1">
      <c r="H314" s="4"/>
      <c r="M314" s="4"/>
      <c r="R314" s="4"/>
      <c r="W314" s="4"/>
      <c r="AB314" s="4"/>
      <c r="AG314" s="4"/>
      <c r="AL314" s="4"/>
      <c r="AQ314" s="4"/>
      <c r="AV314" s="4"/>
      <c r="BA314" s="4"/>
    </row>
    <row r="315" spans="8:53" s="1" customFormat="1" ht="53.45" customHeight="1">
      <c r="H315" s="4"/>
      <c r="M315" s="4"/>
      <c r="R315" s="4"/>
      <c r="W315" s="4"/>
      <c r="AB315" s="4"/>
      <c r="AG315" s="4"/>
      <c r="AL315" s="4"/>
      <c r="AQ315" s="4"/>
      <c r="AV315" s="4"/>
      <c r="BA315" s="4"/>
    </row>
    <row r="316" spans="8:53" s="1" customFormat="1" ht="53.45" customHeight="1">
      <c r="H316" s="4"/>
      <c r="M316" s="4"/>
      <c r="R316" s="4"/>
      <c r="W316" s="4"/>
      <c r="AB316" s="4"/>
      <c r="AG316" s="4"/>
      <c r="AL316" s="4"/>
      <c r="AQ316" s="4"/>
      <c r="AV316" s="4"/>
      <c r="BA316" s="4"/>
    </row>
    <row r="317" spans="8:53" s="1" customFormat="1" ht="53.45" customHeight="1">
      <c r="H317" s="4"/>
      <c r="M317" s="4"/>
      <c r="R317" s="4"/>
      <c r="W317" s="4"/>
      <c r="AB317" s="4"/>
      <c r="AG317" s="4"/>
      <c r="AL317" s="4"/>
      <c r="AQ317" s="4"/>
      <c r="AV317" s="4"/>
      <c r="BA317" s="4"/>
    </row>
    <row r="318" spans="8:53" s="1" customFormat="1" ht="53.45" customHeight="1">
      <c r="H318" s="4"/>
      <c r="M318" s="4"/>
      <c r="R318" s="4"/>
      <c r="W318" s="4"/>
      <c r="AB318" s="4"/>
      <c r="AG318" s="4"/>
      <c r="AL318" s="4"/>
      <c r="AQ318" s="4"/>
      <c r="AV318" s="4"/>
      <c r="BA318" s="4"/>
    </row>
    <row r="319" spans="8:53" s="1" customFormat="1" ht="53.45" customHeight="1">
      <c r="H319" s="4"/>
      <c r="M319" s="4"/>
      <c r="R319" s="4"/>
      <c r="W319" s="4"/>
      <c r="AB319" s="4"/>
      <c r="AG319" s="4"/>
      <c r="AL319" s="4"/>
      <c r="AQ319" s="4"/>
      <c r="AV319" s="4"/>
      <c r="BA319" s="4"/>
    </row>
    <row r="320" spans="8:53" s="1" customFormat="1" ht="53.45" customHeight="1">
      <c r="H320" s="4"/>
      <c r="M320" s="4"/>
      <c r="R320" s="4"/>
      <c r="W320" s="4"/>
      <c r="AB320" s="4"/>
      <c r="AG320" s="4"/>
      <c r="AL320" s="4"/>
      <c r="AQ320" s="4"/>
      <c r="AV320" s="4"/>
      <c r="BA320" s="4"/>
    </row>
    <row r="321" spans="8:53" s="1" customFormat="1" ht="53.45" customHeight="1">
      <c r="H321" s="4"/>
      <c r="M321" s="4"/>
      <c r="R321" s="4"/>
      <c r="W321" s="4"/>
      <c r="AB321" s="4"/>
      <c r="AG321" s="4"/>
      <c r="AL321" s="4"/>
      <c r="AQ321" s="4"/>
      <c r="AV321" s="4"/>
      <c r="BA321" s="4"/>
    </row>
    <row r="322" spans="8:53" s="1" customFormat="1" ht="53.45" customHeight="1">
      <c r="H322" s="4"/>
      <c r="M322" s="4"/>
      <c r="R322" s="4"/>
      <c r="W322" s="4"/>
      <c r="AB322" s="4"/>
      <c r="AG322" s="4"/>
      <c r="AL322" s="4"/>
      <c r="AQ322" s="4"/>
      <c r="AV322" s="4"/>
      <c r="BA322" s="4"/>
    </row>
    <row r="323" spans="8:53" s="1" customFormat="1" ht="53.45" customHeight="1">
      <c r="H323" s="4"/>
      <c r="M323" s="4"/>
      <c r="R323" s="4"/>
      <c r="W323" s="4"/>
      <c r="AB323" s="4"/>
      <c r="AG323" s="4"/>
      <c r="AL323" s="4"/>
      <c r="AQ323" s="4"/>
      <c r="AV323" s="4"/>
      <c r="BA323" s="4"/>
    </row>
    <row r="324" spans="8:53" s="1" customFormat="1" ht="53.45" customHeight="1">
      <c r="H324" s="4"/>
      <c r="M324" s="4"/>
      <c r="R324" s="4"/>
      <c r="W324" s="4"/>
      <c r="AB324" s="4"/>
      <c r="AG324" s="4"/>
      <c r="AL324" s="4"/>
      <c r="AQ324" s="4"/>
      <c r="AV324" s="4"/>
      <c r="BA324" s="4"/>
    </row>
    <row r="325" spans="8:53" s="1" customFormat="1" ht="53.45" customHeight="1">
      <c r="H325" s="4"/>
      <c r="M325" s="4"/>
      <c r="R325" s="4"/>
      <c r="W325" s="4"/>
      <c r="AB325" s="4"/>
      <c r="AG325" s="4"/>
      <c r="AL325" s="4"/>
      <c r="AQ325" s="4"/>
      <c r="AV325" s="4"/>
      <c r="BA325" s="4"/>
    </row>
    <row r="326" spans="8:53" s="1" customFormat="1" ht="53.45" customHeight="1">
      <c r="H326" s="4"/>
      <c r="M326" s="4"/>
      <c r="R326" s="4"/>
      <c r="W326" s="4"/>
      <c r="AB326" s="4"/>
      <c r="AG326" s="4"/>
      <c r="AL326" s="4"/>
      <c r="AQ326" s="4"/>
      <c r="AV326" s="4"/>
      <c r="BA326" s="4"/>
    </row>
    <row r="327" spans="8:53" s="1" customFormat="1" ht="53.45" customHeight="1">
      <c r="H327" s="4"/>
      <c r="M327" s="4"/>
      <c r="R327" s="4"/>
      <c r="W327" s="4"/>
      <c r="AB327" s="4"/>
      <c r="AG327" s="4"/>
      <c r="AL327" s="4"/>
      <c r="AQ327" s="4"/>
      <c r="AV327" s="4"/>
      <c r="BA327" s="4"/>
    </row>
    <row r="328" spans="8:53" s="1" customFormat="1" ht="53.45" customHeight="1">
      <c r="H328" s="4"/>
      <c r="M328" s="4"/>
      <c r="R328" s="4"/>
      <c r="W328" s="4"/>
      <c r="AB328" s="4"/>
      <c r="AG328" s="4"/>
      <c r="AL328" s="4"/>
      <c r="AQ328" s="4"/>
      <c r="AV328" s="4"/>
      <c r="BA328" s="4"/>
    </row>
    <row r="329" spans="8:53" s="1" customFormat="1" ht="53.45" customHeight="1">
      <c r="H329" s="4"/>
      <c r="M329" s="4"/>
      <c r="R329" s="4"/>
      <c r="W329" s="4"/>
      <c r="AB329" s="4"/>
      <c r="AG329" s="4"/>
      <c r="AL329" s="4"/>
      <c r="AQ329" s="4"/>
      <c r="AV329" s="4"/>
      <c r="BA329" s="4"/>
    </row>
    <row r="330" spans="8:53" s="1" customFormat="1" ht="53.45" customHeight="1">
      <c r="H330" s="4"/>
      <c r="M330" s="4"/>
      <c r="R330" s="4"/>
      <c r="W330" s="4"/>
      <c r="AB330" s="4"/>
      <c r="AG330" s="4"/>
      <c r="AL330" s="4"/>
      <c r="AQ330" s="4"/>
      <c r="AV330" s="4"/>
      <c r="BA330" s="4"/>
    </row>
    <row r="331" spans="8:53" s="1" customFormat="1" ht="53.45" customHeight="1">
      <c r="H331" s="4"/>
      <c r="M331" s="4"/>
      <c r="R331" s="4"/>
      <c r="W331" s="4"/>
      <c r="AB331" s="4"/>
      <c r="AG331" s="4"/>
      <c r="AL331" s="4"/>
      <c r="AQ331" s="4"/>
      <c r="AV331" s="4"/>
      <c r="BA331" s="4"/>
    </row>
    <row r="332" spans="8:53" s="1" customFormat="1" ht="53.45" customHeight="1">
      <c r="H332" s="4"/>
      <c r="M332" s="4"/>
      <c r="R332" s="4"/>
      <c r="W332" s="4"/>
      <c r="AB332" s="4"/>
      <c r="AG332" s="4"/>
      <c r="AL332" s="4"/>
      <c r="AQ332" s="4"/>
      <c r="AV332" s="4"/>
      <c r="BA332" s="4"/>
    </row>
    <row r="333" spans="8:53" s="1" customFormat="1" ht="53.45" customHeight="1">
      <c r="H333" s="4"/>
      <c r="M333" s="4"/>
      <c r="R333" s="4"/>
      <c r="W333" s="4"/>
      <c r="AB333" s="4"/>
      <c r="AG333" s="4"/>
      <c r="AL333" s="4"/>
      <c r="AQ333" s="4"/>
      <c r="AV333" s="4"/>
      <c r="BA333" s="4"/>
    </row>
    <row r="334" spans="8:53" s="1" customFormat="1" ht="53.45" customHeight="1">
      <c r="H334" s="4"/>
      <c r="M334" s="4"/>
      <c r="R334" s="4"/>
      <c r="W334" s="4"/>
      <c r="AB334" s="4"/>
      <c r="AG334" s="4"/>
      <c r="AL334" s="4"/>
      <c r="AQ334" s="4"/>
      <c r="AV334" s="4"/>
      <c r="BA334" s="4"/>
    </row>
    <row r="335" spans="8:53" s="1" customFormat="1" ht="53.45" customHeight="1">
      <c r="H335" s="4"/>
      <c r="M335" s="4"/>
      <c r="R335" s="4"/>
      <c r="W335" s="4"/>
      <c r="AB335" s="4"/>
      <c r="AG335" s="4"/>
      <c r="AL335" s="4"/>
      <c r="AQ335" s="4"/>
      <c r="AV335" s="4"/>
      <c r="BA335" s="4"/>
    </row>
    <row r="336" spans="8:53" s="1" customFormat="1" ht="53.45" customHeight="1">
      <c r="H336" s="4"/>
      <c r="M336" s="4"/>
      <c r="R336" s="4"/>
      <c r="W336" s="4"/>
      <c r="AB336" s="4"/>
      <c r="AG336" s="4"/>
      <c r="AL336" s="4"/>
      <c r="AQ336" s="4"/>
      <c r="AV336" s="4"/>
      <c r="BA336" s="4"/>
    </row>
    <row r="337" spans="8:53" s="1" customFormat="1" ht="53.45" customHeight="1">
      <c r="H337" s="4"/>
      <c r="M337" s="4"/>
      <c r="R337" s="4"/>
      <c r="W337" s="4"/>
      <c r="AB337" s="4"/>
      <c r="AG337" s="4"/>
      <c r="AL337" s="4"/>
      <c r="AQ337" s="4"/>
      <c r="AV337" s="4"/>
      <c r="BA337" s="4"/>
    </row>
    <row r="338" spans="8:53" s="1" customFormat="1" ht="53.45" customHeight="1">
      <c r="H338" s="4"/>
      <c r="M338" s="4"/>
      <c r="R338" s="4"/>
      <c r="W338" s="4"/>
      <c r="AB338" s="4"/>
      <c r="AG338" s="4"/>
      <c r="AL338" s="4"/>
      <c r="AQ338" s="4"/>
      <c r="AV338" s="4"/>
      <c r="BA338" s="4"/>
    </row>
    <row r="339" spans="8:53" s="1" customFormat="1" ht="53.45" customHeight="1">
      <c r="H339" s="4"/>
      <c r="M339" s="4"/>
      <c r="R339" s="4"/>
      <c r="W339" s="4"/>
      <c r="AB339" s="4"/>
      <c r="AG339" s="4"/>
      <c r="AL339" s="4"/>
      <c r="AQ339" s="4"/>
      <c r="AV339" s="4"/>
      <c r="BA339" s="4"/>
    </row>
    <row r="340" spans="8:53" s="1" customFormat="1" ht="53.45" customHeight="1">
      <c r="H340" s="4"/>
      <c r="M340" s="4"/>
      <c r="R340" s="4"/>
      <c r="W340" s="4"/>
      <c r="AB340" s="4"/>
      <c r="AG340" s="4"/>
      <c r="AL340" s="4"/>
      <c r="AQ340" s="4"/>
      <c r="AV340" s="4"/>
      <c r="BA340" s="4"/>
    </row>
    <row r="341" spans="8:53" s="1" customFormat="1" ht="53.45" customHeight="1">
      <c r="H341" s="4"/>
      <c r="M341" s="4"/>
      <c r="R341" s="4"/>
      <c r="W341" s="4"/>
      <c r="AB341" s="4"/>
      <c r="AG341" s="4"/>
      <c r="AL341" s="4"/>
      <c r="AQ341" s="4"/>
      <c r="AV341" s="4"/>
      <c r="BA341" s="4"/>
    </row>
    <row r="342" spans="8:53" s="1" customFormat="1" ht="53.45" customHeight="1">
      <c r="H342" s="4"/>
      <c r="M342" s="4"/>
      <c r="R342" s="4"/>
      <c r="W342" s="4"/>
      <c r="AB342" s="4"/>
      <c r="AG342" s="4"/>
      <c r="AL342" s="4"/>
      <c r="AQ342" s="4"/>
      <c r="AV342" s="4"/>
      <c r="BA342" s="4"/>
    </row>
    <row r="343" spans="8:53" s="1" customFormat="1" ht="53.45" customHeight="1">
      <c r="H343" s="4"/>
      <c r="M343" s="4"/>
      <c r="R343" s="4"/>
      <c r="W343" s="4"/>
      <c r="AB343" s="4"/>
      <c r="AG343" s="4"/>
      <c r="AL343" s="4"/>
      <c r="AQ343" s="4"/>
      <c r="AV343" s="4"/>
      <c r="BA343" s="4"/>
    </row>
    <row r="344" spans="8:53" s="1" customFormat="1" ht="53.45" customHeight="1">
      <c r="H344" s="4"/>
      <c r="M344" s="4"/>
      <c r="R344" s="4"/>
      <c r="W344" s="4"/>
      <c r="AB344" s="4"/>
      <c r="AG344" s="4"/>
      <c r="AL344" s="4"/>
      <c r="AQ344" s="4"/>
      <c r="AV344" s="4"/>
      <c r="BA344" s="4"/>
    </row>
    <row r="345" spans="8:53" s="1" customFormat="1" ht="53.45" customHeight="1">
      <c r="H345" s="4"/>
      <c r="M345" s="4"/>
      <c r="R345" s="4"/>
      <c r="W345" s="4"/>
      <c r="AB345" s="4"/>
      <c r="AG345" s="4"/>
      <c r="AL345" s="4"/>
      <c r="AQ345" s="4"/>
      <c r="AV345" s="4"/>
      <c r="BA345" s="4"/>
    </row>
    <row r="346" spans="8:53" s="1" customFormat="1" ht="53.45" customHeight="1">
      <c r="H346" s="4"/>
      <c r="M346" s="4"/>
      <c r="R346" s="4"/>
      <c r="W346" s="4"/>
      <c r="AB346" s="4"/>
      <c r="AG346" s="4"/>
      <c r="AL346" s="4"/>
      <c r="AQ346" s="4"/>
      <c r="AV346" s="4"/>
      <c r="BA346" s="4"/>
    </row>
    <row r="347" spans="8:53" s="1" customFormat="1" ht="53.45" customHeight="1">
      <c r="H347" s="4"/>
      <c r="M347" s="4"/>
      <c r="R347" s="4"/>
      <c r="W347" s="4"/>
      <c r="AB347" s="4"/>
      <c r="AG347" s="4"/>
      <c r="AL347" s="4"/>
      <c r="AQ347" s="4"/>
      <c r="AV347" s="4"/>
      <c r="BA347" s="4"/>
    </row>
    <row r="348" spans="8:53" s="1" customFormat="1" ht="53.45" customHeight="1">
      <c r="H348" s="4"/>
      <c r="M348" s="4"/>
      <c r="R348" s="4"/>
      <c r="W348" s="4"/>
      <c r="AB348" s="4"/>
      <c r="AG348" s="4"/>
      <c r="AL348" s="4"/>
      <c r="AQ348" s="4"/>
      <c r="AV348" s="4"/>
      <c r="BA348" s="4"/>
    </row>
    <row r="349" spans="8:53" s="1" customFormat="1" ht="53.45" customHeight="1">
      <c r="H349" s="4"/>
      <c r="M349" s="4"/>
      <c r="R349" s="4"/>
      <c r="W349" s="4"/>
      <c r="AB349" s="4"/>
      <c r="AG349" s="4"/>
      <c r="AL349" s="4"/>
      <c r="AQ349" s="4"/>
      <c r="AV349" s="4"/>
      <c r="BA349" s="4"/>
    </row>
    <row r="350" spans="8:53" s="1" customFormat="1" ht="53.45" customHeight="1">
      <c r="H350" s="4"/>
      <c r="M350" s="4"/>
      <c r="R350" s="4"/>
      <c r="W350" s="4"/>
      <c r="AB350" s="4"/>
      <c r="AG350" s="4"/>
      <c r="AL350" s="4"/>
      <c r="AQ350" s="4"/>
      <c r="AV350" s="4"/>
      <c r="BA350" s="4"/>
    </row>
    <row r="351" spans="8:53" s="1" customFormat="1" ht="53.45" customHeight="1">
      <c r="H351" s="4"/>
      <c r="M351" s="4"/>
      <c r="R351" s="4"/>
      <c r="W351" s="4"/>
      <c r="AB351" s="4"/>
      <c r="AG351" s="4"/>
      <c r="AL351" s="4"/>
      <c r="AQ351" s="4"/>
      <c r="AV351" s="4"/>
      <c r="BA351" s="4"/>
    </row>
    <row r="352" spans="8:53" s="1" customFormat="1" ht="53.45" customHeight="1">
      <c r="H352" s="4"/>
      <c r="M352" s="4"/>
      <c r="R352" s="4"/>
      <c r="W352" s="4"/>
      <c r="AB352" s="4"/>
      <c r="AG352" s="4"/>
      <c r="AL352" s="4"/>
      <c r="AQ352" s="4"/>
      <c r="AV352" s="4"/>
      <c r="BA352" s="4"/>
    </row>
    <row r="353" spans="8:53" s="1" customFormat="1" ht="53.45" customHeight="1">
      <c r="H353" s="4"/>
      <c r="M353" s="4"/>
      <c r="R353" s="4"/>
      <c r="W353" s="4"/>
      <c r="AB353" s="4"/>
      <c r="AG353" s="4"/>
      <c r="AL353" s="4"/>
      <c r="AQ353" s="4"/>
      <c r="AV353" s="4"/>
      <c r="BA353" s="4"/>
    </row>
    <row r="354" spans="8:53" s="1" customFormat="1" ht="53.45" customHeight="1">
      <c r="H354" s="4"/>
      <c r="M354" s="4"/>
      <c r="R354" s="4"/>
      <c r="W354" s="4"/>
      <c r="AB354" s="4"/>
      <c r="AG354" s="4"/>
      <c r="AL354" s="4"/>
      <c r="AQ354" s="4"/>
      <c r="AV354" s="4"/>
      <c r="BA354" s="4"/>
    </row>
    <row r="355" spans="8:53" s="1" customFormat="1" ht="53.45" customHeight="1">
      <c r="H355" s="4"/>
      <c r="M355" s="4"/>
      <c r="R355" s="4"/>
      <c r="W355" s="4"/>
      <c r="AB355" s="4"/>
      <c r="AG355" s="4"/>
      <c r="AL355" s="4"/>
      <c r="AQ355" s="4"/>
      <c r="AV355" s="4"/>
      <c r="BA355" s="4"/>
    </row>
    <row r="356" spans="8:53" s="1" customFormat="1" ht="53.45" customHeight="1">
      <c r="H356" s="4"/>
      <c r="M356" s="4"/>
      <c r="R356" s="4"/>
      <c r="W356" s="4"/>
      <c r="AB356" s="4"/>
      <c r="AG356" s="4"/>
      <c r="AL356" s="4"/>
      <c r="AQ356" s="4"/>
      <c r="AV356" s="4"/>
      <c r="BA356" s="4"/>
    </row>
    <row r="357" spans="8:53" s="1" customFormat="1" ht="53.45" customHeight="1">
      <c r="H357" s="4"/>
      <c r="M357" s="4"/>
      <c r="R357" s="4"/>
      <c r="W357" s="4"/>
      <c r="AB357" s="4"/>
      <c r="AG357" s="4"/>
      <c r="AL357" s="4"/>
      <c r="AQ357" s="4"/>
      <c r="AV357" s="4"/>
      <c r="BA357" s="4"/>
    </row>
    <row r="358" spans="8:53" s="1" customFormat="1" ht="53.45" customHeight="1">
      <c r="H358" s="4"/>
      <c r="M358" s="4"/>
      <c r="R358" s="4"/>
      <c r="W358" s="4"/>
      <c r="AB358" s="4"/>
      <c r="AG358" s="4"/>
      <c r="AL358" s="4"/>
      <c r="AQ358" s="4"/>
      <c r="AV358" s="4"/>
      <c r="BA358" s="4"/>
    </row>
    <row r="359" spans="8:53" s="1" customFormat="1" ht="53.45" customHeight="1">
      <c r="H359" s="4"/>
      <c r="M359" s="4"/>
      <c r="R359" s="4"/>
      <c r="W359" s="4"/>
      <c r="AB359" s="4"/>
      <c r="AG359" s="4"/>
      <c r="AL359" s="4"/>
      <c r="AQ359" s="4"/>
      <c r="AV359" s="4"/>
      <c r="BA359" s="4"/>
    </row>
    <row r="360" spans="8:53" s="1" customFormat="1" ht="53.45" customHeight="1">
      <c r="H360" s="4"/>
      <c r="M360" s="4"/>
      <c r="R360" s="4"/>
      <c r="W360" s="4"/>
      <c r="AB360" s="4"/>
      <c r="AG360" s="4"/>
      <c r="AL360" s="4"/>
      <c r="AQ360" s="4"/>
      <c r="AV360" s="4"/>
      <c r="BA360" s="4"/>
    </row>
    <row r="361" spans="8:53" s="1" customFormat="1" ht="53.45" customHeight="1">
      <c r="H361" s="4"/>
      <c r="M361" s="4"/>
      <c r="R361" s="4"/>
      <c r="W361" s="4"/>
      <c r="AB361" s="4"/>
      <c r="AG361" s="4"/>
      <c r="AL361" s="4"/>
      <c r="AQ361" s="4"/>
      <c r="AV361" s="4"/>
      <c r="BA361" s="4"/>
    </row>
    <row r="362" spans="8:53" s="1" customFormat="1" ht="53.45" customHeight="1">
      <c r="H362" s="4"/>
      <c r="M362" s="4"/>
      <c r="R362" s="4"/>
      <c r="W362" s="4"/>
      <c r="AB362" s="4"/>
      <c r="AG362" s="4"/>
      <c r="AL362" s="4"/>
      <c r="AQ362" s="4"/>
      <c r="AV362" s="4"/>
      <c r="BA362" s="4"/>
    </row>
    <row r="363" spans="8:53" s="1" customFormat="1" ht="53.45" customHeight="1">
      <c r="H363" s="4"/>
      <c r="M363" s="4"/>
      <c r="R363" s="4"/>
      <c r="W363" s="4"/>
      <c r="AB363" s="4"/>
      <c r="AG363" s="4"/>
      <c r="AL363" s="4"/>
      <c r="AQ363" s="4"/>
      <c r="AV363" s="4"/>
      <c r="BA363" s="4"/>
    </row>
    <row r="364" spans="8:53" s="1" customFormat="1" ht="53.45" customHeight="1">
      <c r="H364" s="4"/>
      <c r="M364" s="4"/>
      <c r="R364" s="4"/>
      <c r="W364" s="4"/>
      <c r="AB364" s="4"/>
      <c r="AG364" s="4"/>
      <c r="AL364" s="4"/>
      <c r="AQ364" s="4"/>
      <c r="AV364" s="4"/>
      <c r="BA364" s="4"/>
    </row>
    <row r="365" spans="8:53" s="1" customFormat="1" ht="53.45" customHeight="1">
      <c r="H365" s="4"/>
      <c r="M365" s="4"/>
      <c r="R365" s="4"/>
      <c r="W365" s="4"/>
      <c r="AB365" s="4"/>
      <c r="AG365" s="4"/>
      <c r="AL365" s="4"/>
      <c r="AQ365" s="4"/>
      <c r="AV365" s="4"/>
      <c r="BA365" s="4"/>
    </row>
    <row r="366" spans="8:53" s="1" customFormat="1" ht="53.45" customHeight="1">
      <c r="H366" s="4"/>
      <c r="M366" s="4"/>
      <c r="R366" s="4"/>
      <c r="W366" s="4"/>
      <c r="AB366" s="4"/>
      <c r="AG366" s="4"/>
      <c r="AL366" s="4"/>
      <c r="AQ366" s="4"/>
      <c r="AV366" s="4"/>
      <c r="BA366" s="4"/>
    </row>
    <row r="367" spans="8:53" s="1" customFormat="1" ht="53.45" customHeight="1">
      <c r="H367" s="4"/>
      <c r="M367" s="4"/>
      <c r="R367" s="4"/>
      <c r="W367" s="4"/>
      <c r="AB367" s="4"/>
      <c r="AG367" s="4"/>
      <c r="AL367" s="4"/>
      <c r="AQ367" s="4"/>
      <c r="AV367" s="4"/>
      <c r="BA367" s="4"/>
    </row>
    <row r="368" spans="8:53" s="1" customFormat="1" ht="53.45" customHeight="1">
      <c r="H368" s="4"/>
      <c r="M368" s="4"/>
      <c r="R368" s="4"/>
      <c r="W368" s="4"/>
      <c r="AB368" s="4"/>
      <c r="AG368" s="4"/>
      <c r="AL368" s="4"/>
      <c r="AQ368" s="4"/>
      <c r="AV368" s="4"/>
      <c r="BA368" s="4"/>
    </row>
    <row r="369" spans="8:53" s="1" customFormat="1" ht="53.45" customHeight="1">
      <c r="H369" s="4"/>
      <c r="M369" s="4"/>
      <c r="R369" s="4"/>
      <c r="W369" s="4"/>
      <c r="AB369" s="4"/>
      <c r="AG369" s="4"/>
      <c r="AL369" s="4"/>
      <c r="AQ369" s="4"/>
      <c r="AV369" s="4"/>
      <c r="BA369" s="4"/>
    </row>
    <row r="370" spans="8:53" s="1" customFormat="1" ht="53.45" customHeight="1">
      <c r="H370" s="4"/>
      <c r="M370" s="4"/>
      <c r="R370" s="4"/>
      <c r="W370" s="4"/>
      <c r="AB370" s="4"/>
      <c r="AG370" s="4"/>
      <c r="AL370" s="4"/>
      <c r="AQ370" s="4"/>
      <c r="AV370" s="4"/>
      <c r="BA370" s="4"/>
    </row>
    <row r="371" spans="8:53" s="1" customFormat="1" ht="53.45" customHeight="1">
      <c r="H371" s="4"/>
      <c r="M371" s="4"/>
      <c r="R371" s="4"/>
      <c r="W371" s="4"/>
      <c r="AB371" s="4"/>
      <c r="AG371" s="4"/>
      <c r="AL371" s="4"/>
      <c r="AQ371" s="4"/>
      <c r="AV371" s="4"/>
      <c r="BA371" s="4"/>
    </row>
    <row r="372" spans="8:53" s="1" customFormat="1" ht="53.45" customHeight="1">
      <c r="H372" s="4"/>
      <c r="M372" s="4"/>
      <c r="R372" s="4"/>
      <c r="W372" s="4"/>
      <c r="AB372" s="4"/>
      <c r="AG372" s="4"/>
      <c r="AL372" s="4"/>
      <c r="AQ372" s="4"/>
      <c r="AV372" s="4"/>
      <c r="BA372" s="4"/>
    </row>
    <row r="373" spans="8:53" s="1" customFormat="1" ht="53.45" customHeight="1">
      <c r="H373" s="4"/>
      <c r="M373" s="4"/>
      <c r="R373" s="4"/>
      <c r="W373" s="4"/>
      <c r="AB373" s="4"/>
      <c r="AG373" s="4"/>
      <c r="AL373" s="4"/>
      <c r="AQ373" s="4"/>
      <c r="AV373" s="4"/>
      <c r="BA373" s="4"/>
    </row>
    <row r="374" spans="8:53" s="1" customFormat="1" ht="53.45" customHeight="1">
      <c r="H374" s="4"/>
      <c r="M374" s="4"/>
      <c r="R374" s="4"/>
      <c r="W374" s="4"/>
      <c r="AB374" s="4"/>
      <c r="AG374" s="4"/>
      <c r="AL374" s="4"/>
      <c r="AQ374" s="4"/>
      <c r="AV374" s="4"/>
      <c r="BA374" s="4"/>
    </row>
    <row r="375" spans="8:53" s="1" customFormat="1" ht="53.45" customHeight="1">
      <c r="H375" s="4"/>
      <c r="M375" s="4"/>
      <c r="R375" s="4"/>
      <c r="W375" s="4"/>
      <c r="AB375" s="4"/>
      <c r="AG375" s="4"/>
      <c r="AL375" s="4"/>
      <c r="AQ375" s="4"/>
      <c r="AV375" s="4"/>
      <c r="BA375" s="4"/>
    </row>
    <row r="376" spans="8:53" s="1" customFormat="1" ht="53.45" customHeight="1">
      <c r="H376" s="4"/>
      <c r="M376" s="4"/>
      <c r="R376" s="4"/>
      <c r="W376" s="4"/>
      <c r="AB376" s="4"/>
      <c r="AG376" s="4"/>
      <c r="AL376" s="4"/>
      <c r="AQ376" s="4"/>
      <c r="AV376" s="4"/>
      <c r="BA376" s="4"/>
    </row>
    <row r="377" spans="8:53" s="1" customFormat="1" ht="53.45" customHeight="1">
      <c r="H377" s="4"/>
      <c r="M377" s="4"/>
      <c r="R377" s="4"/>
      <c r="W377" s="4"/>
      <c r="AB377" s="4"/>
      <c r="AG377" s="4"/>
      <c r="AL377" s="4"/>
      <c r="AQ377" s="4"/>
      <c r="AV377" s="4"/>
      <c r="BA377" s="4"/>
    </row>
    <row r="378" spans="8:53" s="1" customFormat="1" ht="53.45" customHeight="1">
      <c r="H378" s="4"/>
      <c r="M378" s="4"/>
      <c r="R378" s="4"/>
      <c r="W378" s="4"/>
      <c r="AB378" s="4"/>
      <c r="AG378" s="4"/>
      <c r="AL378" s="4"/>
      <c r="AQ378" s="4"/>
      <c r="AV378" s="4"/>
      <c r="BA378" s="4"/>
    </row>
    <row r="379" spans="8:53" s="1" customFormat="1" ht="53.45" customHeight="1">
      <c r="H379" s="4"/>
      <c r="M379" s="4"/>
      <c r="R379" s="4"/>
      <c r="W379" s="4"/>
      <c r="AB379" s="4"/>
      <c r="AG379" s="4"/>
      <c r="AL379" s="4"/>
      <c r="AQ379" s="4"/>
      <c r="AV379" s="4"/>
      <c r="BA379" s="4"/>
    </row>
    <row r="380" spans="8:53" s="1" customFormat="1" ht="53.45" customHeight="1">
      <c r="H380" s="4"/>
      <c r="M380" s="4"/>
      <c r="R380" s="4"/>
      <c r="W380" s="4"/>
      <c r="AB380" s="4"/>
      <c r="AG380" s="4"/>
      <c r="AL380" s="4"/>
      <c r="AQ380" s="4"/>
      <c r="AV380" s="4"/>
      <c r="BA380" s="4"/>
    </row>
    <row r="381" spans="8:53" s="1" customFormat="1" ht="53.45" customHeight="1">
      <c r="H381" s="4"/>
      <c r="M381" s="4"/>
      <c r="R381" s="4"/>
      <c r="W381" s="4"/>
      <c r="AB381" s="4"/>
      <c r="AG381" s="4"/>
      <c r="AL381" s="4"/>
      <c r="AQ381" s="4"/>
      <c r="AV381" s="4"/>
      <c r="BA381" s="4"/>
    </row>
    <row r="382" spans="8:53" s="1" customFormat="1" ht="53.45" customHeight="1">
      <c r="H382" s="4"/>
      <c r="M382" s="4"/>
      <c r="R382" s="4"/>
      <c r="W382" s="4"/>
      <c r="AB382" s="4"/>
      <c r="AG382" s="4"/>
      <c r="AL382" s="4"/>
      <c r="AQ382" s="4"/>
      <c r="AV382" s="4"/>
      <c r="BA382" s="4"/>
    </row>
    <row r="383" spans="8:53" s="1" customFormat="1" ht="53.45" customHeight="1">
      <c r="H383" s="4"/>
      <c r="M383" s="4"/>
      <c r="R383" s="4"/>
      <c r="W383" s="4"/>
      <c r="AB383" s="4"/>
      <c r="AG383" s="4"/>
      <c r="AL383" s="4"/>
      <c r="AQ383" s="4"/>
      <c r="AV383" s="4"/>
      <c r="BA383" s="4"/>
    </row>
    <row r="384" spans="8:53" s="1" customFormat="1" ht="53.45" customHeight="1">
      <c r="H384" s="4"/>
      <c r="M384" s="4"/>
      <c r="R384" s="4"/>
      <c r="W384" s="4"/>
      <c r="AB384" s="4"/>
      <c r="AG384" s="4"/>
      <c r="AL384" s="4"/>
      <c r="AQ384" s="4"/>
      <c r="AV384" s="4"/>
      <c r="BA384" s="4"/>
    </row>
    <row r="385" spans="8:53" s="1" customFormat="1" ht="53.45" customHeight="1">
      <c r="H385" s="4"/>
      <c r="M385" s="4"/>
      <c r="R385" s="4"/>
      <c r="W385" s="4"/>
      <c r="AB385" s="4"/>
      <c r="AG385" s="4"/>
      <c r="AL385" s="4"/>
      <c r="AQ385" s="4"/>
      <c r="AV385" s="4"/>
      <c r="BA385" s="4"/>
    </row>
    <row r="386" spans="8:53" s="1" customFormat="1" ht="53.45" customHeight="1">
      <c r="H386" s="4"/>
      <c r="M386" s="4"/>
      <c r="R386" s="4"/>
      <c r="W386" s="4"/>
      <c r="AB386" s="4"/>
      <c r="AG386" s="4"/>
      <c r="AL386" s="4"/>
      <c r="AQ386" s="4"/>
      <c r="AV386" s="4"/>
      <c r="BA386" s="4"/>
    </row>
    <row r="387" spans="8:53" s="1" customFormat="1" ht="53.45" customHeight="1">
      <c r="H387" s="4"/>
      <c r="M387" s="4"/>
      <c r="R387" s="4"/>
      <c r="W387" s="4"/>
      <c r="AB387" s="4"/>
      <c r="AG387" s="4"/>
      <c r="AL387" s="4"/>
      <c r="AQ387" s="4"/>
      <c r="AV387" s="4"/>
      <c r="BA387" s="4"/>
    </row>
    <row r="388" spans="8:53" s="1" customFormat="1" ht="53.45" customHeight="1">
      <c r="H388" s="4"/>
      <c r="M388" s="4"/>
      <c r="R388" s="4"/>
      <c r="W388" s="4"/>
      <c r="AB388" s="4"/>
      <c r="AG388" s="4"/>
      <c r="AL388" s="4"/>
      <c r="AQ388" s="4"/>
      <c r="AV388" s="4"/>
      <c r="BA388" s="4"/>
    </row>
    <row r="389" spans="8:53" s="1" customFormat="1" ht="53.45" customHeight="1">
      <c r="H389" s="4"/>
      <c r="M389" s="4"/>
      <c r="R389" s="4"/>
      <c r="W389" s="4"/>
      <c r="AB389" s="4"/>
      <c r="AG389" s="4"/>
      <c r="AL389" s="4"/>
      <c r="AQ389" s="4"/>
      <c r="AV389" s="4"/>
      <c r="BA389" s="4"/>
    </row>
    <row r="390" spans="8:53" s="1" customFormat="1" ht="53.45" customHeight="1">
      <c r="H390" s="4"/>
      <c r="M390" s="4"/>
      <c r="R390" s="4"/>
      <c r="W390" s="4"/>
      <c r="AB390" s="4"/>
      <c r="AG390" s="4"/>
      <c r="AL390" s="4"/>
      <c r="AQ390" s="4"/>
      <c r="AV390" s="4"/>
      <c r="BA390" s="4"/>
    </row>
    <row r="391" spans="8:53" s="1" customFormat="1" ht="53.45" customHeight="1">
      <c r="H391" s="4"/>
      <c r="M391" s="4"/>
      <c r="R391" s="4"/>
      <c r="W391" s="4"/>
      <c r="AB391" s="4"/>
      <c r="AG391" s="4"/>
      <c r="AL391" s="4"/>
      <c r="AQ391" s="4"/>
      <c r="AV391" s="4"/>
      <c r="BA391" s="4"/>
    </row>
    <row r="392" spans="8:53" s="1" customFormat="1" ht="53.45" customHeight="1">
      <c r="H392" s="4"/>
      <c r="M392" s="4"/>
      <c r="R392" s="4"/>
      <c r="W392" s="4"/>
      <c r="AB392" s="4"/>
      <c r="AG392" s="4"/>
      <c r="AL392" s="4"/>
      <c r="AQ392" s="4"/>
      <c r="AV392" s="4"/>
      <c r="BA392" s="4"/>
    </row>
    <row r="393" spans="8:53" s="1" customFormat="1" ht="53.45" customHeight="1">
      <c r="H393" s="4"/>
      <c r="M393" s="4"/>
      <c r="R393" s="4"/>
      <c r="W393" s="4"/>
      <c r="AB393" s="4"/>
      <c r="AG393" s="4"/>
      <c r="AL393" s="4"/>
      <c r="AQ393" s="4"/>
      <c r="AV393" s="4"/>
      <c r="BA393" s="4"/>
    </row>
    <row r="394" spans="8:53" s="1" customFormat="1" ht="53.45" customHeight="1">
      <c r="H394" s="4"/>
      <c r="M394" s="4"/>
      <c r="R394" s="4"/>
      <c r="W394" s="4"/>
      <c r="AB394" s="4"/>
      <c r="AG394" s="4"/>
      <c r="AL394" s="4"/>
      <c r="AQ394" s="4"/>
      <c r="AV394" s="4"/>
      <c r="BA394" s="4"/>
    </row>
    <row r="395" spans="8:53" s="1" customFormat="1" ht="53.45" customHeight="1">
      <c r="H395" s="4"/>
      <c r="M395" s="4"/>
      <c r="R395" s="4"/>
      <c r="W395" s="4"/>
      <c r="AB395" s="4"/>
      <c r="AG395" s="4"/>
      <c r="AL395" s="4"/>
      <c r="AQ395" s="4"/>
      <c r="AV395" s="4"/>
      <c r="BA395" s="4"/>
    </row>
    <row r="396" spans="8:53" s="1" customFormat="1" ht="53.45" customHeight="1">
      <c r="H396" s="4"/>
      <c r="M396" s="4"/>
      <c r="R396" s="4"/>
      <c r="W396" s="4"/>
      <c r="AB396" s="4"/>
      <c r="AG396" s="4"/>
      <c r="AL396" s="4"/>
      <c r="AQ396" s="4"/>
      <c r="AV396" s="4"/>
      <c r="BA396" s="4"/>
    </row>
    <row r="397" spans="8:53" s="1" customFormat="1" ht="53.45" customHeight="1">
      <c r="H397" s="4"/>
      <c r="M397" s="4"/>
      <c r="R397" s="4"/>
      <c r="W397" s="4"/>
      <c r="AB397" s="4"/>
      <c r="AG397" s="4"/>
      <c r="AL397" s="4"/>
      <c r="AQ397" s="4"/>
      <c r="AV397" s="4"/>
      <c r="BA397" s="4"/>
    </row>
    <row r="398" spans="8:53" s="1" customFormat="1" ht="53.45" customHeight="1">
      <c r="H398" s="4"/>
      <c r="M398" s="4"/>
      <c r="R398" s="4"/>
      <c r="W398" s="4"/>
      <c r="AB398" s="4"/>
      <c r="AG398" s="4"/>
      <c r="AL398" s="4"/>
      <c r="AQ398" s="4"/>
      <c r="AV398" s="4"/>
      <c r="BA398" s="4"/>
    </row>
    <row r="399" spans="8:53" s="1" customFormat="1" ht="53.45" customHeight="1">
      <c r="H399" s="4"/>
      <c r="M399" s="4"/>
      <c r="R399" s="4"/>
      <c r="W399" s="4"/>
      <c r="AB399" s="4"/>
      <c r="AG399" s="4"/>
      <c r="AL399" s="4"/>
      <c r="AQ399" s="4"/>
      <c r="AV399" s="4"/>
      <c r="BA399" s="4"/>
    </row>
    <row r="400" spans="8:53" s="1" customFormat="1" ht="53.45" customHeight="1">
      <c r="H400" s="4"/>
      <c r="M400" s="4"/>
      <c r="R400" s="4"/>
      <c r="W400" s="4"/>
      <c r="AB400" s="4"/>
      <c r="AG400" s="4"/>
      <c r="AL400" s="4"/>
      <c r="AQ400" s="4"/>
      <c r="AV400" s="4"/>
      <c r="BA400" s="4"/>
    </row>
    <row r="401" spans="8:53" s="1" customFormat="1" ht="53.45" customHeight="1">
      <c r="H401" s="4"/>
      <c r="M401" s="4"/>
      <c r="R401" s="4"/>
      <c r="W401" s="4"/>
      <c r="AB401" s="4"/>
      <c r="AG401" s="4"/>
      <c r="AL401" s="4"/>
      <c r="AQ401" s="4"/>
      <c r="AV401" s="4"/>
      <c r="BA401" s="4"/>
    </row>
    <row r="402" spans="8:53" s="1" customFormat="1" ht="53.45" customHeight="1">
      <c r="H402" s="4"/>
      <c r="M402" s="4"/>
      <c r="R402" s="4"/>
      <c r="W402" s="4"/>
      <c r="AB402" s="4"/>
      <c r="AG402" s="4"/>
      <c r="AL402" s="4"/>
      <c r="AQ402" s="4"/>
      <c r="AV402" s="4"/>
      <c r="BA402" s="4"/>
    </row>
    <row r="403" spans="8:53" s="1" customFormat="1" ht="53.45" customHeight="1">
      <c r="H403" s="4"/>
      <c r="M403" s="4"/>
      <c r="R403" s="4"/>
      <c r="W403" s="4"/>
      <c r="AB403" s="4"/>
      <c r="AG403" s="4"/>
      <c r="AL403" s="4"/>
      <c r="AQ403" s="4"/>
      <c r="AV403" s="4"/>
      <c r="BA403" s="4"/>
    </row>
    <row r="404" spans="8:53" s="1" customFormat="1" ht="53.45" customHeight="1">
      <c r="H404" s="4"/>
      <c r="M404" s="4"/>
      <c r="R404" s="4"/>
      <c r="W404" s="4"/>
      <c r="AB404" s="4"/>
      <c r="AG404" s="4"/>
      <c r="AL404" s="4"/>
      <c r="AQ404" s="4"/>
      <c r="AV404" s="4"/>
      <c r="BA404" s="4"/>
    </row>
    <row r="405" spans="8:53" s="1" customFormat="1" ht="53.45" customHeight="1">
      <c r="H405" s="4"/>
      <c r="M405" s="4"/>
      <c r="R405" s="4"/>
      <c r="W405" s="4"/>
      <c r="AB405" s="4"/>
      <c r="AG405" s="4"/>
      <c r="AL405" s="4"/>
      <c r="AQ405" s="4"/>
      <c r="AV405" s="4"/>
      <c r="BA405" s="4"/>
    </row>
    <row r="406" spans="8:53" s="1" customFormat="1" ht="53.45" customHeight="1">
      <c r="H406" s="4"/>
      <c r="M406" s="4"/>
      <c r="R406" s="4"/>
      <c r="W406" s="4"/>
      <c r="AB406" s="4"/>
      <c r="AG406" s="4"/>
      <c r="AL406" s="4"/>
      <c r="AQ406" s="4"/>
      <c r="AV406" s="4"/>
      <c r="BA406" s="4"/>
    </row>
    <row r="407" spans="8:53" s="1" customFormat="1" ht="53.45" customHeight="1">
      <c r="H407" s="4"/>
      <c r="M407" s="4"/>
      <c r="R407" s="4"/>
      <c r="W407" s="4"/>
      <c r="AB407" s="4"/>
      <c r="AG407" s="4"/>
      <c r="AL407" s="4"/>
      <c r="AQ407" s="4"/>
      <c r="AV407" s="4"/>
      <c r="BA407" s="4"/>
    </row>
    <row r="408" spans="8:53" s="1" customFormat="1" ht="53.45" customHeight="1">
      <c r="H408" s="4"/>
      <c r="M408" s="4"/>
      <c r="R408" s="4"/>
      <c r="W408" s="4"/>
      <c r="AB408" s="4"/>
      <c r="AG408" s="4"/>
      <c r="AL408" s="4"/>
      <c r="AQ408" s="4"/>
      <c r="AV408" s="4"/>
      <c r="BA408" s="4"/>
    </row>
    <row r="409" spans="8:53" s="1" customFormat="1" ht="53.45" customHeight="1">
      <c r="H409" s="4"/>
      <c r="M409" s="4"/>
      <c r="R409" s="4"/>
      <c r="W409" s="4"/>
      <c r="AB409" s="4"/>
      <c r="AG409" s="4"/>
      <c r="AL409" s="4"/>
      <c r="AQ409" s="4"/>
      <c r="AV409" s="4"/>
      <c r="BA409" s="4"/>
    </row>
    <row r="410" spans="8:53" s="1" customFormat="1" ht="53.45" customHeight="1">
      <c r="H410" s="4"/>
      <c r="M410" s="4"/>
      <c r="R410" s="4"/>
      <c r="W410" s="4"/>
      <c r="AB410" s="4"/>
      <c r="AG410" s="4"/>
      <c r="AL410" s="4"/>
      <c r="AQ410" s="4"/>
      <c r="AV410" s="4"/>
      <c r="BA410" s="4"/>
    </row>
    <row r="411" spans="8:53" s="1" customFormat="1" ht="53.45" customHeight="1">
      <c r="H411" s="4"/>
      <c r="M411" s="4"/>
      <c r="R411" s="4"/>
      <c r="W411" s="4"/>
      <c r="AB411" s="4"/>
      <c r="AG411" s="4"/>
      <c r="AL411" s="4"/>
      <c r="AQ411" s="4"/>
      <c r="AV411" s="4"/>
      <c r="BA411" s="4"/>
    </row>
    <row r="412" spans="8:53" s="1" customFormat="1" ht="53.45" customHeight="1">
      <c r="H412" s="4"/>
      <c r="M412" s="4"/>
      <c r="R412" s="4"/>
      <c r="W412" s="4"/>
      <c r="AB412" s="4"/>
      <c r="AG412" s="4"/>
      <c r="AL412" s="4"/>
      <c r="AQ412" s="4"/>
      <c r="AV412" s="4"/>
      <c r="BA412" s="4"/>
    </row>
    <row r="413" spans="8:53" s="1" customFormat="1" ht="53.45" customHeight="1">
      <c r="H413" s="4"/>
      <c r="M413" s="4"/>
      <c r="R413" s="4"/>
      <c r="W413" s="4"/>
      <c r="AB413" s="4"/>
      <c r="AG413" s="4"/>
      <c r="AL413" s="4"/>
      <c r="AQ413" s="4"/>
      <c r="AV413" s="4"/>
      <c r="BA413" s="4"/>
    </row>
    <row r="414" spans="8:53" s="1" customFormat="1" ht="53.45" customHeight="1">
      <c r="H414" s="4"/>
      <c r="M414" s="4"/>
      <c r="R414" s="4"/>
      <c r="W414" s="4"/>
      <c r="AB414" s="4"/>
      <c r="AG414" s="4"/>
      <c r="AL414" s="4"/>
      <c r="AQ414" s="4"/>
      <c r="AV414" s="4"/>
      <c r="BA414" s="4"/>
    </row>
    <row r="415" spans="8:53" s="1" customFormat="1" ht="53.45" customHeight="1">
      <c r="H415" s="4"/>
      <c r="M415" s="4"/>
      <c r="R415" s="4"/>
      <c r="W415" s="4"/>
      <c r="AB415" s="4"/>
      <c r="AG415" s="4"/>
      <c r="AL415" s="4"/>
      <c r="AQ415" s="4"/>
      <c r="AV415" s="4"/>
      <c r="BA415" s="4"/>
    </row>
    <row r="416" spans="8:53" s="1" customFormat="1" ht="53.45" customHeight="1">
      <c r="H416" s="4"/>
      <c r="M416" s="4"/>
      <c r="R416" s="4"/>
      <c r="W416" s="4"/>
      <c r="AB416" s="4"/>
      <c r="AG416" s="4"/>
      <c r="AL416" s="4"/>
      <c r="AQ416" s="4"/>
      <c r="AV416" s="4"/>
      <c r="BA416" s="4"/>
    </row>
    <row r="417" spans="8:53" s="1" customFormat="1" ht="53.45" customHeight="1">
      <c r="H417" s="4"/>
      <c r="M417" s="4"/>
      <c r="R417" s="4"/>
      <c r="W417" s="4"/>
      <c r="AB417" s="4"/>
      <c r="AG417" s="4"/>
      <c r="AL417" s="4"/>
      <c r="AQ417" s="4"/>
      <c r="AV417" s="4"/>
      <c r="BA417" s="4"/>
    </row>
    <row r="418" spans="8:53" s="1" customFormat="1" ht="53.45" customHeight="1">
      <c r="H418" s="4"/>
      <c r="M418" s="4"/>
      <c r="R418" s="4"/>
      <c r="W418" s="4"/>
      <c r="AB418" s="4"/>
      <c r="AG418" s="4"/>
      <c r="AL418" s="4"/>
      <c r="AQ418" s="4"/>
      <c r="AV418" s="4"/>
      <c r="BA418" s="4"/>
    </row>
    <row r="419" spans="8:53" s="1" customFormat="1" ht="53.45" customHeight="1">
      <c r="H419" s="4"/>
      <c r="M419" s="4"/>
      <c r="R419" s="4"/>
      <c r="W419" s="4"/>
      <c r="AB419" s="4"/>
      <c r="AG419" s="4"/>
      <c r="AL419" s="4"/>
      <c r="AQ419" s="4"/>
      <c r="AV419" s="4"/>
      <c r="BA419" s="4"/>
    </row>
    <row r="420" spans="8:53" s="1" customFormat="1" ht="53.45" customHeight="1">
      <c r="H420" s="4"/>
      <c r="M420" s="4"/>
      <c r="R420" s="4"/>
      <c r="W420" s="4"/>
      <c r="AB420" s="4"/>
      <c r="AG420" s="4"/>
      <c r="AL420" s="4"/>
      <c r="AQ420" s="4"/>
      <c r="AV420" s="4"/>
      <c r="BA420" s="4"/>
    </row>
    <row r="421" spans="8:53" s="1" customFormat="1" ht="53.45" customHeight="1">
      <c r="H421" s="4"/>
      <c r="M421" s="4"/>
      <c r="R421" s="4"/>
      <c r="W421" s="4"/>
      <c r="AB421" s="4"/>
      <c r="AG421" s="4"/>
      <c r="AL421" s="4"/>
      <c r="AQ421" s="4"/>
      <c r="AV421" s="4"/>
      <c r="BA421" s="4"/>
    </row>
    <row r="422" spans="8:53" s="1" customFormat="1" ht="53.45" customHeight="1">
      <c r="H422" s="4"/>
      <c r="M422" s="4"/>
      <c r="R422" s="4"/>
      <c r="W422" s="4"/>
      <c r="AB422" s="4"/>
      <c r="AG422" s="4"/>
      <c r="AL422" s="4"/>
      <c r="AQ422" s="4"/>
      <c r="AV422" s="4"/>
      <c r="BA422" s="4"/>
    </row>
    <row r="423" spans="8:53" s="1" customFormat="1" ht="53.45" customHeight="1">
      <c r="H423" s="4"/>
      <c r="M423" s="4"/>
      <c r="R423" s="4"/>
      <c r="W423" s="4"/>
      <c r="AB423" s="4"/>
      <c r="AG423" s="4"/>
      <c r="AL423" s="4"/>
      <c r="AQ423" s="4"/>
      <c r="AV423" s="4"/>
      <c r="BA423" s="4"/>
    </row>
    <row r="424" spans="8:53" s="1" customFormat="1" ht="53.45" customHeight="1">
      <c r="H424" s="4"/>
      <c r="M424" s="4"/>
      <c r="R424" s="4"/>
      <c r="W424" s="4"/>
      <c r="AB424" s="4"/>
      <c r="AG424" s="4"/>
      <c r="AL424" s="4"/>
      <c r="AQ424" s="4"/>
      <c r="AV424" s="4"/>
      <c r="BA424" s="4"/>
    </row>
    <row r="425" spans="8:53" s="1" customFormat="1" ht="53.45" customHeight="1">
      <c r="H425" s="4"/>
      <c r="M425" s="4"/>
      <c r="R425" s="4"/>
      <c r="W425" s="4"/>
      <c r="AB425" s="4"/>
      <c r="AG425" s="4"/>
      <c r="AL425" s="4"/>
      <c r="AQ425" s="4"/>
      <c r="AV425" s="4"/>
      <c r="BA425" s="4"/>
    </row>
    <row r="426" spans="8:53" s="1" customFormat="1" ht="53.45" customHeight="1">
      <c r="H426" s="4"/>
      <c r="M426" s="4"/>
      <c r="R426" s="4"/>
      <c r="W426" s="4"/>
      <c r="AB426" s="4"/>
      <c r="AG426" s="4"/>
      <c r="AL426" s="4"/>
      <c r="AQ426" s="4"/>
      <c r="AV426" s="4"/>
      <c r="BA426" s="4"/>
    </row>
    <row r="427" spans="8:53" s="1" customFormat="1" ht="53.45" customHeight="1">
      <c r="H427" s="4"/>
      <c r="M427" s="4"/>
      <c r="R427" s="4"/>
      <c r="W427" s="4"/>
      <c r="AB427" s="4"/>
      <c r="AG427" s="4"/>
      <c r="AL427" s="4"/>
      <c r="AQ427" s="4"/>
      <c r="AV427" s="4"/>
      <c r="BA427" s="4"/>
    </row>
    <row r="428" spans="8:53" s="1" customFormat="1" ht="53.45" customHeight="1">
      <c r="H428" s="4"/>
      <c r="M428" s="4"/>
      <c r="R428" s="4"/>
      <c r="W428" s="4"/>
      <c r="AB428" s="4"/>
      <c r="AG428" s="4"/>
      <c r="AL428" s="4"/>
      <c r="AQ428" s="4"/>
      <c r="AV428" s="4"/>
      <c r="BA428" s="4"/>
    </row>
    <row r="429" spans="8:53" s="1" customFormat="1" ht="53.45" customHeight="1">
      <c r="H429" s="4"/>
      <c r="M429" s="4"/>
      <c r="R429" s="4"/>
      <c r="W429" s="4"/>
      <c r="AB429" s="4"/>
      <c r="AG429" s="4"/>
      <c r="AL429" s="4"/>
      <c r="AQ429" s="4"/>
      <c r="AV429" s="4"/>
      <c r="BA429" s="4"/>
    </row>
    <row r="430" spans="8:53" s="1" customFormat="1" ht="53.45" customHeight="1">
      <c r="H430" s="4"/>
      <c r="M430" s="4"/>
      <c r="R430" s="4"/>
      <c r="W430" s="4"/>
      <c r="AB430" s="4"/>
      <c r="AG430" s="4"/>
      <c r="AL430" s="4"/>
      <c r="AQ430" s="4"/>
      <c r="AV430" s="4"/>
      <c r="BA430" s="4"/>
    </row>
    <row r="431" spans="8:53" s="1" customFormat="1" ht="53.45" customHeight="1">
      <c r="H431" s="4"/>
      <c r="M431" s="4"/>
      <c r="R431" s="4"/>
      <c r="W431" s="4"/>
      <c r="AB431" s="4"/>
      <c r="AG431" s="4"/>
      <c r="AL431" s="4"/>
      <c r="AQ431" s="4"/>
      <c r="AV431" s="4"/>
      <c r="BA431" s="4"/>
    </row>
    <row r="432" spans="8:53" s="1" customFormat="1" ht="53.45" customHeight="1">
      <c r="H432" s="4"/>
      <c r="M432" s="4"/>
      <c r="R432" s="4"/>
      <c r="W432" s="4"/>
      <c r="AB432" s="4"/>
      <c r="AG432" s="4"/>
      <c r="AL432" s="4"/>
      <c r="AQ432" s="4"/>
      <c r="AV432" s="4"/>
      <c r="BA432" s="4"/>
    </row>
    <row r="433" spans="8:53" s="1" customFormat="1" ht="53.45" customHeight="1">
      <c r="H433" s="4"/>
      <c r="M433" s="4"/>
      <c r="R433" s="4"/>
      <c r="W433" s="4"/>
      <c r="AB433" s="4"/>
      <c r="AG433" s="4"/>
      <c r="AL433" s="4"/>
      <c r="AQ433" s="4"/>
      <c r="AV433" s="4"/>
      <c r="BA433" s="4"/>
    </row>
    <row r="434" spans="8:53" s="1" customFormat="1" ht="53.45" customHeight="1">
      <c r="H434" s="4"/>
      <c r="M434" s="4"/>
      <c r="R434" s="4"/>
      <c r="W434" s="4"/>
      <c r="AB434" s="4"/>
      <c r="AG434" s="4"/>
      <c r="AL434" s="4"/>
      <c r="AQ434" s="4"/>
      <c r="AV434" s="4"/>
      <c r="BA434" s="4"/>
    </row>
    <row r="435" spans="8:53" s="1" customFormat="1" ht="53.45" customHeight="1">
      <c r="H435" s="4"/>
      <c r="M435" s="4"/>
      <c r="R435" s="4"/>
      <c r="W435" s="4"/>
      <c r="AB435" s="4"/>
      <c r="AG435" s="4"/>
      <c r="AL435" s="4"/>
      <c r="AQ435" s="4"/>
      <c r="AV435" s="4"/>
      <c r="BA435" s="4"/>
    </row>
    <row r="436" spans="8:53" s="1" customFormat="1" ht="53.45" customHeight="1">
      <c r="H436" s="4"/>
      <c r="M436" s="4"/>
      <c r="R436" s="4"/>
      <c r="W436" s="4"/>
      <c r="AB436" s="4"/>
      <c r="AG436" s="4"/>
      <c r="AL436" s="4"/>
      <c r="AQ436" s="4"/>
      <c r="AV436" s="4"/>
      <c r="BA436" s="4"/>
    </row>
    <row r="437" spans="8:53" s="1" customFormat="1" ht="53.45" customHeight="1">
      <c r="H437" s="4"/>
      <c r="M437" s="4"/>
      <c r="R437" s="4"/>
      <c r="W437" s="4"/>
      <c r="AB437" s="4"/>
      <c r="AG437" s="4"/>
      <c r="AL437" s="4"/>
      <c r="AQ437" s="4"/>
      <c r="AV437" s="4"/>
      <c r="BA437" s="4"/>
    </row>
    <row r="438" spans="8:53" s="1" customFormat="1" ht="53.45" customHeight="1">
      <c r="H438" s="4"/>
      <c r="M438" s="4"/>
      <c r="R438" s="4"/>
      <c r="W438" s="4"/>
      <c r="AB438" s="4"/>
      <c r="AG438" s="4"/>
      <c r="AL438" s="4"/>
      <c r="AQ438" s="4"/>
      <c r="AV438" s="4"/>
      <c r="BA438" s="4"/>
    </row>
    <row r="439" spans="8:53" s="1" customFormat="1" ht="53.45" customHeight="1">
      <c r="H439" s="4"/>
      <c r="M439" s="4"/>
      <c r="R439" s="4"/>
      <c r="W439" s="4"/>
      <c r="AB439" s="4"/>
      <c r="AG439" s="4"/>
      <c r="AL439" s="4"/>
      <c r="AQ439" s="4"/>
      <c r="AV439" s="4"/>
      <c r="BA439" s="4"/>
    </row>
    <row r="440" spans="8:53" s="1" customFormat="1" ht="53.45" customHeight="1">
      <c r="H440" s="4"/>
      <c r="M440" s="4"/>
      <c r="R440" s="4"/>
      <c r="W440" s="4"/>
      <c r="AB440" s="4"/>
      <c r="AG440" s="4"/>
      <c r="AL440" s="4"/>
      <c r="AQ440" s="4"/>
      <c r="AV440" s="4"/>
      <c r="BA440" s="4"/>
    </row>
    <row r="441" spans="8:53" s="1" customFormat="1" ht="53.45" customHeight="1">
      <c r="H441" s="4"/>
      <c r="M441" s="4"/>
      <c r="R441" s="4"/>
      <c r="W441" s="4"/>
      <c r="AB441" s="4"/>
      <c r="AG441" s="4"/>
      <c r="AL441" s="4"/>
      <c r="AQ441" s="4"/>
      <c r="AV441" s="4"/>
      <c r="BA441" s="4"/>
    </row>
    <row r="442" spans="8:53" s="1" customFormat="1" ht="53.45" customHeight="1">
      <c r="H442" s="4"/>
      <c r="M442" s="4"/>
      <c r="R442" s="4"/>
      <c r="W442" s="4"/>
      <c r="AB442" s="4"/>
      <c r="AG442" s="4"/>
      <c r="AL442" s="4"/>
      <c r="AQ442" s="4"/>
      <c r="AV442" s="4"/>
      <c r="BA442" s="4"/>
    </row>
    <row r="443" spans="8:53" s="1" customFormat="1" ht="53.45" customHeight="1">
      <c r="H443" s="4"/>
      <c r="M443" s="4"/>
      <c r="R443" s="4"/>
      <c r="W443" s="4"/>
      <c r="AB443" s="4"/>
      <c r="AG443" s="4"/>
      <c r="AL443" s="4"/>
      <c r="AQ443" s="4"/>
      <c r="AV443" s="4"/>
      <c r="BA443" s="4"/>
    </row>
    <row r="444" spans="8:53" s="1" customFormat="1" ht="53.45" customHeight="1">
      <c r="H444" s="4"/>
      <c r="M444" s="4"/>
      <c r="R444" s="4"/>
      <c r="W444" s="4"/>
      <c r="AB444" s="4"/>
      <c r="AG444" s="4"/>
      <c r="AL444" s="4"/>
      <c r="AQ444" s="4"/>
      <c r="AV444" s="4"/>
      <c r="BA444" s="4"/>
    </row>
    <row r="445" spans="8:53" s="1" customFormat="1" ht="53.45" customHeight="1">
      <c r="H445" s="4"/>
      <c r="M445" s="4"/>
      <c r="R445" s="4"/>
      <c r="W445" s="4"/>
      <c r="AB445" s="4"/>
      <c r="AG445" s="4"/>
      <c r="AL445" s="4"/>
      <c r="AQ445" s="4"/>
      <c r="AV445" s="4"/>
      <c r="BA445" s="4"/>
    </row>
    <row r="446" spans="8:53" s="1" customFormat="1" ht="53.45" customHeight="1">
      <c r="H446" s="4"/>
      <c r="M446" s="4"/>
      <c r="R446" s="4"/>
      <c r="W446" s="4"/>
      <c r="AB446" s="4"/>
      <c r="AG446" s="4"/>
      <c r="AL446" s="4"/>
      <c r="AQ446" s="4"/>
      <c r="AV446" s="4"/>
      <c r="BA446" s="4"/>
    </row>
    <row r="447" spans="8:53" s="1" customFormat="1" ht="53.45" customHeight="1">
      <c r="H447" s="4"/>
      <c r="M447" s="4"/>
      <c r="R447" s="4"/>
      <c r="W447" s="4"/>
      <c r="AB447" s="4"/>
      <c r="AG447" s="4"/>
      <c r="AL447" s="4"/>
      <c r="AQ447" s="4"/>
      <c r="AV447" s="4"/>
      <c r="BA447" s="4"/>
    </row>
    <row r="448" spans="8:53" s="1" customFormat="1" ht="53.45" customHeight="1">
      <c r="H448" s="4"/>
      <c r="M448" s="4"/>
      <c r="R448" s="4"/>
      <c r="W448" s="4"/>
      <c r="AB448" s="4"/>
      <c r="AG448" s="4"/>
      <c r="AL448" s="4"/>
      <c r="AQ448" s="4"/>
      <c r="AV448" s="4"/>
      <c r="BA448" s="4"/>
    </row>
    <row r="449" spans="8:53" s="1" customFormat="1" ht="53.45" customHeight="1">
      <c r="H449" s="4"/>
      <c r="M449" s="4"/>
      <c r="R449" s="4"/>
      <c r="W449" s="4"/>
      <c r="AB449" s="4"/>
      <c r="AG449" s="4"/>
      <c r="AL449" s="4"/>
      <c r="AQ449" s="4"/>
      <c r="AV449" s="4"/>
      <c r="BA449" s="4"/>
    </row>
    <row r="450" spans="8:53" s="1" customFormat="1" ht="53.45" customHeight="1">
      <c r="H450" s="4"/>
      <c r="M450" s="4"/>
      <c r="R450" s="4"/>
      <c r="W450" s="4"/>
      <c r="AB450" s="4"/>
      <c r="AG450" s="4"/>
      <c r="AL450" s="4"/>
      <c r="AQ450" s="4"/>
      <c r="AV450" s="4"/>
      <c r="BA450" s="4"/>
    </row>
    <row r="451" spans="8:53" s="1" customFormat="1" ht="53.45" customHeight="1">
      <c r="H451" s="4"/>
      <c r="M451" s="4"/>
      <c r="R451" s="4"/>
      <c r="W451" s="4"/>
      <c r="AB451" s="4"/>
      <c r="AG451" s="4"/>
      <c r="AL451" s="4"/>
      <c r="AQ451" s="4"/>
      <c r="AV451" s="4"/>
      <c r="BA451" s="4"/>
    </row>
    <row r="452" spans="8:53" s="1" customFormat="1" ht="53.45" customHeight="1">
      <c r="H452" s="4"/>
      <c r="M452" s="4"/>
      <c r="R452" s="4"/>
      <c r="W452" s="4"/>
      <c r="AB452" s="4"/>
      <c r="AG452" s="4"/>
      <c r="AL452" s="4"/>
      <c r="AQ452" s="4"/>
      <c r="AV452" s="4"/>
      <c r="BA452" s="4"/>
    </row>
    <row r="453" spans="8:53" s="1" customFormat="1" ht="53.45" customHeight="1">
      <c r="H453" s="4"/>
      <c r="M453" s="4"/>
      <c r="R453" s="4"/>
      <c r="W453" s="4"/>
      <c r="AB453" s="4"/>
      <c r="AG453" s="4"/>
      <c r="AL453" s="4"/>
      <c r="AQ453" s="4"/>
      <c r="AV453" s="4"/>
      <c r="BA453" s="4"/>
    </row>
    <row r="454" spans="8:53" s="1" customFormat="1" ht="53.45" customHeight="1">
      <c r="H454" s="4"/>
      <c r="M454" s="4"/>
      <c r="R454" s="4"/>
      <c r="W454" s="4"/>
      <c r="AB454" s="4"/>
      <c r="AG454" s="4"/>
      <c r="AL454" s="4"/>
      <c r="AQ454" s="4"/>
      <c r="AV454" s="4"/>
      <c r="BA454" s="4"/>
    </row>
    <row r="455" spans="8:53" s="1" customFormat="1" ht="53.45" customHeight="1">
      <c r="H455" s="4"/>
      <c r="M455" s="4"/>
      <c r="R455" s="4"/>
      <c r="W455" s="4"/>
      <c r="AB455" s="4"/>
      <c r="AG455" s="4"/>
      <c r="AL455" s="4"/>
      <c r="AQ455" s="4"/>
      <c r="AV455" s="4"/>
      <c r="BA455" s="4"/>
    </row>
    <row r="456" spans="8:53" s="1" customFormat="1" ht="53.45" customHeight="1">
      <c r="H456" s="4"/>
      <c r="M456" s="4"/>
      <c r="R456" s="4"/>
      <c r="W456" s="4"/>
      <c r="AB456" s="4"/>
      <c r="AG456" s="4"/>
      <c r="AL456" s="4"/>
      <c r="AQ456" s="4"/>
      <c r="AV456" s="4"/>
      <c r="BA456" s="4"/>
    </row>
    <row r="457" spans="8:53" s="1" customFormat="1" ht="53.45" customHeight="1">
      <c r="H457" s="4"/>
      <c r="M457" s="4"/>
      <c r="R457" s="4"/>
      <c r="W457" s="4"/>
      <c r="AB457" s="4"/>
      <c r="AG457" s="4"/>
      <c r="AL457" s="4"/>
      <c r="AQ457" s="4"/>
      <c r="AV457" s="4"/>
      <c r="BA457" s="4"/>
    </row>
    <row r="458" spans="8:53" s="1" customFormat="1" ht="53.45" customHeight="1">
      <c r="H458" s="4"/>
      <c r="M458" s="4"/>
      <c r="R458" s="4"/>
      <c r="W458" s="4"/>
      <c r="AB458" s="4"/>
      <c r="AG458" s="4"/>
      <c r="AL458" s="4"/>
      <c r="AQ458" s="4"/>
      <c r="AV458" s="4"/>
      <c r="BA458" s="4"/>
    </row>
    <row r="459" spans="8:53" s="1" customFormat="1" ht="53.45" customHeight="1">
      <c r="H459" s="4"/>
      <c r="M459" s="4"/>
      <c r="R459" s="4"/>
      <c r="W459" s="4"/>
      <c r="AB459" s="4"/>
      <c r="AG459" s="4"/>
      <c r="AL459" s="4"/>
      <c r="AQ459" s="4"/>
      <c r="AV459" s="4"/>
      <c r="BA459" s="4"/>
    </row>
    <row r="460" spans="8:53" s="1" customFormat="1" ht="53.45" customHeight="1">
      <c r="H460" s="4"/>
      <c r="M460" s="4"/>
      <c r="R460" s="4"/>
      <c r="W460" s="4"/>
      <c r="AB460" s="4"/>
      <c r="AG460" s="4"/>
      <c r="AL460" s="4"/>
      <c r="AQ460" s="4"/>
      <c r="AV460" s="4"/>
      <c r="BA460" s="4"/>
    </row>
    <row r="461" spans="8:53" s="1" customFormat="1" ht="53.45" customHeight="1">
      <c r="H461" s="4"/>
      <c r="M461" s="4"/>
      <c r="R461" s="4"/>
      <c r="W461" s="4"/>
      <c r="AB461" s="4"/>
      <c r="AG461" s="4"/>
      <c r="AL461" s="4"/>
      <c r="AQ461" s="4"/>
      <c r="AV461" s="4"/>
      <c r="BA461" s="4"/>
    </row>
    <row r="462" spans="8:53" s="1" customFormat="1" ht="53.45" customHeight="1">
      <c r="H462" s="4"/>
      <c r="M462" s="4"/>
      <c r="R462" s="4"/>
      <c r="W462" s="4"/>
      <c r="AB462" s="4"/>
      <c r="AG462" s="4"/>
      <c r="AL462" s="4"/>
      <c r="AQ462" s="4"/>
      <c r="AV462" s="4"/>
      <c r="BA462" s="4"/>
    </row>
    <row r="463" spans="8:53" s="1" customFormat="1" ht="53.45" customHeight="1">
      <c r="H463" s="4"/>
      <c r="M463" s="4"/>
      <c r="R463" s="4"/>
      <c r="W463" s="4"/>
      <c r="AB463" s="4"/>
      <c r="AG463" s="4"/>
      <c r="AL463" s="4"/>
      <c r="AQ463" s="4"/>
      <c r="AV463" s="4"/>
      <c r="BA463" s="4"/>
    </row>
    <row r="464" spans="8:53" s="1" customFormat="1" ht="53.45" customHeight="1">
      <c r="H464" s="4"/>
      <c r="M464" s="4"/>
      <c r="R464" s="4"/>
      <c r="W464" s="4"/>
      <c r="AB464" s="4"/>
      <c r="AG464" s="4"/>
      <c r="AL464" s="4"/>
      <c r="AQ464" s="4"/>
      <c r="AV464" s="4"/>
      <c r="BA464" s="4"/>
    </row>
    <row r="465" spans="8:53" s="1" customFormat="1" ht="53.45" customHeight="1">
      <c r="H465" s="4"/>
      <c r="M465" s="4"/>
      <c r="R465" s="4"/>
      <c r="W465" s="4"/>
      <c r="AB465" s="4"/>
      <c r="AG465" s="4"/>
      <c r="AL465" s="4"/>
      <c r="AQ465" s="4"/>
      <c r="AV465" s="4"/>
      <c r="BA465" s="4"/>
    </row>
    <row r="466" spans="8:53" s="1" customFormat="1" ht="53.45" customHeight="1">
      <c r="H466" s="4"/>
      <c r="M466" s="4"/>
      <c r="R466" s="4"/>
      <c r="W466" s="4"/>
      <c r="AB466" s="4"/>
      <c r="AG466" s="4"/>
      <c r="AL466" s="4"/>
      <c r="AQ466" s="4"/>
      <c r="AV466" s="4"/>
      <c r="BA466" s="4"/>
    </row>
    <row r="467" spans="8:53" s="1" customFormat="1" ht="53.45" customHeight="1">
      <c r="H467" s="4"/>
      <c r="M467" s="4"/>
      <c r="R467" s="4"/>
      <c r="W467" s="4"/>
      <c r="AB467" s="4"/>
      <c r="AG467" s="4"/>
      <c r="AL467" s="4"/>
      <c r="AQ467" s="4"/>
      <c r="AV467" s="4"/>
      <c r="BA467" s="4"/>
    </row>
    <row r="468" spans="8:53" s="1" customFormat="1" ht="53.45" customHeight="1">
      <c r="H468" s="4"/>
      <c r="M468" s="4"/>
      <c r="R468" s="4"/>
      <c r="W468" s="4"/>
      <c r="AB468" s="4"/>
      <c r="AG468" s="4"/>
      <c r="AL468" s="4"/>
      <c r="AQ468" s="4"/>
      <c r="AV468" s="4"/>
      <c r="BA468" s="4"/>
    </row>
    <row r="469" spans="8:53" s="1" customFormat="1" ht="53.45" customHeight="1">
      <c r="H469" s="4"/>
      <c r="M469" s="4"/>
      <c r="R469" s="4"/>
      <c r="W469" s="4"/>
      <c r="AB469" s="4"/>
      <c r="AG469" s="4"/>
      <c r="AL469" s="4"/>
      <c r="AQ469" s="4"/>
      <c r="AV469" s="4"/>
      <c r="BA469" s="4"/>
    </row>
    <row r="470" spans="8:53" s="1" customFormat="1" ht="53.45" customHeight="1">
      <c r="H470" s="4"/>
      <c r="M470" s="4"/>
      <c r="R470" s="4"/>
      <c r="W470" s="4"/>
      <c r="AB470" s="4"/>
      <c r="AG470" s="4"/>
      <c r="AL470" s="4"/>
      <c r="AQ470" s="4"/>
      <c r="AV470" s="4"/>
      <c r="BA470" s="4"/>
    </row>
    <row r="471" spans="8:53" s="1" customFormat="1" ht="53.45" customHeight="1">
      <c r="H471" s="4"/>
      <c r="M471" s="4"/>
      <c r="R471" s="4"/>
      <c r="W471" s="4"/>
      <c r="AB471" s="4"/>
      <c r="AG471" s="4"/>
      <c r="AL471" s="4"/>
      <c r="AQ471" s="4"/>
      <c r="AV471" s="4"/>
      <c r="BA471" s="4"/>
    </row>
    <row r="472" spans="8:53" s="1" customFormat="1" ht="53.45" customHeight="1">
      <c r="H472" s="4"/>
      <c r="M472" s="4"/>
      <c r="R472" s="4"/>
      <c r="W472" s="4"/>
      <c r="AB472" s="4"/>
      <c r="AG472" s="4"/>
      <c r="AL472" s="4"/>
      <c r="AQ472" s="4"/>
      <c r="AV472" s="4"/>
      <c r="BA472" s="4"/>
    </row>
    <row r="473" spans="8:53" s="1" customFormat="1" ht="53.45" customHeight="1">
      <c r="H473" s="4"/>
      <c r="M473" s="4"/>
      <c r="R473" s="4"/>
      <c r="W473" s="4"/>
      <c r="AB473" s="4"/>
      <c r="AG473" s="4"/>
      <c r="AL473" s="4"/>
      <c r="AQ473" s="4"/>
      <c r="AV473" s="4"/>
      <c r="BA473" s="4"/>
    </row>
    <row r="474" spans="8:53" s="1" customFormat="1" ht="53.45" customHeight="1">
      <c r="H474" s="4"/>
      <c r="M474" s="4"/>
      <c r="R474" s="4"/>
      <c r="W474" s="4"/>
      <c r="AB474" s="4"/>
      <c r="AG474" s="4"/>
      <c r="AL474" s="4"/>
      <c r="AQ474" s="4"/>
      <c r="AV474" s="4"/>
      <c r="BA474" s="4"/>
    </row>
    <row r="475" spans="8:53" s="1" customFormat="1" ht="53.45" customHeight="1">
      <c r="H475" s="4"/>
      <c r="M475" s="4"/>
      <c r="R475" s="4"/>
      <c r="W475" s="4"/>
      <c r="AB475" s="4"/>
      <c r="AG475" s="4"/>
      <c r="AL475" s="4"/>
      <c r="AQ475" s="4"/>
      <c r="AV475" s="4"/>
      <c r="BA475" s="4"/>
    </row>
    <row r="476" spans="8:53" s="1" customFormat="1" ht="53.45" customHeight="1">
      <c r="H476" s="4"/>
      <c r="M476" s="4"/>
      <c r="R476" s="4"/>
      <c r="W476" s="4"/>
      <c r="AB476" s="4"/>
      <c r="AG476" s="4"/>
      <c r="AL476" s="4"/>
      <c r="AQ476" s="4"/>
      <c r="AV476" s="4"/>
      <c r="BA476" s="4"/>
    </row>
    <row r="477" spans="8:53" s="1" customFormat="1" ht="53.45" customHeight="1">
      <c r="H477" s="4"/>
      <c r="M477" s="4"/>
      <c r="R477" s="4"/>
      <c r="W477" s="4"/>
      <c r="AB477" s="4"/>
      <c r="AG477" s="4"/>
      <c r="AL477" s="4"/>
      <c r="AQ477" s="4"/>
      <c r="AV477" s="4"/>
      <c r="BA477" s="4"/>
    </row>
    <row r="478" spans="8:53" s="1" customFormat="1" ht="53.45" customHeight="1">
      <c r="H478" s="4"/>
      <c r="M478" s="4"/>
      <c r="R478" s="4"/>
      <c r="W478" s="4"/>
      <c r="AB478" s="4"/>
      <c r="AG478" s="4"/>
      <c r="AL478" s="4"/>
      <c r="AQ478" s="4"/>
      <c r="AV478" s="4"/>
      <c r="BA478" s="4"/>
    </row>
    <row r="479" spans="8:53" s="1" customFormat="1" ht="53.45" customHeight="1">
      <c r="H479" s="4"/>
      <c r="M479" s="4"/>
      <c r="R479" s="4"/>
      <c r="W479" s="4"/>
      <c r="AB479" s="4"/>
      <c r="AG479" s="4"/>
      <c r="AL479" s="4"/>
      <c r="AQ479" s="4"/>
      <c r="AV479" s="4"/>
      <c r="BA479" s="4"/>
    </row>
    <row r="480" spans="8:53" s="1" customFormat="1" ht="53.45" customHeight="1">
      <c r="H480" s="4"/>
      <c r="M480" s="4"/>
      <c r="R480" s="4"/>
      <c r="W480" s="4"/>
      <c r="AB480" s="4"/>
      <c r="AG480" s="4"/>
      <c r="AL480" s="4"/>
      <c r="AQ480" s="4"/>
      <c r="AV480" s="4"/>
      <c r="BA480" s="4"/>
    </row>
    <row r="481" spans="8:53" s="1" customFormat="1" ht="53.45" customHeight="1">
      <c r="H481" s="4"/>
      <c r="M481" s="4"/>
      <c r="R481" s="4"/>
      <c r="W481" s="4"/>
      <c r="AB481" s="4"/>
      <c r="AG481" s="4"/>
      <c r="AL481" s="4"/>
      <c r="AQ481" s="4"/>
      <c r="AV481" s="4"/>
      <c r="BA481" s="4"/>
    </row>
  </sheetData>
  <mergeCells count="23">
    <mergeCell ref="AE3:AF3"/>
    <mergeCell ref="H1:AF1"/>
    <mergeCell ref="H2:K2"/>
    <mergeCell ref="M2:P2"/>
    <mergeCell ref="R2:T2"/>
    <mergeCell ref="V2:X2"/>
    <mergeCell ref="Z2:AB2"/>
    <mergeCell ref="AE2:AF2"/>
    <mergeCell ref="H3:K3"/>
    <mergeCell ref="M3:P3"/>
    <mergeCell ref="R3:T3"/>
    <mergeCell ref="V3:X3"/>
    <mergeCell ref="Z3:AB3"/>
    <mergeCell ref="AL16:AL17"/>
    <mergeCell ref="AQ16:AQ17"/>
    <mergeCell ref="AV16:AV17"/>
    <mergeCell ref="BA16:BA17"/>
    <mergeCell ref="H16:H17"/>
    <mergeCell ref="M16:M17"/>
    <mergeCell ref="R16:R17"/>
    <mergeCell ref="W16:W17"/>
    <mergeCell ref="AB16:AB17"/>
    <mergeCell ref="AG16:AG17"/>
  </mergeCells>
  <printOptions horizontalCentered="1" verticalCentered="1"/>
  <pageMargins left="0" right="0" top="0" bottom="0" header="0" footer="0"/>
  <pageSetup paperSize="9" scale="2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481"/>
  <sheetViews>
    <sheetView view="pageBreakPreview" zoomScale="40" zoomScaleNormal="20" zoomScaleSheetLayoutView="40" workbookViewId="0">
      <selection activeCell="V4" sqref="V4"/>
    </sheetView>
  </sheetViews>
  <sheetFormatPr defaultRowHeight="15"/>
  <cols>
    <col min="1" max="1" width="2.42578125" customWidth="1"/>
    <col min="2" max="2" width="36.42578125" customWidth="1"/>
    <col min="4" max="4" width="8.85546875" customWidth="1"/>
    <col min="7" max="7" width="2.42578125" customWidth="1"/>
    <col min="8" max="8" width="6.5703125" style="15" bestFit="1" customWidth="1"/>
    <col min="9" max="9" width="60.7109375" customWidth="1"/>
    <col min="10" max="12" width="11.28515625" customWidth="1"/>
    <col min="13" max="13" width="6.5703125" style="15" bestFit="1" customWidth="1"/>
    <col min="14" max="14" width="60.7109375" customWidth="1"/>
    <col min="15" max="17" width="11.28515625" customWidth="1"/>
    <col min="18" max="18" width="6.5703125" style="15" bestFit="1" customWidth="1"/>
    <col min="19" max="19" width="60.7109375" customWidth="1"/>
    <col min="20" max="22" width="11.28515625" customWidth="1"/>
    <col min="23" max="23" width="6.5703125" style="15" bestFit="1" customWidth="1"/>
    <col min="24" max="24" width="60.7109375" customWidth="1"/>
    <col min="25" max="27" width="11.28515625" customWidth="1"/>
    <col min="28" max="28" width="6.5703125" style="15" bestFit="1" customWidth="1"/>
    <col min="29" max="29" width="60.7109375" customWidth="1"/>
    <col min="30" max="32" width="11.28515625" customWidth="1"/>
    <col min="33" max="33" width="6.5703125" style="15" bestFit="1" customWidth="1"/>
    <col min="34" max="34" width="60.7109375" customWidth="1"/>
    <col min="35" max="37" width="11.28515625" customWidth="1"/>
    <col min="38" max="38" width="5.7109375" style="15" customWidth="1"/>
    <col min="39" max="39" width="60.7109375" customWidth="1"/>
    <col min="40" max="42" width="11.28515625" customWidth="1"/>
    <col min="43" max="43" width="5.7109375" style="15" customWidth="1"/>
    <col min="44" max="44" width="60.7109375" customWidth="1"/>
    <col min="45" max="47" width="11.28515625" customWidth="1"/>
    <col min="48" max="48" width="5.7109375" style="15" customWidth="1"/>
    <col min="49" max="49" width="60.7109375" customWidth="1"/>
    <col min="50" max="52" width="11.28515625" customWidth="1"/>
    <col min="53" max="53" width="5.7109375" style="15" customWidth="1"/>
    <col min="54" max="54" width="60.7109375" customWidth="1"/>
    <col min="55" max="57" width="11.28515625" customWidth="1"/>
  </cols>
  <sheetData>
    <row r="1" spans="2:57" s="1" customFormat="1" ht="47.45" customHeight="1">
      <c r="C1" s="16"/>
      <c r="D1" s="16"/>
      <c r="E1" s="16"/>
      <c r="F1" s="16"/>
      <c r="G1" s="16"/>
      <c r="H1" s="46" t="str">
        <f>'YAMAZUMI цеха'!H1</f>
        <v>YAMAZUMI ""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</row>
    <row r="2" spans="2:57" s="1" customFormat="1" ht="51.6" customHeight="1">
      <c r="H2" s="47" t="s">
        <v>12</v>
      </c>
      <c r="I2" s="47"/>
      <c r="J2" s="47"/>
      <c r="K2" s="47"/>
      <c r="L2" s="2"/>
      <c r="M2" s="47" t="s">
        <v>6</v>
      </c>
      <c r="N2" s="47"/>
      <c r="O2" s="47"/>
      <c r="P2" s="47"/>
      <c r="Q2" s="2"/>
      <c r="R2" s="47" t="s">
        <v>7</v>
      </c>
      <c r="S2" s="47"/>
      <c r="T2" s="47"/>
      <c r="U2" s="2"/>
      <c r="V2" s="47" t="s">
        <v>0</v>
      </c>
      <c r="W2" s="47"/>
      <c r="X2" s="47"/>
      <c r="Y2" s="2"/>
      <c r="Z2" s="47" t="s">
        <v>13</v>
      </c>
      <c r="AA2" s="47"/>
      <c r="AB2" s="47"/>
      <c r="AC2" s="30">
        <f>MAX(E5:E14)*1.1</f>
        <v>0</v>
      </c>
      <c r="AE2" s="41" t="s">
        <v>30</v>
      </c>
      <c r="AF2" s="41"/>
      <c r="AG2" s="4"/>
      <c r="AL2" s="4"/>
      <c r="AQ2" s="4"/>
      <c r="AV2" s="4"/>
      <c r="BA2" s="4"/>
    </row>
    <row r="3" spans="2:57" s="1" customFormat="1" ht="51.6" customHeight="1">
      <c r="H3" s="47">
        <f>COUNTA(I18:I153,N18:N153,S18:S153,X18:X153,AC18:AC153)</f>
        <v>0</v>
      </c>
      <c r="I3" s="47"/>
      <c r="J3" s="47"/>
      <c r="K3" s="47"/>
      <c r="L3" s="2"/>
      <c r="M3" s="47">
        <f>COUNTA(I18,N18,S18,X18,AC18)</f>
        <v>0</v>
      </c>
      <c r="N3" s="47"/>
      <c r="O3" s="47"/>
      <c r="P3" s="47"/>
      <c r="Q3" s="2"/>
      <c r="R3" s="48">
        <f>'YAMAZUMI цеха'!R3</f>
        <v>0</v>
      </c>
      <c r="S3" s="47"/>
      <c r="T3" s="47"/>
      <c r="U3" s="2"/>
      <c r="V3" s="47"/>
      <c r="W3" s="47"/>
      <c r="X3" s="47"/>
      <c r="Y3" s="2"/>
      <c r="Z3" s="47" t="s">
        <v>8</v>
      </c>
      <c r="AA3" s="47"/>
      <c r="AB3" s="47"/>
      <c r="AC3" s="30">
        <f>MAX(E5:E14)</f>
        <v>0</v>
      </c>
      <c r="AE3" s="42" t="e">
        <f>26700/AC2</f>
        <v>#DIV/0!</v>
      </c>
      <c r="AF3" s="42"/>
      <c r="AG3" s="4"/>
      <c r="AL3" s="4"/>
      <c r="AQ3" s="4"/>
      <c r="AV3" s="4"/>
      <c r="BA3" s="4"/>
    </row>
    <row r="4" spans="2:57" s="1" customFormat="1" ht="81.599999999999994" customHeight="1">
      <c r="B4" s="28" t="s">
        <v>9</v>
      </c>
      <c r="C4" s="6" t="s">
        <v>2</v>
      </c>
      <c r="D4" s="6" t="s">
        <v>3</v>
      </c>
      <c r="E4" s="6" t="s">
        <v>10</v>
      </c>
      <c r="F4" s="6" t="s">
        <v>5</v>
      </c>
      <c r="H4" s="4"/>
      <c r="M4" s="4"/>
      <c r="R4" s="4"/>
      <c r="W4" s="4"/>
      <c r="AB4" s="4"/>
      <c r="AG4" s="4"/>
      <c r="AL4" s="4"/>
      <c r="AQ4" s="4"/>
      <c r="AV4" s="4"/>
      <c r="BA4" s="4"/>
    </row>
    <row r="5" spans="2:57" s="1" customFormat="1" ht="51.6" customHeight="1">
      <c r="B5" s="7" t="s">
        <v>20</v>
      </c>
      <c r="C5" s="30">
        <f>J17</f>
        <v>0</v>
      </c>
      <c r="D5" s="30">
        <f>K17</f>
        <v>0</v>
      </c>
      <c r="E5" s="30">
        <f>L17</f>
        <v>0</v>
      </c>
      <c r="F5" s="30">
        <f>AC2</f>
        <v>0</v>
      </c>
      <c r="H5" s="4"/>
      <c r="M5" s="4"/>
      <c r="R5" s="4"/>
      <c r="W5" s="4"/>
      <c r="AB5" s="4"/>
      <c r="AG5" s="4"/>
      <c r="AL5" s="4"/>
      <c r="AQ5" s="4"/>
      <c r="AV5" s="4"/>
      <c r="BA5" s="4"/>
    </row>
    <row r="6" spans="2:57" s="1" customFormat="1" ht="51.6" customHeight="1">
      <c r="B6" s="7" t="s">
        <v>21</v>
      </c>
      <c r="C6" s="30">
        <f>O17</f>
        <v>0</v>
      </c>
      <c r="D6" s="30">
        <f>P17</f>
        <v>0</v>
      </c>
      <c r="E6" s="30">
        <f>Q17</f>
        <v>0</v>
      </c>
      <c r="F6" s="30">
        <f>AC2</f>
        <v>0</v>
      </c>
      <c r="H6" s="4"/>
      <c r="M6" s="4"/>
      <c r="R6" s="4"/>
      <c r="W6" s="4"/>
      <c r="AB6" s="4"/>
      <c r="AG6" s="4"/>
      <c r="AL6" s="4"/>
      <c r="AQ6" s="4"/>
      <c r="AV6" s="4"/>
      <c r="BA6" s="4"/>
    </row>
    <row r="7" spans="2:57" s="1" customFormat="1" ht="51.6" customHeight="1">
      <c r="B7" s="7" t="s">
        <v>22</v>
      </c>
      <c r="C7" s="30">
        <f>T17</f>
        <v>0</v>
      </c>
      <c r="D7" s="30">
        <f>U17</f>
        <v>0</v>
      </c>
      <c r="E7" s="30">
        <f>V17</f>
        <v>0</v>
      </c>
      <c r="F7" s="30">
        <f>AC2</f>
        <v>0</v>
      </c>
      <c r="H7" s="4"/>
      <c r="M7" s="4"/>
      <c r="R7" s="4"/>
      <c r="W7" s="4"/>
      <c r="AB7" s="4"/>
      <c r="AG7" s="4"/>
      <c r="AL7" s="4"/>
      <c r="AQ7" s="4"/>
      <c r="AV7" s="4"/>
      <c r="BA7" s="4"/>
    </row>
    <row r="8" spans="2:57" s="1" customFormat="1" ht="51.6" customHeight="1">
      <c r="B8" s="7" t="s">
        <v>23</v>
      </c>
      <c r="C8" s="30">
        <f>Y17</f>
        <v>0</v>
      </c>
      <c r="D8" s="30">
        <f>Z17</f>
        <v>0</v>
      </c>
      <c r="E8" s="30">
        <f>AA17</f>
        <v>0</v>
      </c>
      <c r="F8" s="30">
        <f>AC2</f>
        <v>0</v>
      </c>
      <c r="H8" s="4"/>
      <c r="M8" s="4"/>
      <c r="R8" s="4"/>
      <c r="W8" s="4"/>
      <c r="AB8" s="4"/>
      <c r="AG8" s="4"/>
      <c r="AL8" s="4"/>
      <c r="AQ8" s="4"/>
      <c r="AV8" s="4"/>
      <c r="BA8" s="4"/>
    </row>
    <row r="9" spans="2:57" s="1" customFormat="1" ht="51.6" customHeight="1">
      <c r="B9" s="7" t="s">
        <v>24</v>
      </c>
      <c r="C9" s="30">
        <f>AD17</f>
        <v>0</v>
      </c>
      <c r="D9" s="30">
        <f>AE17</f>
        <v>0</v>
      </c>
      <c r="E9" s="30">
        <f>AF17</f>
        <v>0</v>
      </c>
      <c r="F9" s="30">
        <f>AC2</f>
        <v>0</v>
      </c>
      <c r="H9" s="4"/>
      <c r="M9" s="4"/>
      <c r="R9" s="4"/>
      <c r="W9" s="4"/>
      <c r="AB9" s="4"/>
      <c r="AG9" s="4"/>
      <c r="AL9" s="4"/>
      <c r="AQ9" s="4"/>
      <c r="AV9" s="4"/>
      <c r="BA9" s="4"/>
    </row>
    <row r="10" spans="2:57" s="1" customFormat="1" ht="51.6" customHeight="1">
      <c r="B10" s="7" t="s">
        <v>25</v>
      </c>
      <c r="C10" s="30">
        <f>AI17</f>
        <v>0</v>
      </c>
      <c r="D10" s="30">
        <f>AJ17</f>
        <v>0</v>
      </c>
      <c r="E10" s="30">
        <f>AK17</f>
        <v>0</v>
      </c>
      <c r="F10" s="30">
        <f>AC2</f>
        <v>0</v>
      </c>
      <c r="H10" s="4"/>
      <c r="M10" s="4"/>
      <c r="R10" s="4"/>
      <c r="W10" s="4"/>
      <c r="AB10" s="4"/>
      <c r="AG10" s="4"/>
      <c r="AL10" s="4"/>
      <c r="AQ10" s="4"/>
      <c r="AV10" s="4"/>
      <c r="BA10" s="4"/>
    </row>
    <row r="11" spans="2:57" s="1" customFormat="1" ht="51.6" customHeight="1">
      <c r="B11" s="7" t="s">
        <v>26</v>
      </c>
      <c r="C11" s="30">
        <f>AN17</f>
        <v>0</v>
      </c>
      <c r="D11" s="30">
        <f>AO17</f>
        <v>0</v>
      </c>
      <c r="E11" s="30">
        <f>AP17</f>
        <v>0</v>
      </c>
      <c r="F11" s="30">
        <f>AC2</f>
        <v>0</v>
      </c>
      <c r="H11" s="4"/>
      <c r="M11" s="4"/>
      <c r="R11" s="4"/>
      <c r="W11" s="4"/>
      <c r="AB11" s="4"/>
      <c r="AG11" s="4"/>
      <c r="AL11" s="4"/>
      <c r="AQ11" s="4"/>
      <c r="AV11" s="4"/>
      <c r="BA11" s="4"/>
    </row>
    <row r="12" spans="2:57" s="1" customFormat="1" ht="51.6" customHeight="1">
      <c r="B12" s="7" t="s">
        <v>27</v>
      </c>
      <c r="C12" s="30">
        <f>AS17</f>
        <v>0</v>
      </c>
      <c r="D12" s="30">
        <f>AT17</f>
        <v>0</v>
      </c>
      <c r="E12" s="30">
        <f>AU17</f>
        <v>0</v>
      </c>
      <c r="F12" s="30">
        <f>AC2</f>
        <v>0</v>
      </c>
      <c r="H12" s="4"/>
      <c r="M12" s="4"/>
      <c r="R12" s="4"/>
      <c r="W12" s="4"/>
      <c r="AB12" s="4"/>
      <c r="AG12" s="4"/>
      <c r="AL12" s="4"/>
      <c r="AQ12" s="4"/>
      <c r="AV12" s="4"/>
      <c r="BA12" s="4"/>
    </row>
    <row r="13" spans="2:57" s="1" customFormat="1" ht="51.6" customHeight="1">
      <c r="B13" s="7" t="s">
        <v>28</v>
      </c>
      <c r="C13" s="30">
        <f>AX17</f>
        <v>0</v>
      </c>
      <c r="D13" s="30">
        <f>AY17</f>
        <v>0</v>
      </c>
      <c r="E13" s="30">
        <f>AZ17</f>
        <v>0</v>
      </c>
      <c r="F13" s="30">
        <f>AC2</f>
        <v>0</v>
      </c>
      <c r="H13" s="4"/>
      <c r="M13" s="4"/>
      <c r="R13" s="4"/>
      <c r="W13" s="4"/>
      <c r="AB13" s="4"/>
      <c r="AG13" s="4"/>
      <c r="AL13" s="4"/>
      <c r="AQ13" s="4"/>
      <c r="AV13" s="4"/>
      <c r="BA13" s="4"/>
    </row>
    <row r="14" spans="2:57" s="1" customFormat="1" ht="51.6" customHeight="1">
      <c r="B14" s="7" t="s">
        <v>29</v>
      </c>
      <c r="C14" s="30">
        <f>BC17</f>
        <v>0</v>
      </c>
      <c r="D14" s="30">
        <f>BD17</f>
        <v>0</v>
      </c>
      <c r="E14" s="30">
        <f>BE17</f>
        <v>0</v>
      </c>
      <c r="F14" s="30">
        <f>AC2</f>
        <v>0</v>
      </c>
      <c r="H14" s="4"/>
      <c r="M14" s="4"/>
      <c r="R14" s="4"/>
      <c r="W14" s="4"/>
      <c r="AB14" s="4"/>
      <c r="AG14" s="4"/>
      <c r="AL14" s="4"/>
      <c r="AQ14" s="4"/>
      <c r="AV14" s="4"/>
      <c r="BA14" s="4"/>
    </row>
    <row r="15" spans="2:57" s="1" customFormat="1" ht="15.75">
      <c r="H15" s="4"/>
      <c r="M15" s="4"/>
      <c r="R15" s="4"/>
      <c r="W15" s="4"/>
      <c r="AB15" s="4"/>
      <c r="AG15" s="4"/>
      <c r="AL15" s="4"/>
      <c r="AQ15" s="4"/>
      <c r="AV15" s="4"/>
      <c r="BA15" s="4"/>
    </row>
    <row r="16" spans="2:57" s="2" customFormat="1" ht="94.15" customHeight="1">
      <c r="H16" s="43" t="s">
        <v>1</v>
      </c>
      <c r="I16" s="30" t="s">
        <v>20</v>
      </c>
      <c r="J16" s="8" t="s">
        <v>2</v>
      </c>
      <c r="K16" s="8" t="s">
        <v>3</v>
      </c>
      <c r="L16" s="8" t="s">
        <v>10</v>
      </c>
      <c r="M16" s="43" t="s">
        <v>1</v>
      </c>
      <c r="N16" s="30" t="s">
        <v>21</v>
      </c>
      <c r="O16" s="8" t="s">
        <v>2</v>
      </c>
      <c r="P16" s="8" t="s">
        <v>3</v>
      </c>
      <c r="Q16" s="8" t="s">
        <v>10</v>
      </c>
      <c r="R16" s="43" t="s">
        <v>1</v>
      </c>
      <c r="S16" s="30" t="s">
        <v>22</v>
      </c>
      <c r="T16" s="8" t="s">
        <v>2</v>
      </c>
      <c r="U16" s="8" t="s">
        <v>3</v>
      </c>
      <c r="V16" s="8" t="s">
        <v>10</v>
      </c>
      <c r="W16" s="43" t="s">
        <v>1</v>
      </c>
      <c r="X16" s="30" t="s">
        <v>23</v>
      </c>
      <c r="Y16" s="8" t="s">
        <v>2</v>
      </c>
      <c r="Z16" s="8" t="s">
        <v>3</v>
      </c>
      <c r="AA16" s="8" t="s">
        <v>10</v>
      </c>
      <c r="AB16" s="43" t="s">
        <v>1</v>
      </c>
      <c r="AC16" s="30" t="s">
        <v>24</v>
      </c>
      <c r="AD16" s="8" t="s">
        <v>2</v>
      </c>
      <c r="AE16" s="8" t="s">
        <v>3</v>
      </c>
      <c r="AF16" s="8" t="s">
        <v>10</v>
      </c>
      <c r="AG16" s="43" t="s">
        <v>1</v>
      </c>
      <c r="AH16" s="30" t="s">
        <v>25</v>
      </c>
      <c r="AI16" s="8" t="s">
        <v>2</v>
      </c>
      <c r="AJ16" s="8" t="s">
        <v>3</v>
      </c>
      <c r="AK16" s="8" t="s">
        <v>10</v>
      </c>
      <c r="AL16" s="43" t="s">
        <v>1</v>
      </c>
      <c r="AM16" s="30" t="s">
        <v>26</v>
      </c>
      <c r="AN16" s="8" t="s">
        <v>2</v>
      </c>
      <c r="AO16" s="8" t="s">
        <v>3</v>
      </c>
      <c r="AP16" s="8" t="s">
        <v>10</v>
      </c>
      <c r="AQ16" s="43" t="s">
        <v>1</v>
      </c>
      <c r="AR16" s="30" t="s">
        <v>27</v>
      </c>
      <c r="AS16" s="8" t="s">
        <v>2</v>
      </c>
      <c r="AT16" s="8" t="s">
        <v>3</v>
      </c>
      <c r="AU16" s="8" t="s">
        <v>10</v>
      </c>
      <c r="AV16" s="43" t="s">
        <v>1</v>
      </c>
      <c r="AW16" s="30" t="s">
        <v>28</v>
      </c>
      <c r="AX16" s="8" t="s">
        <v>2</v>
      </c>
      <c r="AY16" s="8" t="s">
        <v>3</v>
      </c>
      <c r="AZ16" s="8" t="s">
        <v>10</v>
      </c>
      <c r="BA16" s="43" t="s">
        <v>1</v>
      </c>
      <c r="BB16" s="30" t="s">
        <v>29</v>
      </c>
      <c r="BC16" s="8" t="s">
        <v>2</v>
      </c>
      <c r="BD16" s="8" t="s">
        <v>3</v>
      </c>
      <c r="BE16" s="8" t="s">
        <v>10</v>
      </c>
    </row>
    <row r="17" spans="1:57" s="2" customFormat="1" ht="63.6" customHeight="1">
      <c r="H17" s="43"/>
      <c r="I17" s="28" t="s">
        <v>4</v>
      </c>
      <c r="J17" s="9">
        <f>SUM(J18:J73)</f>
        <v>0</v>
      </c>
      <c r="K17" s="9">
        <f>SUM(K18:K73)</f>
        <v>0</v>
      </c>
      <c r="L17" s="9">
        <f>SUM(L18:L73)</f>
        <v>0</v>
      </c>
      <c r="M17" s="43"/>
      <c r="N17" s="28" t="s">
        <v>4</v>
      </c>
      <c r="O17" s="9">
        <f>SUM(O18:O73)</f>
        <v>0</v>
      </c>
      <c r="P17" s="9">
        <f>SUM(P18:P73)</f>
        <v>0</v>
      </c>
      <c r="Q17" s="9">
        <f>SUM(Q18:Q73)</f>
        <v>0</v>
      </c>
      <c r="R17" s="43"/>
      <c r="S17" s="28" t="s">
        <v>4</v>
      </c>
      <c r="T17" s="9">
        <f>SUM(T18:T73)</f>
        <v>0</v>
      </c>
      <c r="U17" s="9">
        <f>SUM(U18:U73)</f>
        <v>0</v>
      </c>
      <c r="V17" s="9">
        <f>SUM(V18:V73)</f>
        <v>0</v>
      </c>
      <c r="W17" s="43"/>
      <c r="X17" s="28" t="s">
        <v>4</v>
      </c>
      <c r="Y17" s="9">
        <f>SUM(Y18:Y73)</f>
        <v>0</v>
      </c>
      <c r="Z17" s="9">
        <f>SUM(Z18:Z73)</f>
        <v>0</v>
      </c>
      <c r="AA17" s="9">
        <f>SUM(AA18:AA73)</f>
        <v>0</v>
      </c>
      <c r="AB17" s="43"/>
      <c r="AC17" s="28" t="s">
        <v>4</v>
      </c>
      <c r="AD17" s="9">
        <f>SUM(AD18:AD73)</f>
        <v>0</v>
      </c>
      <c r="AE17" s="9">
        <f>SUM(AE18:AE73)</f>
        <v>0</v>
      </c>
      <c r="AF17" s="9">
        <f>SUM(AF18:AF73)</f>
        <v>0</v>
      </c>
      <c r="AG17" s="43"/>
      <c r="AH17" s="28" t="s">
        <v>4</v>
      </c>
      <c r="AI17" s="9">
        <f>SUM(AI18:AI73)</f>
        <v>0</v>
      </c>
      <c r="AJ17" s="9">
        <f>SUM(AJ18:AJ73)</f>
        <v>0</v>
      </c>
      <c r="AK17" s="9">
        <f>SUM(AK18:AK73)</f>
        <v>0</v>
      </c>
      <c r="AL17" s="43"/>
      <c r="AM17" s="28" t="s">
        <v>4</v>
      </c>
      <c r="AN17" s="9">
        <f>SUM(AN18:AN73)</f>
        <v>0</v>
      </c>
      <c r="AO17" s="9">
        <f>SUM(AO18:AO73)</f>
        <v>0</v>
      </c>
      <c r="AP17" s="9">
        <f>SUM(AP18:AP73)</f>
        <v>0</v>
      </c>
      <c r="AQ17" s="43"/>
      <c r="AR17" s="28" t="s">
        <v>4</v>
      </c>
      <c r="AS17" s="9">
        <f>SUM(AS18:AS73)</f>
        <v>0</v>
      </c>
      <c r="AT17" s="9">
        <f>SUM(AT18:AT73)</f>
        <v>0</v>
      </c>
      <c r="AU17" s="9">
        <f>SUM(AU18:AU73)</f>
        <v>0</v>
      </c>
      <c r="AV17" s="43"/>
      <c r="AW17" s="28" t="s">
        <v>4</v>
      </c>
      <c r="AX17" s="9">
        <f>SUM(AX18:AX73)</f>
        <v>0</v>
      </c>
      <c r="AY17" s="9">
        <f>SUM(AY18:AY73)</f>
        <v>0</v>
      </c>
      <c r="AZ17" s="9">
        <f>SUM(AZ18:AZ73)</f>
        <v>0</v>
      </c>
      <c r="BA17" s="43"/>
      <c r="BB17" s="28" t="s">
        <v>4</v>
      </c>
      <c r="BC17" s="9">
        <f>SUM(BC18:BC73)</f>
        <v>0</v>
      </c>
      <c r="BD17" s="9">
        <f>SUM(BD18:BD73)</f>
        <v>0</v>
      </c>
      <c r="BE17" s="9">
        <f>SUM(BE18:BE73)</f>
        <v>0</v>
      </c>
    </row>
    <row r="18" spans="1:57" s="2" customFormat="1" ht="90" customHeight="1">
      <c r="H18" s="29">
        <v>1</v>
      </c>
      <c r="I18" s="11"/>
      <c r="J18" s="12"/>
      <c r="K18" s="12"/>
      <c r="L18" s="12">
        <f>SUM(J18:K18)</f>
        <v>0</v>
      </c>
      <c r="M18" s="29">
        <v>1</v>
      </c>
      <c r="N18" s="11"/>
      <c r="O18" s="12"/>
      <c r="P18" s="12"/>
      <c r="Q18" s="12">
        <f>SUM(O18:P18)</f>
        <v>0</v>
      </c>
      <c r="R18" s="29">
        <v>1</v>
      </c>
      <c r="S18" s="13"/>
      <c r="T18" s="14"/>
      <c r="U18" s="14"/>
      <c r="V18" s="12">
        <f>SUM(T18:U18)</f>
        <v>0</v>
      </c>
      <c r="W18" s="29">
        <v>1</v>
      </c>
      <c r="X18" s="13"/>
      <c r="Y18" s="14"/>
      <c r="Z18" s="14"/>
      <c r="AA18" s="12">
        <f>SUM(Y18:Z18)</f>
        <v>0</v>
      </c>
      <c r="AB18" s="29">
        <v>1</v>
      </c>
      <c r="AC18" s="11"/>
      <c r="AD18" s="12"/>
      <c r="AE18" s="12"/>
      <c r="AF18" s="12">
        <f>SUM(AD18:AE18)</f>
        <v>0</v>
      </c>
      <c r="AG18" s="29">
        <v>1</v>
      </c>
      <c r="AH18" s="11"/>
      <c r="AI18" s="12"/>
      <c r="AJ18" s="12"/>
      <c r="AK18" s="12">
        <f>SUM(AI18:AJ18)</f>
        <v>0</v>
      </c>
      <c r="AL18" s="29">
        <v>1</v>
      </c>
      <c r="AM18" s="11"/>
      <c r="AN18" s="12"/>
      <c r="AO18" s="12"/>
      <c r="AP18" s="12">
        <f>SUM(AN18:AO18)</f>
        <v>0</v>
      </c>
      <c r="AQ18" s="29">
        <v>1</v>
      </c>
      <c r="AR18" s="11"/>
      <c r="AS18" s="12"/>
      <c r="AT18" s="12"/>
      <c r="AU18" s="12">
        <f>SUM(AS18:AT18)</f>
        <v>0</v>
      </c>
      <c r="AV18" s="29">
        <v>1</v>
      </c>
      <c r="AW18" s="11"/>
      <c r="AX18" s="12"/>
      <c r="AY18" s="12"/>
      <c r="AZ18" s="12">
        <f>SUM(AX18:AY18)</f>
        <v>0</v>
      </c>
      <c r="BA18" s="29">
        <v>1</v>
      </c>
      <c r="BB18" s="11"/>
      <c r="BC18" s="12"/>
      <c r="BD18" s="12"/>
      <c r="BE18" s="12">
        <f>SUM(BC18:BD18)</f>
        <v>0</v>
      </c>
    </row>
    <row r="19" spans="1:57" s="2" customFormat="1" ht="90" customHeight="1">
      <c r="H19" s="28">
        <v>2</v>
      </c>
      <c r="I19" s="13"/>
      <c r="J19" s="14"/>
      <c r="K19" s="14"/>
      <c r="L19" s="14">
        <f t="shared" ref="L19:L73" si="0">SUM(J19:K19)</f>
        <v>0</v>
      </c>
      <c r="M19" s="28">
        <v>2</v>
      </c>
      <c r="N19" s="13"/>
      <c r="O19" s="14"/>
      <c r="P19" s="14"/>
      <c r="Q19" s="14">
        <f t="shared" ref="Q19:Q73" si="1">SUM(O19:P19)</f>
        <v>0</v>
      </c>
      <c r="R19" s="28">
        <v>2</v>
      </c>
      <c r="S19" s="11"/>
      <c r="T19" s="12"/>
      <c r="U19" s="12"/>
      <c r="V19" s="14">
        <f t="shared" ref="V19:V73" si="2">SUM(T19:U19)</f>
        <v>0</v>
      </c>
      <c r="W19" s="28">
        <v>2</v>
      </c>
      <c r="X19" s="11"/>
      <c r="Y19" s="12"/>
      <c r="Z19" s="12"/>
      <c r="AA19" s="14">
        <f t="shared" ref="AA19:AA73" si="3">SUM(Y19:Z19)</f>
        <v>0</v>
      </c>
      <c r="AB19" s="28">
        <v>2</v>
      </c>
      <c r="AC19" s="13"/>
      <c r="AD19" s="14"/>
      <c r="AE19" s="14"/>
      <c r="AF19" s="14">
        <f t="shared" ref="AF19:AF73" si="4">SUM(AD19:AE19)</f>
        <v>0</v>
      </c>
      <c r="AG19" s="28">
        <v>2</v>
      </c>
      <c r="AH19" s="13"/>
      <c r="AI19" s="14"/>
      <c r="AJ19" s="14"/>
      <c r="AK19" s="14">
        <f t="shared" ref="AK19:AK73" si="5">SUM(AI19:AJ19)</f>
        <v>0</v>
      </c>
      <c r="AL19" s="28">
        <v>2</v>
      </c>
      <c r="AM19" s="13"/>
      <c r="AN19" s="14"/>
      <c r="AO19" s="14"/>
      <c r="AP19" s="14">
        <f t="shared" ref="AP19:AP73" si="6">SUM(AN19:AO19)</f>
        <v>0</v>
      </c>
      <c r="AQ19" s="28">
        <v>2</v>
      </c>
      <c r="AR19" s="13"/>
      <c r="AS19" s="14"/>
      <c r="AT19" s="14"/>
      <c r="AU19" s="14">
        <f t="shared" ref="AU19:AU73" si="7">SUM(AS19:AT19)</f>
        <v>0</v>
      </c>
      <c r="AV19" s="28">
        <v>2</v>
      </c>
      <c r="AW19" s="13"/>
      <c r="AX19" s="14"/>
      <c r="AY19" s="14"/>
      <c r="AZ19" s="14">
        <f t="shared" ref="AZ19:AZ73" si="8">SUM(AX19:AY19)</f>
        <v>0</v>
      </c>
      <c r="BA19" s="28">
        <v>2</v>
      </c>
      <c r="BB19" s="13"/>
      <c r="BC19" s="14"/>
      <c r="BD19" s="14"/>
      <c r="BE19" s="14">
        <f t="shared" ref="BE19:BE73" si="9">SUM(BC19:BD19)</f>
        <v>0</v>
      </c>
    </row>
    <row r="20" spans="1:57" s="2" customFormat="1" ht="90" customHeight="1">
      <c r="A20" s="18"/>
      <c r="H20" s="28">
        <v>3</v>
      </c>
      <c r="I20" s="13"/>
      <c r="J20" s="14"/>
      <c r="K20" s="14"/>
      <c r="L20" s="14">
        <f t="shared" si="0"/>
        <v>0</v>
      </c>
      <c r="M20" s="28">
        <v>3</v>
      </c>
      <c r="N20" s="13"/>
      <c r="O20" s="14"/>
      <c r="P20" s="14"/>
      <c r="Q20" s="14">
        <f t="shared" si="1"/>
        <v>0</v>
      </c>
      <c r="R20" s="28">
        <v>3</v>
      </c>
      <c r="S20" s="13"/>
      <c r="T20" s="14"/>
      <c r="U20" s="14"/>
      <c r="V20" s="14">
        <f t="shared" si="2"/>
        <v>0</v>
      </c>
      <c r="W20" s="28">
        <v>3</v>
      </c>
      <c r="X20" s="13"/>
      <c r="Y20" s="14"/>
      <c r="Z20" s="14"/>
      <c r="AA20" s="14">
        <f t="shared" si="3"/>
        <v>0</v>
      </c>
      <c r="AB20" s="28">
        <v>3</v>
      </c>
      <c r="AC20" s="13"/>
      <c r="AD20" s="14"/>
      <c r="AE20" s="14"/>
      <c r="AF20" s="14">
        <f t="shared" si="4"/>
        <v>0</v>
      </c>
      <c r="AG20" s="28">
        <v>3</v>
      </c>
      <c r="AH20" s="13"/>
      <c r="AI20" s="14"/>
      <c r="AJ20" s="14"/>
      <c r="AK20" s="14">
        <f t="shared" si="5"/>
        <v>0</v>
      </c>
      <c r="AL20" s="28">
        <v>3</v>
      </c>
      <c r="AM20" s="13"/>
      <c r="AN20" s="14"/>
      <c r="AO20" s="14"/>
      <c r="AP20" s="14">
        <f t="shared" si="6"/>
        <v>0</v>
      </c>
      <c r="AQ20" s="28">
        <v>3</v>
      </c>
      <c r="AR20" s="13"/>
      <c r="AS20" s="14"/>
      <c r="AT20" s="14"/>
      <c r="AU20" s="14">
        <f t="shared" si="7"/>
        <v>0</v>
      </c>
      <c r="AV20" s="28">
        <v>3</v>
      </c>
      <c r="AW20" s="13"/>
      <c r="AX20" s="14"/>
      <c r="AY20" s="14"/>
      <c r="AZ20" s="14">
        <f t="shared" si="8"/>
        <v>0</v>
      </c>
      <c r="BA20" s="28">
        <v>3</v>
      </c>
      <c r="BB20" s="13"/>
      <c r="BC20" s="14"/>
      <c r="BD20" s="14"/>
      <c r="BE20" s="14">
        <f t="shared" si="9"/>
        <v>0</v>
      </c>
    </row>
    <row r="21" spans="1:57" s="2" customFormat="1" ht="90" customHeight="1">
      <c r="H21" s="28">
        <v>4</v>
      </c>
      <c r="I21" s="13"/>
      <c r="J21" s="14"/>
      <c r="K21" s="14"/>
      <c r="L21" s="14">
        <f t="shared" si="0"/>
        <v>0</v>
      </c>
      <c r="M21" s="28">
        <v>4</v>
      </c>
      <c r="N21" s="13"/>
      <c r="O21" s="14"/>
      <c r="P21" s="14"/>
      <c r="Q21" s="14">
        <f t="shared" si="1"/>
        <v>0</v>
      </c>
      <c r="R21" s="28">
        <v>4</v>
      </c>
      <c r="S21" s="13"/>
      <c r="T21" s="14"/>
      <c r="U21" s="14"/>
      <c r="V21" s="14">
        <f t="shared" si="2"/>
        <v>0</v>
      </c>
      <c r="W21" s="28">
        <v>4</v>
      </c>
      <c r="X21" s="13"/>
      <c r="Y21" s="14"/>
      <c r="Z21" s="14"/>
      <c r="AA21" s="14">
        <f t="shared" si="3"/>
        <v>0</v>
      </c>
      <c r="AB21" s="28">
        <v>4</v>
      </c>
      <c r="AC21" s="13"/>
      <c r="AD21" s="14"/>
      <c r="AE21" s="14"/>
      <c r="AF21" s="14">
        <f t="shared" si="4"/>
        <v>0</v>
      </c>
      <c r="AG21" s="28">
        <v>4</v>
      </c>
      <c r="AH21" s="13"/>
      <c r="AI21" s="14"/>
      <c r="AJ21" s="14"/>
      <c r="AK21" s="14">
        <f t="shared" si="5"/>
        <v>0</v>
      </c>
      <c r="AL21" s="28">
        <v>4</v>
      </c>
      <c r="AM21" s="13"/>
      <c r="AN21" s="14"/>
      <c r="AO21" s="14"/>
      <c r="AP21" s="14">
        <f t="shared" si="6"/>
        <v>0</v>
      </c>
      <c r="AQ21" s="28">
        <v>4</v>
      </c>
      <c r="AR21" s="13"/>
      <c r="AS21" s="14"/>
      <c r="AT21" s="14"/>
      <c r="AU21" s="14">
        <f t="shared" si="7"/>
        <v>0</v>
      </c>
      <c r="AV21" s="28">
        <v>4</v>
      </c>
      <c r="AW21" s="13"/>
      <c r="AX21" s="14"/>
      <c r="AY21" s="14"/>
      <c r="AZ21" s="14">
        <f t="shared" si="8"/>
        <v>0</v>
      </c>
      <c r="BA21" s="28">
        <v>4</v>
      </c>
      <c r="BB21" s="13"/>
      <c r="BC21" s="14"/>
      <c r="BD21" s="14"/>
      <c r="BE21" s="14">
        <f t="shared" si="9"/>
        <v>0</v>
      </c>
    </row>
    <row r="22" spans="1:57" s="2" customFormat="1" ht="90" customHeight="1">
      <c r="H22" s="28">
        <v>5</v>
      </c>
      <c r="I22" s="13"/>
      <c r="J22" s="14"/>
      <c r="K22" s="14"/>
      <c r="L22" s="14">
        <f t="shared" si="0"/>
        <v>0</v>
      </c>
      <c r="M22" s="28">
        <v>5</v>
      </c>
      <c r="N22" s="13"/>
      <c r="O22" s="14"/>
      <c r="P22" s="14"/>
      <c r="Q22" s="14">
        <f t="shared" si="1"/>
        <v>0</v>
      </c>
      <c r="R22" s="28">
        <v>5</v>
      </c>
      <c r="S22" s="26"/>
      <c r="T22" s="14"/>
      <c r="U22" s="14"/>
      <c r="V22" s="14">
        <f t="shared" si="2"/>
        <v>0</v>
      </c>
      <c r="W22" s="28">
        <v>5</v>
      </c>
      <c r="X22" s="13"/>
      <c r="Y22" s="14"/>
      <c r="Z22" s="14"/>
      <c r="AA22" s="14">
        <f t="shared" si="3"/>
        <v>0</v>
      </c>
      <c r="AB22" s="28">
        <v>5</v>
      </c>
      <c r="AC22" s="13"/>
      <c r="AD22" s="14"/>
      <c r="AE22" s="14"/>
      <c r="AF22" s="14">
        <f t="shared" si="4"/>
        <v>0</v>
      </c>
      <c r="AG22" s="28">
        <v>5</v>
      </c>
      <c r="AH22" s="13"/>
      <c r="AI22" s="14"/>
      <c r="AJ22" s="14"/>
      <c r="AK22" s="14">
        <f t="shared" si="5"/>
        <v>0</v>
      </c>
      <c r="AL22" s="28">
        <v>5</v>
      </c>
      <c r="AM22" s="13"/>
      <c r="AN22" s="14"/>
      <c r="AO22" s="14"/>
      <c r="AP22" s="14">
        <f t="shared" si="6"/>
        <v>0</v>
      </c>
      <c r="AQ22" s="28">
        <v>5</v>
      </c>
      <c r="AR22" s="13"/>
      <c r="AS22" s="14"/>
      <c r="AT22" s="14"/>
      <c r="AU22" s="14">
        <f t="shared" si="7"/>
        <v>0</v>
      </c>
      <c r="AV22" s="28">
        <v>5</v>
      </c>
      <c r="AW22" s="13"/>
      <c r="AX22" s="14"/>
      <c r="AY22" s="14"/>
      <c r="AZ22" s="14">
        <f t="shared" si="8"/>
        <v>0</v>
      </c>
      <c r="BA22" s="28">
        <v>5</v>
      </c>
      <c r="BB22" s="13"/>
      <c r="BC22" s="14"/>
      <c r="BD22" s="14"/>
      <c r="BE22" s="14">
        <f t="shared" si="9"/>
        <v>0</v>
      </c>
    </row>
    <row r="23" spans="1:57" s="2" customFormat="1" ht="90" customHeight="1">
      <c r="H23" s="28">
        <v>6</v>
      </c>
      <c r="I23" s="13"/>
      <c r="J23" s="14"/>
      <c r="K23" s="14"/>
      <c r="L23" s="14">
        <f t="shared" si="0"/>
        <v>0</v>
      </c>
      <c r="M23" s="28">
        <v>6</v>
      </c>
      <c r="N23" s="13"/>
      <c r="O23" s="14"/>
      <c r="P23" s="14"/>
      <c r="Q23" s="14">
        <f t="shared" si="1"/>
        <v>0</v>
      </c>
      <c r="R23" s="28">
        <v>6</v>
      </c>
      <c r="S23" s="13"/>
      <c r="T23" s="14"/>
      <c r="U23" s="14"/>
      <c r="V23" s="14">
        <f t="shared" si="2"/>
        <v>0</v>
      </c>
      <c r="W23" s="28">
        <v>6</v>
      </c>
      <c r="X23" s="13"/>
      <c r="Y23" s="14"/>
      <c r="Z23" s="14"/>
      <c r="AA23" s="14">
        <f t="shared" si="3"/>
        <v>0</v>
      </c>
      <c r="AB23" s="28">
        <v>6</v>
      </c>
      <c r="AC23" s="13"/>
      <c r="AD23" s="14"/>
      <c r="AE23" s="14"/>
      <c r="AF23" s="14">
        <f t="shared" si="4"/>
        <v>0</v>
      </c>
      <c r="AG23" s="28">
        <v>6</v>
      </c>
      <c r="AH23" s="13"/>
      <c r="AI23" s="14"/>
      <c r="AJ23" s="14"/>
      <c r="AK23" s="14">
        <f t="shared" si="5"/>
        <v>0</v>
      </c>
      <c r="AL23" s="28">
        <v>6</v>
      </c>
      <c r="AM23" s="13"/>
      <c r="AN23" s="14"/>
      <c r="AO23" s="14"/>
      <c r="AP23" s="14">
        <f t="shared" si="6"/>
        <v>0</v>
      </c>
      <c r="AQ23" s="28">
        <v>6</v>
      </c>
      <c r="AR23" s="13"/>
      <c r="AS23" s="14"/>
      <c r="AT23" s="14"/>
      <c r="AU23" s="14">
        <f t="shared" si="7"/>
        <v>0</v>
      </c>
      <c r="AV23" s="28">
        <v>6</v>
      </c>
      <c r="AW23" s="13"/>
      <c r="AX23" s="14"/>
      <c r="AY23" s="14"/>
      <c r="AZ23" s="14">
        <f t="shared" si="8"/>
        <v>0</v>
      </c>
      <c r="BA23" s="28">
        <v>6</v>
      </c>
      <c r="BB23" s="13"/>
      <c r="BC23" s="14"/>
      <c r="BD23" s="14"/>
      <c r="BE23" s="14">
        <f t="shared" si="9"/>
        <v>0</v>
      </c>
    </row>
    <row r="24" spans="1:57" s="2" customFormat="1" ht="90" customHeight="1">
      <c r="H24" s="28">
        <v>7</v>
      </c>
      <c r="I24" s="11"/>
      <c r="J24" s="12"/>
      <c r="K24" s="12"/>
      <c r="L24" s="14">
        <f t="shared" si="0"/>
        <v>0</v>
      </c>
      <c r="M24" s="28">
        <v>7</v>
      </c>
      <c r="N24" s="13"/>
      <c r="O24" s="14"/>
      <c r="P24" s="14"/>
      <c r="Q24" s="14">
        <f t="shared" si="1"/>
        <v>0</v>
      </c>
      <c r="R24" s="28">
        <v>7</v>
      </c>
      <c r="S24" s="13"/>
      <c r="T24" s="14"/>
      <c r="U24" s="14"/>
      <c r="V24" s="14">
        <f t="shared" si="2"/>
        <v>0</v>
      </c>
      <c r="W24" s="28">
        <v>7</v>
      </c>
      <c r="X24" s="13"/>
      <c r="Y24" s="14"/>
      <c r="Z24" s="14"/>
      <c r="AA24" s="14">
        <f t="shared" si="3"/>
        <v>0</v>
      </c>
      <c r="AB24" s="28">
        <v>7</v>
      </c>
      <c r="AC24" s="13"/>
      <c r="AD24" s="14"/>
      <c r="AE24" s="14"/>
      <c r="AF24" s="14">
        <f t="shared" si="4"/>
        <v>0</v>
      </c>
      <c r="AG24" s="28">
        <v>7</v>
      </c>
      <c r="AH24" s="13"/>
      <c r="AI24" s="14"/>
      <c r="AJ24" s="14"/>
      <c r="AK24" s="14">
        <f t="shared" si="5"/>
        <v>0</v>
      </c>
      <c r="AL24" s="28">
        <v>7</v>
      </c>
      <c r="AM24" s="13"/>
      <c r="AN24" s="14"/>
      <c r="AO24" s="14"/>
      <c r="AP24" s="14">
        <f t="shared" si="6"/>
        <v>0</v>
      </c>
      <c r="AQ24" s="28">
        <v>7</v>
      </c>
      <c r="AR24" s="13"/>
      <c r="AS24" s="14"/>
      <c r="AT24" s="14"/>
      <c r="AU24" s="14">
        <f t="shared" si="7"/>
        <v>0</v>
      </c>
      <c r="AV24" s="28">
        <v>7</v>
      </c>
      <c r="AW24" s="13"/>
      <c r="AX24" s="14"/>
      <c r="AY24" s="14"/>
      <c r="AZ24" s="14">
        <f t="shared" si="8"/>
        <v>0</v>
      </c>
      <c r="BA24" s="28">
        <v>7</v>
      </c>
      <c r="BB24" s="13"/>
      <c r="BC24" s="14"/>
      <c r="BD24" s="14"/>
      <c r="BE24" s="14">
        <f t="shared" si="9"/>
        <v>0</v>
      </c>
    </row>
    <row r="25" spans="1:57" s="2" customFormat="1" ht="90" customHeight="1">
      <c r="H25" s="28">
        <v>8</v>
      </c>
      <c r="I25" s="13"/>
      <c r="J25" s="14"/>
      <c r="K25" s="14"/>
      <c r="L25" s="14">
        <f t="shared" si="0"/>
        <v>0</v>
      </c>
      <c r="M25" s="28">
        <v>8</v>
      </c>
      <c r="N25" s="13"/>
      <c r="O25" s="14"/>
      <c r="P25" s="14"/>
      <c r="Q25" s="14">
        <f t="shared" si="1"/>
        <v>0</v>
      </c>
      <c r="R25" s="28">
        <v>8</v>
      </c>
      <c r="S25" s="13"/>
      <c r="T25" s="14"/>
      <c r="U25" s="14"/>
      <c r="V25" s="14">
        <f t="shared" si="2"/>
        <v>0</v>
      </c>
      <c r="W25" s="28">
        <v>8</v>
      </c>
      <c r="X25" s="13"/>
      <c r="Y25" s="14"/>
      <c r="Z25" s="14"/>
      <c r="AA25" s="14">
        <f t="shared" si="3"/>
        <v>0</v>
      </c>
      <c r="AB25" s="28">
        <v>8</v>
      </c>
      <c r="AC25" s="13"/>
      <c r="AD25" s="14"/>
      <c r="AE25" s="14"/>
      <c r="AF25" s="14">
        <f t="shared" si="4"/>
        <v>0</v>
      </c>
      <c r="AG25" s="28">
        <v>8</v>
      </c>
      <c r="AH25" s="13"/>
      <c r="AI25" s="14"/>
      <c r="AJ25" s="14"/>
      <c r="AK25" s="14">
        <f t="shared" si="5"/>
        <v>0</v>
      </c>
      <c r="AL25" s="28">
        <v>8</v>
      </c>
      <c r="AM25" s="13"/>
      <c r="AN25" s="14"/>
      <c r="AO25" s="14"/>
      <c r="AP25" s="14">
        <f t="shared" si="6"/>
        <v>0</v>
      </c>
      <c r="AQ25" s="28">
        <v>8</v>
      </c>
      <c r="AR25" s="13"/>
      <c r="AS25" s="14"/>
      <c r="AT25" s="14"/>
      <c r="AU25" s="14">
        <f t="shared" si="7"/>
        <v>0</v>
      </c>
      <c r="AV25" s="28">
        <v>8</v>
      </c>
      <c r="AW25" s="13"/>
      <c r="AX25" s="14"/>
      <c r="AY25" s="14"/>
      <c r="AZ25" s="14">
        <f t="shared" si="8"/>
        <v>0</v>
      </c>
      <c r="BA25" s="28">
        <v>8</v>
      </c>
      <c r="BB25" s="13"/>
      <c r="BC25" s="14"/>
      <c r="BD25" s="14"/>
      <c r="BE25" s="14">
        <f t="shared" si="9"/>
        <v>0</v>
      </c>
    </row>
    <row r="26" spans="1:57" s="2" customFormat="1" ht="90" customHeight="1">
      <c r="H26" s="28">
        <v>9</v>
      </c>
      <c r="I26" s="13"/>
      <c r="J26" s="14"/>
      <c r="K26" s="14"/>
      <c r="L26" s="14">
        <f t="shared" si="0"/>
        <v>0</v>
      </c>
      <c r="M26" s="28">
        <v>9</v>
      </c>
      <c r="N26" s="13"/>
      <c r="O26" s="14"/>
      <c r="P26" s="14"/>
      <c r="Q26" s="14">
        <f t="shared" si="1"/>
        <v>0</v>
      </c>
      <c r="R26" s="28">
        <v>9</v>
      </c>
      <c r="S26" s="13"/>
      <c r="T26" s="14"/>
      <c r="U26" s="14"/>
      <c r="V26" s="14">
        <f t="shared" si="2"/>
        <v>0</v>
      </c>
      <c r="W26" s="28">
        <v>9</v>
      </c>
      <c r="X26" s="13"/>
      <c r="Y26" s="14"/>
      <c r="Z26" s="14"/>
      <c r="AA26" s="14">
        <f t="shared" si="3"/>
        <v>0</v>
      </c>
      <c r="AB26" s="28">
        <v>9</v>
      </c>
      <c r="AC26" s="13"/>
      <c r="AD26" s="14"/>
      <c r="AE26" s="14"/>
      <c r="AF26" s="14">
        <f t="shared" si="4"/>
        <v>0</v>
      </c>
      <c r="AG26" s="28">
        <v>9</v>
      </c>
      <c r="AH26" s="13"/>
      <c r="AI26" s="14"/>
      <c r="AJ26" s="14"/>
      <c r="AK26" s="14">
        <f t="shared" si="5"/>
        <v>0</v>
      </c>
      <c r="AL26" s="28">
        <v>9</v>
      </c>
      <c r="AM26" s="13"/>
      <c r="AN26" s="14"/>
      <c r="AO26" s="14"/>
      <c r="AP26" s="14">
        <f t="shared" si="6"/>
        <v>0</v>
      </c>
      <c r="AQ26" s="28">
        <v>9</v>
      </c>
      <c r="AR26" s="13"/>
      <c r="AS26" s="14"/>
      <c r="AT26" s="14"/>
      <c r="AU26" s="14">
        <f t="shared" si="7"/>
        <v>0</v>
      </c>
      <c r="AV26" s="28">
        <v>9</v>
      </c>
      <c r="AW26" s="13"/>
      <c r="AX26" s="14"/>
      <c r="AY26" s="14"/>
      <c r="AZ26" s="14">
        <f t="shared" si="8"/>
        <v>0</v>
      </c>
      <c r="BA26" s="28">
        <v>9</v>
      </c>
      <c r="BB26" s="13"/>
      <c r="BC26" s="14"/>
      <c r="BD26" s="14"/>
      <c r="BE26" s="14">
        <f t="shared" si="9"/>
        <v>0</v>
      </c>
    </row>
    <row r="27" spans="1:57" s="2" customFormat="1" ht="85.15" customHeight="1">
      <c r="H27" s="28">
        <v>10</v>
      </c>
      <c r="I27" s="13"/>
      <c r="J27" s="14"/>
      <c r="K27" s="14"/>
      <c r="L27" s="14">
        <f t="shared" si="0"/>
        <v>0</v>
      </c>
      <c r="M27" s="28">
        <v>10</v>
      </c>
      <c r="N27" s="13"/>
      <c r="O27" s="14"/>
      <c r="P27" s="14"/>
      <c r="Q27" s="14">
        <f t="shared" si="1"/>
        <v>0</v>
      </c>
      <c r="R27" s="28">
        <v>10</v>
      </c>
      <c r="S27" s="13"/>
      <c r="T27" s="14"/>
      <c r="U27" s="14"/>
      <c r="V27" s="14">
        <f t="shared" si="2"/>
        <v>0</v>
      </c>
      <c r="W27" s="28">
        <v>10</v>
      </c>
      <c r="X27" s="13"/>
      <c r="Y27" s="14"/>
      <c r="Z27" s="14"/>
      <c r="AA27" s="14">
        <f t="shared" si="3"/>
        <v>0</v>
      </c>
      <c r="AB27" s="28">
        <v>10</v>
      </c>
      <c r="AC27" s="13"/>
      <c r="AD27" s="14"/>
      <c r="AE27" s="14"/>
      <c r="AF27" s="14">
        <f t="shared" si="4"/>
        <v>0</v>
      </c>
      <c r="AG27" s="28">
        <v>10</v>
      </c>
      <c r="AH27" s="13"/>
      <c r="AI27" s="14"/>
      <c r="AJ27" s="14"/>
      <c r="AK27" s="14">
        <f t="shared" si="5"/>
        <v>0</v>
      </c>
      <c r="AL27" s="28">
        <v>10</v>
      </c>
      <c r="AM27" s="13"/>
      <c r="AN27" s="14"/>
      <c r="AO27" s="14"/>
      <c r="AP27" s="14">
        <f t="shared" si="6"/>
        <v>0</v>
      </c>
      <c r="AQ27" s="28">
        <v>10</v>
      </c>
      <c r="AR27" s="13"/>
      <c r="AS27" s="14"/>
      <c r="AT27" s="14"/>
      <c r="AU27" s="14">
        <f t="shared" si="7"/>
        <v>0</v>
      </c>
      <c r="AV27" s="28">
        <v>10</v>
      </c>
      <c r="AW27" s="13"/>
      <c r="AX27" s="14"/>
      <c r="AY27" s="14"/>
      <c r="AZ27" s="14">
        <f t="shared" si="8"/>
        <v>0</v>
      </c>
      <c r="BA27" s="28">
        <v>10</v>
      </c>
      <c r="BB27" s="13"/>
      <c r="BC27" s="14"/>
      <c r="BD27" s="14"/>
      <c r="BE27" s="14">
        <f t="shared" si="9"/>
        <v>0</v>
      </c>
    </row>
    <row r="28" spans="1:57" s="2" customFormat="1" ht="85.15" customHeight="1">
      <c r="H28" s="28">
        <v>11</v>
      </c>
      <c r="I28" s="13"/>
      <c r="J28" s="14"/>
      <c r="K28" s="14"/>
      <c r="L28" s="14">
        <f t="shared" si="0"/>
        <v>0</v>
      </c>
      <c r="M28" s="28">
        <v>11</v>
      </c>
      <c r="N28" s="13"/>
      <c r="O28" s="14"/>
      <c r="P28" s="14"/>
      <c r="Q28" s="14">
        <f t="shared" si="1"/>
        <v>0</v>
      </c>
      <c r="R28" s="28">
        <v>11</v>
      </c>
      <c r="S28" s="13"/>
      <c r="T28" s="14"/>
      <c r="U28" s="14"/>
      <c r="V28" s="14">
        <f t="shared" si="2"/>
        <v>0</v>
      </c>
      <c r="W28" s="28">
        <v>11</v>
      </c>
      <c r="X28" s="13"/>
      <c r="Y28" s="14"/>
      <c r="Z28" s="14"/>
      <c r="AA28" s="14">
        <f t="shared" si="3"/>
        <v>0</v>
      </c>
      <c r="AB28" s="28">
        <v>11</v>
      </c>
      <c r="AC28" s="13"/>
      <c r="AD28" s="14"/>
      <c r="AE28" s="14"/>
      <c r="AF28" s="14">
        <f t="shared" si="4"/>
        <v>0</v>
      </c>
      <c r="AG28" s="28">
        <v>11</v>
      </c>
      <c r="AH28" s="13"/>
      <c r="AI28" s="14"/>
      <c r="AJ28" s="14"/>
      <c r="AK28" s="14">
        <f t="shared" si="5"/>
        <v>0</v>
      </c>
      <c r="AL28" s="28">
        <v>11</v>
      </c>
      <c r="AM28" s="13"/>
      <c r="AN28" s="14"/>
      <c r="AO28" s="14"/>
      <c r="AP28" s="14">
        <f t="shared" si="6"/>
        <v>0</v>
      </c>
      <c r="AQ28" s="28">
        <v>11</v>
      </c>
      <c r="AR28" s="13"/>
      <c r="AS28" s="14"/>
      <c r="AT28" s="14"/>
      <c r="AU28" s="14">
        <f t="shared" si="7"/>
        <v>0</v>
      </c>
      <c r="AV28" s="28">
        <v>11</v>
      </c>
      <c r="AW28" s="13"/>
      <c r="AX28" s="14"/>
      <c r="AY28" s="14"/>
      <c r="AZ28" s="14">
        <f t="shared" si="8"/>
        <v>0</v>
      </c>
      <c r="BA28" s="28">
        <v>11</v>
      </c>
      <c r="BB28" s="13"/>
      <c r="BC28" s="14"/>
      <c r="BD28" s="14"/>
      <c r="BE28" s="14">
        <f t="shared" si="9"/>
        <v>0</v>
      </c>
    </row>
    <row r="29" spans="1:57" s="2" customFormat="1" ht="85.15" customHeight="1">
      <c r="H29" s="28">
        <v>12</v>
      </c>
      <c r="I29" s="13"/>
      <c r="J29" s="14"/>
      <c r="K29" s="14"/>
      <c r="L29" s="14">
        <f t="shared" si="0"/>
        <v>0</v>
      </c>
      <c r="M29" s="28">
        <v>12</v>
      </c>
      <c r="N29" s="13"/>
      <c r="O29" s="14"/>
      <c r="P29" s="14"/>
      <c r="Q29" s="14">
        <f t="shared" si="1"/>
        <v>0</v>
      </c>
      <c r="R29" s="28">
        <v>12</v>
      </c>
      <c r="S29" s="13"/>
      <c r="T29" s="14"/>
      <c r="U29" s="14"/>
      <c r="V29" s="14">
        <f t="shared" si="2"/>
        <v>0</v>
      </c>
      <c r="W29" s="28">
        <v>12</v>
      </c>
      <c r="X29" s="13"/>
      <c r="Y29" s="14"/>
      <c r="Z29" s="14"/>
      <c r="AA29" s="14">
        <f t="shared" si="3"/>
        <v>0</v>
      </c>
      <c r="AB29" s="28">
        <v>12</v>
      </c>
      <c r="AC29" s="13"/>
      <c r="AD29" s="14"/>
      <c r="AE29" s="14"/>
      <c r="AF29" s="14">
        <f t="shared" si="4"/>
        <v>0</v>
      </c>
      <c r="AG29" s="28">
        <v>12</v>
      </c>
      <c r="AH29" s="13"/>
      <c r="AI29" s="14"/>
      <c r="AJ29" s="14"/>
      <c r="AK29" s="14">
        <f t="shared" si="5"/>
        <v>0</v>
      </c>
      <c r="AL29" s="28">
        <v>12</v>
      </c>
      <c r="AM29" s="13"/>
      <c r="AN29" s="14"/>
      <c r="AO29" s="14"/>
      <c r="AP29" s="14">
        <f t="shared" si="6"/>
        <v>0</v>
      </c>
      <c r="AQ29" s="28">
        <v>12</v>
      </c>
      <c r="AR29" s="13"/>
      <c r="AS29" s="14"/>
      <c r="AT29" s="14"/>
      <c r="AU29" s="14">
        <f t="shared" si="7"/>
        <v>0</v>
      </c>
      <c r="AV29" s="28">
        <v>12</v>
      </c>
      <c r="AW29" s="13"/>
      <c r="AX29" s="14"/>
      <c r="AY29" s="14"/>
      <c r="AZ29" s="14">
        <f t="shared" si="8"/>
        <v>0</v>
      </c>
      <c r="BA29" s="28">
        <v>12</v>
      </c>
      <c r="BB29" s="13"/>
      <c r="BC29" s="14"/>
      <c r="BD29" s="14"/>
      <c r="BE29" s="14">
        <f t="shared" si="9"/>
        <v>0</v>
      </c>
    </row>
    <row r="30" spans="1:57" s="2" customFormat="1" ht="85.15" customHeight="1">
      <c r="H30" s="28">
        <v>13</v>
      </c>
      <c r="I30" s="13"/>
      <c r="J30" s="14"/>
      <c r="K30" s="14"/>
      <c r="L30" s="14">
        <f t="shared" si="0"/>
        <v>0</v>
      </c>
      <c r="M30" s="28">
        <v>13</v>
      </c>
      <c r="N30" s="13"/>
      <c r="O30" s="14"/>
      <c r="P30" s="14"/>
      <c r="Q30" s="14">
        <f t="shared" si="1"/>
        <v>0</v>
      </c>
      <c r="R30" s="28">
        <v>13</v>
      </c>
      <c r="S30" s="13"/>
      <c r="T30" s="14"/>
      <c r="U30" s="14"/>
      <c r="V30" s="14">
        <f t="shared" si="2"/>
        <v>0</v>
      </c>
      <c r="W30" s="28">
        <v>13</v>
      </c>
      <c r="X30" s="13"/>
      <c r="Y30" s="14"/>
      <c r="Z30" s="14"/>
      <c r="AA30" s="14">
        <f t="shared" si="3"/>
        <v>0</v>
      </c>
      <c r="AB30" s="28">
        <v>13</v>
      </c>
      <c r="AC30" s="13"/>
      <c r="AD30" s="14"/>
      <c r="AE30" s="14"/>
      <c r="AF30" s="14">
        <f t="shared" si="4"/>
        <v>0</v>
      </c>
      <c r="AG30" s="28">
        <v>13</v>
      </c>
      <c r="AH30" s="13"/>
      <c r="AI30" s="14"/>
      <c r="AJ30" s="14"/>
      <c r="AK30" s="14">
        <f t="shared" si="5"/>
        <v>0</v>
      </c>
      <c r="AL30" s="28">
        <v>13</v>
      </c>
      <c r="AM30" s="13"/>
      <c r="AN30" s="14"/>
      <c r="AO30" s="14"/>
      <c r="AP30" s="14">
        <f t="shared" si="6"/>
        <v>0</v>
      </c>
      <c r="AQ30" s="28">
        <v>13</v>
      </c>
      <c r="AR30" s="13"/>
      <c r="AS30" s="14"/>
      <c r="AT30" s="14"/>
      <c r="AU30" s="14">
        <f t="shared" si="7"/>
        <v>0</v>
      </c>
      <c r="AV30" s="28">
        <v>13</v>
      </c>
      <c r="AW30" s="13"/>
      <c r="AX30" s="14"/>
      <c r="AY30" s="14"/>
      <c r="AZ30" s="14">
        <f t="shared" si="8"/>
        <v>0</v>
      </c>
      <c r="BA30" s="28">
        <v>13</v>
      </c>
      <c r="BB30" s="13"/>
      <c r="BC30" s="14"/>
      <c r="BD30" s="14"/>
      <c r="BE30" s="14">
        <f t="shared" si="9"/>
        <v>0</v>
      </c>
    </row>
    <row r="31" spans="1:57" s="2" customFormat="1" ht="85.15" customHeight="1">
      <c r="H31" s="28">
        <v>14</v>
      </c>
      <c r="I31" s="13"/>
      <c r="J31" s="14"/>
      <c r="K31" s="14"/>
      <c r="L31" s="14">
        <f t="shared" si="0"/>
        <v>0</v>
      </c>
      <c r="M31" s="28">
        <v>14</v>
      </c>
      <c r="N31" s="13"/>
      <c r="O31" s="14"/>
      <c r="P31" s="14"/>
      <c r="Q31" s="14">
        <f t="shared" si="1"/>
        <v>0</v>
      </c>
      <c r="R31" s="28">
        <v>14</v>
      </c>
      <c r="S31" s="13"/>
      <c r="T31" s="14"/>
      <c r="U31" s="14"/>
      <c r="V31" s="14">
        <f t="shared" si="2"/>
        <v>0</v>
      </c>
      <c r="W31" s="28">
        <v>14</v>
      </c>
      <c r="X31" s="13"/>
      <c r="Y31" s="14"/>
      <c r="Z31" s="14"/>
      <c r="AA31" s="14">
        <f t="shared" si="3"/>
        <v>0</v>
      </c>
      <c r="AB31" s="28">
        <v>14</v>
      </c>
      <c r="AC31" s="13"/>
      <c r="AD31" s="14"/>
      <c r="AE31" s="14"/>
      <c r="AF31" s="14">
        <f t="shared" si="4"/>
        <v>0</v>
      </c>
      <c r="AG31" s="28">
        <v>14</v>
      </c>
      <c r="AH31" s="13"/>
      <c r="AI31" s="14"/>
      <c r="AJ31" s="14"/>
      <c r="AK31" s="14">
        <f t="shared" si="5"/>
        <v>0</v>
      </c>
      <c r="AL31" s="28">
        <v>14</v>
      </c>
      <c r="AM31" s="13"/>
      <c r="AN31" s="14"/>
      <c r="AO31" s="14"/>
      <c r="AP31" s="14">
        <f t="shared" si="6"/>
        <v>0</v>
      </c>
      <c r="AQ31" s="28">
        <v>14</v>
      </c>
      <c r="AR31" s="13"/>
      <c r="AS31" s="14"/>
      <c r="AT31" s="14"/>
      <c r="AU31" s="14">
        <f t="shared" si="7"/>
        <v>0</v>
      </c>
      <c r="AV31" s="28">
        <v>14</v>
      </c>
      <c r="AW31" s="13"/>
      <c r="AX31" s="14"/>
      <c r="AY31" s="14"/>
      <c r="AZ31" s="14">
        <f t="shared" si="8"/>
        <v>0</v>
      </c>
      <c r="BA31" s="28">
        <v>14</v>
      </c>
      <c r="BB31" s="13"/>
      <c r="BC31" s="14"/>
      <c r="BD31" s="14"/>
      <c r="BE31" s="14">
        <f t="shared" si="9"/>
        <v>0</v>
      </c>
    </row>
    <row r="32" spans="1:57" s="2" customFormat="1" ht="85.15" customHeight="1">
      <c r="H32" s="28">
        <v>15</v>
      </c>
      <c r="I32" s="13"/>
      <c r="J32" s="14"/>
      <c r="K32" s="14"/>
      <c r="L32" s="14">
        <f t="shared" si="0"/>
        <v>0</v>
      </c>
      <c r="M32" s="28">
        <v>15</v>
      </c>
      <c r="N32" s="13"/>
      <c r="O32" s="14"/>
      <c r="P32" s="14"/>
      <c r="Q32" s="14">
        <f t="shared" si="1"/>
        <v>0</v>
      </c>
      <c r="R32" s="28">
        <v>15</v>
      </c>
      <c r="S32" s="13"/>
      <c r="T32" s="14"/>
      <c r="U32" s="14"/>
      <c r="V32" s="14">
        <f t="shared" si="2"/>
        <v>0</v>
      </c>
      <c r="W32" s="28">
        <v>15</v>
      </c>
      <c r="X32" s="13"/>
      <c r="Y32" s="14"/>
      <c r="Z32" s="14"/>
      <c r="AA32" s="14">
        <f t="shared" si="3"/>
        <v>0</v>
      </c>
      <c r="AB32" s="28">
        <v>15</v>
      </c>
      <c r="AC32" s="13"/>
      <c r="AD32" s="14"/>
      <c r="AE32" s="14"/>
      <c r="AF32" s="14">
        <f t="shared" si="4"/>
        <v>0</v>
      </c>
      <c r="AG32" s="28">
        <v>15</v>
      </c>
      <c r="AH32" s="13"/>
      <c r="AI32" s="14"/>
      <c r="AJ32" s="14"/>
      <c r="AK32" s="14">
        <f t="shared" si="5"/>
        <v>0</v>
      </c>
      <c r="AL32" s="28">
        <v>15</v>
      </c>
      <c r="AM32" s="13"/>
      <c r="AN32" s="14"/>
      <c r="AO32" s="14"/>
      <c r="AP32" s="14">
        <f t="shared" si="6"/>
        <v>0</v>
      </c>
      <c r="AQ32" s="28">
        <v>15</v>
      </c>
      <c r="AR32" s="13"/>
      <c r="AS32" s="14"/>
      <c r="AT32" s="14"/>
      <c r="AU32" s="14">
        <f t="shared" si="7"/>
        <v>0</v>
      </c>
      <c r="AV32" s="28">
        <v>15</v>
      </c>
      <c r="AW32" s="13"/>
      <c r="AX32" s="14"/>
      <c r="AY32" s="14"/>
      <c r="AZ32" s="14">
        <f t="shared" si="8"/>
        <v>0</v>
      </c>
      <c r="BA32" s="28">
        <v>15</v>
      </c>
      <c r="BB32" s="13"/>
      <c r="BC32" s="14"/>
      <c r="BD32" s="14"/>
      <c r="BE32" s="14">
        <f t="shared" si="9"/>
        <v>0</v>
      </c>
    </row>
    <row r="33" spans="8:57" s="2" customFormat="1" ht="85.15" customHeight="1">
      <c r="H33" s="28">
        <v>16</v>
      </c>
      <c r="I33" s="13"/>
      <c r="J33" s="14"/>
      <c r="K33" s="14"/>
      <c r="L33" s="14">
        <f t="shared" si="0"/>
        <v>0</v>
      </c>
      <c r="M33" s="28">
        <v>16</v>
      </c>
      <c r="N33" s="13"/>
      <c r="O33" s="14"/>
      <c r="P33" s="14"/>
      <c r="Q33" s="14">
        <f t="shared" si="1"/>
        <v>0</v>
      </c>
      <c r="R33" s="28">
        <v>16</v>
      </c>
      <c r="S33" s="13"/>
      <c r="T33" s="14"/>
      <c r="U33" s="14"/>
      <c r="V33" s="14">
        <f t="shared" si="2"/>
        <v>0</v>
      </c>
      <c r="W33" s="28">
        <v>16</v>
      </c>
      <c r="X33" s="13"/>
      <c r="Y33" s="14"/>
      <c r="Z33" s="14"/>
      <c r="AA33" s="14">
        <f t="shared" si="3"/>
        <v>0</v>
      </c>
      <c r="AB33" s="28">
        <v>16</v>
      </c>
      <c r="AC33" s="13"/>
      <c r="AD33" s="14"/>
      <c r="AE33" s="14"/>
      <c r="AF33" s="14">
        <f t="shared" si="4"/>
        <v>0</v>
      </c>
      <c r="AG33" s="28">
        <v>16</v>
      </c>
      <c r="AH33" s="13"/>
      <c r="AI33" s="14"/>
      <c r="AJ33" s="14"/>
      <c r="AK33" s="14">
        <f t="shared" si="5"/>
        <v>0</v>
      </c>
      <c r="AL33" s="28">
        <v>16</v>
      </c>
      <c r="AM33" s="13"/>
      <c r="AN33" s="14"/>
      <c r="AO33" s="14"/>
      <c r="AP33" s="14">
        <f t="shared" si="6"/>
        <v>0</v>
      </c>
      <c r="AQ33" s="28">
        <v>16</v>
      </c>
      <c r="AR33" s="13"/>
      <c r="AS33" s="14"/>
      <c r="AT33" s="14"/>
      <c r="AU33" s="14">
        <f t="shared" si="7"/>
        <v>0</v>
      </c>
      <c r="AV33" s="28">
        <v>16</v>
      </c>
      <c r="AW33" s="13"/>
      <c r="AX33" s="14"/>
      <c r="AY33" s="14"/>
      <c r="AZ33" s="14">
        <f t="shared" si="8"/>
        <v>0</v>
      </c>
      <c r="BA33" s="28">
        <v>16</v>
      </c>
      <c r="BB33" s="13"/>
      <c r="BC33" s="14"/>
      <c r="BD33" s="14"/>
      <c r="BE33" s="14">
        <f t="shared" si="9"/>
        <v>0</v>
      </c>
    </row>
    <row r="34" spans="8:57" s="2" customFormat="1" ht="85.15" customHeight="1">
      <c r="H34" s="28">
        <v>17</v>
      </c>
      <c r="I34" s="13"/>
      <c r="J34" s="14"/>
      <c r="K34" s="14"/>
      <c r="L34" s="14">
        <f t="shared" si="0"/>
        <v>0</v>
      </c>
      <c r="M34" s="28">
        <v>17</v>
      </c>
      <c r="N34" s="13"/>
      <c r="O34" s="14"/>
      <c r="P34" s="14"/>
      <c r="Q34" s="14">
        <f t="shared" si="1"/>
        <v>0</v>
      </c>
      <c r="R34" s="28">
        <v>17</v>
      </c>
      <c r="S34" s="13"/>
      <c r="T34" s="14"/>
      <c r="U34" s="14"/>
      <c r="V34" s="14">
        <f t="shared" si="2"/>
        <v>0</v>
      </c>
      <c r="W34" s="28">
        <v>17</v>
      </c>
      <c r="X34" s="13"/>
      <c r="Y34" s="14"/>
      <c r="Z34" s="14"/>
      <c r="AA34" s="14">
        <f t="shared" si="3"/>
        <v>0</v>
      </c>
      <c r="AB34" s="28">
        <v>17</v>
      </c>
      <c r="AC34" s="13"/>
      <c r="AD34" s="14"/>
      <c r="AE34" s="14"/>
      <c r="AF34" s="14">
        <f t="shared" si="4"/>
        <v>0</v>
      </c>
      <c r="AG34" s="28">
        <v>17</v>
      </c>
      <c r="AH34" s="13"/>
      <c r="AI34" s="14"/>
      <c r="AJ34" s="14"/>
      <c r="AK34" s="14">
        <f t="shared" si="5"/>
        <v>0</v>
      </c>
      <c r="AL34" s="28">
        <v>17</v>
      </c>
      <c r="AM34" s="13"/>
      <c r="AN34" s="14"/>
      <c r="AO34" s="14"/>
      <c r="AP34" s="14">
        <f t="shared" si="6"/>
        <v>0</v>
      </c>
      <c r="AQ34" s="28">
        <v>17</v>
      </c>
      <c r="AR34" s="13"/>
      <c r="AS34" s="14"/>
      <c r="AT34" s="14"/>
      <c r="AU34" s="14">
        <f t="shared" si="7"/>
        <v>0</v>
      </c>
      <c r="AV34" s="28">
        <v>17</v>
      </c>
      <c r="AW34" s="13"/>
      <c r="AX34" s="14"/>
      <c r="AY34" s="14"/>
      <c r="AZ34" s="14">
        <f t="shared" si="8"/>
        <v>0</v>
      </c>
      <c r="BA34" s="28">
        <v>17</v>
      </c>
      <c r="BB34" s="13"/>
      <c r="BC34" s="14"/>
      <c r="BD34" s="14"/>
      <c r="BE34" s="14">
        <f t="shared" si="9"/>
        <v>0</v>
      </c>
    </row>
    <row r="35" spans="8:57" s="2" customFormat="1" ht="85.15" customHeight="1">
      <c r="H35" s="28">
        <v>18</v>
      </c>
      <c r="I35" s="13"/>
      <c r="J35" s="14"/>
      <c r="K35" s="14"/>
      <c r="L35" s="14">
        <f t="shared" si="0"/>
        <v>0</v>
      </c>
      <c r="M35" s="28">
        <v>18</v>
      </c>
      <c r="N35" s="13"/>
      <c r="O35" s="14"/>
      <c r="P35" s="14"/>
      <c r="Q35" s="14">
        <f t="shared" si="1"/>
        <v>0</v>
      </c>
      <c r="R35" s="28">
        <v>18</v>
      </c>
      <c r="S35" s="13"/>
      <c r="T35" s="14"/>
      <c r="U35" s="14"/>
      <c r="V35" s="14">
        <f t="shared" si="2"/>
        <v>0</v>
      </c>
      <c r="W35" s="28">
        <v>18</v>
      </c>
      <c r="X35" s="13"/>
      <c r="Y35" s="14"/>
      <c r="Z35" s="14"/>
      <c r="AA35" s="14">
        <f t="shared" si="3"/>
        <v>0</v>
      </c>
      <c r="AB35" s="28">
        <v>18</v>
      </c>
      <c r="AC35" s="13"/>
      <c r="AD35" s="14"/>
      <c r="AE35" s="14"/>
      <c r="AF35" s="14">
        <f t="shared" si="4"/>
        <v>0</v>
      </c>
      <c r="AG35" s="28">
        <v>18</v>
      </c>
      <c r="AH35" s="13"/>
      <c r="AI35" s="14"/>
      <c r="AJ35" s="14"/>
      <c r="AK35" s="14">
        <f t="shared" si="5"/>
        <v>0</v>
      </c>
      <c r="AL35" s="28">
        <v>18</v>
      </c>
      <c r="AM35" s="13"/>
      <c r="AN35" s="14"/>
      <c r="AO35" s="14"/>
      <c r="AP35" s="14">
        <f t="shared" si="6"/>
        <v>0</v>
      </c>
      <c r="AQ35" s="28">
        <v>18</v>
      </c>
      <c r="AR35" s="13"/>
      <c r="AS35" s="14"/>
      <c r="AT35" s="14"/>
      <c r="AU35" s="14">
        <f t="shared" si="7"/>
        <v>0</v>
      </c>
      <c r="AV35" s="28">
        <v>18</v>
      </c>
      <c r="AW35" s="13"/>
      <c r="AX35" s="14"/>
      <c r="AY35" s="14"/>
      <c r="AZ35" s="14">
        <f t="shared" si="8"/>
        <v>0</v>
      </c>
      <c r="BA35" s="28">
        <v>18</v>
      </c>
      <c r="BB35" s="13"/>
      <c r="BC35" s="14"/>
      <c r="BD35" s="14"/>
      <c r="BE35" s="14">
        <f t="shared" si="9"/>
        <v>0</v>
      </c>
    </row>
    <row r="36" spans="8:57" s="2" customFormat="1" ht="85.15" customHeight="1">
      <c r="H36" s="28">
        <v>19</v>
      </c>
      <c r="I36" s="13"/>
      <c r="J36" s="14"/>
      <c r="K36" s="14"/>
      <c r="L36" s="14">
        <f t="shared" si="0"/>
        <v>0</v>
      </c>
      <c r="M36" s="28">
        <v>19</v>
      </c>
      <c r="N36" s="13"/>
      <c r="O36" s="14"/>
      <c r="P36" s="14"/>
      <c r="Q36" s="14">
        <f t="shared" si="1"/>
        <v>0</v>
      </c>
      <c r="R36" s="28">
        <v>19</v>
      </c>
      <c r="S36" s="13"/>
      <c r="T36" s="14"/>
      <c r="U36" s="14"/>
      <c r="V36" s="14">
        <f t="shared" si="2"/>
        <v>0</v>
      </c>
      <c r="W36" s="28">
        <v>19</v>
      </c>
      <c r="X36" s="13"/>
      <c r="Y36" s="14"/>
      <c r="Z36" s="14"/>
      <c r="AA36" s="14">
        <f t="shared" si="3"/>
        <v>0</v>
      </c>
      <c r="AB36" s="28">
        <v>19</v>
      </c>
      <c r="AC36" s="13"/>
      <c r="AD36" s="14"/>
      <c r="AE36" s="14"/>
      <c r="AF36" s="14">
        <f t="shared" si="4"/>
        <v>0</v>
      </c>
      <c r="AG36" s="28">
        <v>19</v>
      </c>
      <c r="AH36" s="13"/>
      <c r="AI36" s="14"/>
      <c r="AJ36" s="14"/>
      <c r="AK36" s="14">
        <f t="shared" si="5"/>
        <v>0</v>
      </c>
      <c r="AL36" s="28">
        <v>19</v>
      </c>
      <c r="AM36" s="13"/>
      <c r="AN36" s="14"/>
      <c r="AO36" s="14"/>
      <c r="AP36" s="14">
        <f t="shared" si="6"/>
        <v>0</v>
      </c>
      <c r="AQ36" s="28">
        <v>19</v>
      </c>
      <c r="AR36" s="13"/>
      <c r="AS36" s="14"/>
      <c r="AT36" s="14"/>
      <c r="AU36" s="14">
        <f t="shared" si="7"/>
        <v>0</v>
      </c>
      <c r="AV36" s="28">
        <v>19</v>
      </c>
      <c r="AW36" s="13"/>
      <c r="AX36" s="14"/>
      <c r="AY36" s="14"/>
      <c r="AZ36" s="14">
        <f t="shared" si="8"/>
        <v>0</v>
      </c>
      <c r="BA36" s="28">
        <v>19</v>
      </c>
      <c r="BB36" s="13"/>
      <c r="BC36" s="14"/>
      <c r="BD36" s="14"/>
      <c r="BE36" s="14">
        <f t="shared" si="9"/>
        <v>0</v>
      </c>
    </row>
    <row r="37" spans="8:57" s="2" customFormat="1" ht="85.15" customHeight="1">
      <c r="H37" s="28">
        <v>20</v>
      </c>
      <c r="I37" s="13"/>
      <c r="J37" s="14"/>
      <c r="K37" s="14"/>
      <c r="L37" s="14">
        <f t="shared" si="0"/>
        <v>0</v>
      </c>
      <c r="M37" s="28">
        <v>20</v>
      </c>
      <c r="N37" s="13"/>
      <c r="O37" s="14"/>
      <c r="P37" s="14"/>
      <c r="Q37" s="14">
        <f t="shared" si="1"/>
        <v>0</v>
      </c>
      <c r="R37" s="28">
        <v>20</v>
      </c>
      <c r="S37" s="13"/>
      <c r="T37" s="14"/>
      <c r="U37" s="14"/>
      <c r="V37" s="14">
        <f t="shared" si="2"/>
        <v>0</v>
      </c>
      <c r="W37" s="28">
        <v>20</v>
      </c>
      <c r="X37" s="13"/>
      <c r="Y37" s="14"/>
      <c r="Z37" s="14"/>
      <c r="AA37" s="14">
        <f t="shared" si="3"/>
        <v>0</v>
      </c>
      <c r="AB37" s="28">
        <v>20</v>
      </c>
      <c r="AC37" s="13"/>
      <c r="AD37" s="14"/>
      <c r="AE37" s="14"/>
      <c r="AF37" s="14">
        <f t="shared" si="4"/>
        <v>0</v>
      </c>
      <c r="AG37" s="28">
        <v>20</v>
      </c>
      <c r="AH37" s="13"/>
      <c r="AI37" s="14"/>
      <c r="AJ37" s="14"/>
      <c r="AK37" s="14">
        <f t="shared" si="5"/>
        <v>0</v>
      </c>
      <c r="AL37" s="28">
        <v>20</v>
      </c>
      <c r="AM37" s="13"/>
      <c r="AN37" s="14"/>
      <c r="AO37" s="14"/>
      <c r="AP37" s="14">
        <f t="shared" si="6"/>
        <v>0</v>
      </c>
      <c r="AQ37" s="28">
        <v>20</v>
      </c>
      <c r="AR37" s="13"/>
      <c r="AS37" s="14"/>
      <c r="AT37" s="14"/>
      <c r="AU37" s="14">
        <f t="shared" si="7"/>
        <v>0</v>
      </c>
      <c r="AV37" s="28">
        <v>20</v>
      </c>
      <c r="AW37" s="13"/>
      <c r="AX37" s="14"/>
      <c r="AY37" s="14"/>
      <c r="AZ37" s="14">
        <f t="shared" si="8"/>
        <v>0</v>
      </c>
      <c r="BA37" s="28">
        <v>20</v>
      </c>
      <c r="BB37" s="13"/>
      <c r="BC37" s="14"/>
      <c r="BD37" s="14"/>
      <c r="BE37" s="14">
        <f t="shared" si="9"/>
        <v>0</v>
      </c>
    </row>
    <row r="38" spans="8:57" s="2" customFormat="1" ht="85.15" customHeight="1">
      <c r="H38" s="28">
        <v>21</v>
      </c>
      <c r="I38" s="13"/>
      <c r="J38" s="14"/>
      <c r="K38" s="14"/>
      <c r="L38" s="14">
        <f t="shared" si="0"/>
        <v>0</v>
      </c>
      <c r="M38" s="28">
        <v>21</v>
      </c>
      <c r="N38" s="13"/>
      <c r="O38" s="14"/>
      <c r="P38" s="14"/>
      <c r="Q38" s="14">
        <f t="shared" si="1"/>
        <v>0</v>
      </c>
      <c r="R38" s="28">
        <v>21</v>
      </c>
      <c r="S38" s="13"/>
      <c r="T38" s="14"/>
      <c r="U38" s="14"/>
      <c r="V38" s="14">
        <f t="shared" si="2"/>
        <v>0</v>
      </c>
      <c r="W38" s="28">
        <v>21</v>
      </c>
      <c r="X38" s="13"/>
      <c r="Y38" s="14"/>
      <c r="Z38" s="14"/>
      <c r="AA38" s="14">
        <f t="shared" si="3"/>
        <v>0</v>
      </c>
      <c r="AB38" s="28">
        <v>21</v>
      </c>
      <c r="AC38" s="13"/>
      <c r="AD38" s="14"/>
      <c r="AE38" s="14"/>
      <c r="AF38" s="14">
        <f t="shared" si="4"/>
        <v>0</v>
      </c>
      <c r="AG38" s="28">
        <v>21</v>
      </c>
      <c r="AH38" s="13"/>
      <c r="AI38" s="14"/>
      <c r="AJ38" s="14"/>
      <c r="AK38" s="14">
        <f t="shared" si="5"/>
        <v>0</v>
      </c>
      <c r="AL38" s="28">
        <v>21</v>
      </c>
      <c r="AM38" s="13"/>
      <c r="AN38" s="14"/>
      <c r="AO38" s="14"/>
      <c r="AP38" s="14">
        <f t="shared" si="6"/>
        <v>0</v>
      </c>
      <c r="AQ38" s="28">
        <v>21</v>
      </c>
      <c r="AR38" s="13"/>
      <c r="AS38" s="14"/>
      <c r="AT38" s="14"/>
      <c r="AU38" s="14">
        <f t="shared" si="7"/>
        <v>0</v>
      </c>
      <c r="AV38" s="28">
        <v>21</v>
      </c>
      <c r="AW38" s="13"/>
      <c r="AX38" s="14"/>
      <c r="AY38" s="14"/>
      <c r="AZ38" s="14">
        <f t="shared" si="8"/>
        <v>0</v>
      </c>
      <c r="BA38" s="28">
        <v>21</v>
      </c>
      <c r="BB38" s="13"/>
      <c r="BC38" s="14"/>
      <c r="BD38" s="14"/>
      <c r="BE38" s="14">
        <f t="shared" si="9"/>
        <v>0</v>
      </c>
    </row>
    <row r="39" spans="8:57" s="2" customFormat="1" ht="85.15" customHeight="1">
      <c r="H39" s="28">
        <v>22</v>
      </c>
      <c r="I39" s="13"/>
      <c r="J39" s="14"/>
      <c r="K39" s="14"/>
      <c r="L39" s="14">
        <f t="shared" si="0"/>
        <v>0</v>
      </c>
      <c r="M39" s="28">
        <v>22</v>
      </c>
      <c r="N39" s="13"/>
      <c r="O39" s="14"/>
      <c r="P39" s="14"/>
      <c r="Q39" s="14">
        <f t="shared" si="1"/>
        <v>0</v>
      </c>
      <c r="R39" s="28">
        <v>22</v>
      </c>
      <c r="S39" s="13"/>
      <c r="T39" s="14"/>
      <c r="U39" s="14"/>
      <c r="V39" s="14">
        <f t="shared" si="2"/>
        <v>0</v>
      </c>
      <c r="W39" s="28">
        <v>22</v>
      </c>
      <c r="X39" s="13"/>
      <c r="Y39" s="14"/>
      <c r="Z39" s="14"/>
      <c r="AA39" s="14">
        <f t="shared" si="3"/>
        <v>0</v>
      </c>
      <c r="AB39" s="28">
        <v>22</v>
      </c>
      <c r="AC39" s="13"/>
      <c r="AD39" s="14"/>
      <c r="AE39" s="14"/>
      <c r="AF39" s="14">
        <f t="shared" si="4"/>
        <v>0</v>
      </c>
      <c r="AG39" s="28">
        <v>22</v>
      </c>
      <c r="AH39" s="13"/>
      <c r="AI39" s="14"/>
      <c r="AJ39" s="14"/>
      <c r="AK39" s="14">
        <f t="shared" si="5"/>
        <v>0</v>
      </c>
      <c r="AL39" s="28">
        <v>22</v>
      </c>
      <c r="AM39" s="13"/>
      <c r="AN39" s="14"/>
      <c r="AO39" s="14"/>
      <c r="AP39" s="14">
        <f t="shared" si="6"/>
        <v>0</v>
      </c>
      <c r="AQ39" s="28">
        <v>22</v>
      </c>
      <c r="AR39" s="13"/>
      <c r="AS39" s="14"/>
      <c r="AT39" s="14"/>
      <c r="AU39" s="14">
        <f t="shared" si="7"/>
        <v>0</v>
      </c>
      <c r="AV39" s="28">
        <v>22</v>
      </c>
      <c r="AW39" s="13"/>
      <c r="AX39" s="14"/>
      <c r="AY39" s="14"/>
      <c r="AZ39" s="14">
        <f t="shared" si="8"/>
        <v>0</v>
      </c>
      <c r="BA39" s="28">
        <v>22</v>
      </c>
      <c r="BB39" s="13"/>
      <c r="BC39" s="14"/>
      <c r="BD39" s="14"/>
      <c r="BE39" s="14">
        <f t="shared" si="9"/>
        <v>0</v>
      </c>
    </row>
    <row r="40" spans="8:57" s="2" customFormat="1" ht="85.15" customHeight="1">
      <c r="H40" s="28">
        <v>23</v>
      </c>
      <c r="I40" s="13"/>
      <c r="J40" s="14"/>
      <c r="K40" s="14"/>
      <c r="L40" s="14">
        <f t="shared" si="0"/>
        <v>0</v>
      </c>
      <c r="M40" s="28">
        <v>23</v>
      </c>
      <c r="N40" s="13"/>
      <c r="O40" s="14"/>
      <c r="P40" s="14"/>
      <c r="Q40" s="14">
        <f t="shared" si="1"/>
        <v>0</v>
      </c>
      <c r="R40" s="28">
        <v>23</v>
      </c>
      <c r="S40" s="13"/>
      <c r="T40" s="14"/>
      <c r="U40" s="14"/>
      <c r="V40" s="14">
        <f t="shared" si="2"/>
        <v>0</v>
      </c>
      <c r="W40" s="28">
        <v>23</v>
      </c>
      <c r="X40" s="13"/>
      <c r="Y40" s="14"/>
      <c r="Z40" s="14"/>
      <c r="AA40" s="14">
        <f t="shared" si="3"/>
        <v>0</v>
      </c>
      <c r="AB40" s="28">
        <v>23</v>
      </c>
      <c r="AC40" s="13"/>
      <c r="AD40" s="14"/>
      <c r="AE40" s="14"/>
      <c r="AF40" s="14">
        <f t="shared" si="4"/>
        <v>0</v>
      </c>
      <c r="AG40" s="28">
        <v>23</v>
      </c>
      <c r="AH40" s="13"/>
      <c r="AI40" s="14"/>
      <c r="AJ40" s="14"/>
      <c r="AK40" s="14">
        <f t="shared" si="5"/>
        <v>0</v>
      </c>
      <c r="AL40" s="28">
        <v>23</v>
      </c>
      <c r="AM40" s="13"/>
      <c r="AN40" s="14"/>
      <c r="AO40" s="14"/>
      <c r="AP40" s="14">
        <f t="shared" si="6"/>
        <v>0</v>
      </c>
      <c r="AQ40" s="28">
        <v>23</v>
      </c>
      <c r="AR40" s="13"/>
      <c r="AS40" s="14"/>
      <c r="AT40" s="14"/>
      <c r="AU40" s="14">
        <f t="shared" si="7"/>
        <v>0</v>
      </c>
      <c r="AV40" s="28">
        <v>23</v>
      </c>
      <c r="AW40" s="13"/>
      <c r="AX40" s="14"/>
      <c r="AY40" s="14"/>
      <c r="AZ40" s="14">
        <f t="shared" si="8"/>
        <v>0</v>
      </c>
      <c r="BA40" s="28">
        <v>23</v>
      </c>
      <c r="BB40" s="13"/>
      <c r="BC40" s="14"/>
      <c r="BD40" s="14"/>
      <c r="BE40" s="14">
        <f t="shared" si="9"/>
        <v>0</v>
      </c>
    </row>
    <row r="41" spans="8:57" s="2" customFormat="1" ht="85.15" customHeight="1">
      <c r="H41" s="28">
        <v>24</v>
      </c>
      <c r="I41" s="13"/>
      <c r="J41" s="14"/>
      <c r="K41" s="14"/>
      <c r="L41" s="14">
        <f t="shared" si="0"/>
        <v>0</v>
      </c>
      <c r="M41" s="28">
        <v>24</v>
      </c>
      <c r="N41" s="13"/>
      <c r="O41" s="14"/>
      <c r="P41" s="14"/>
      <c r="Q41" s="14">
        <f t="shared" si="1"/>
        <v>0</v>
      </c>
      <c r="R41" s="28">
        <v>24</v>
      </c>
      <c r="S41" s="13"/>
      <c r="T41" s="14"/>
      <c r="U41" s="14"/>
      <c r="V41" s="14">
        <f t="shared" si="2"/>
        <v>0</v>
      </c>
      <c r="W41" s="28">
        <v>24</v>
      </c>
      <c r="X41" s="13"/>
      <c r="Y41" s="14"/>
      <c r="Z41" s="14"/>
      <c r="AA41" s="14">
        <f t="shared" si="3"/>
        <v>0</v>
      </c>
      <c r="AB41" s="28">
        <v>24</v>
      </c>
      <c r="AC41" s="13"/>
      <c r="AD41" s="14"/>
      <c r="AE41" s="14"/>
      <c r="AF41" s="14">
        <f t="shared" si="4"/>
        <v>0</v>
      </c>
      <c r="AG41" s="28">
        <v>24</v>
      </c>
      <c r="AH41" s="13"/>
      <c r="AI41" s="14"/>
      <c r="AJ41" s="14"/>
      <c r="AK41" s="14">
        <f t="shared" si="5"/>
        <v>0</v>
      </c>
      <c r="AL41" s="28">
        <v>24</v>
      </c>
      <c r="AM41" s="13"/>
      <c r="AN41" s="14"/>
      <c r="AO41" s="14"/>
      <c r="AP41" s="14">
        <f t="shared" si="6"/>
        <v>0</v>
      </c>
      <c r="AQ41" s="28">
        <v>24</v>
      </c>
      <c r="AR41" s="13"/>
      <c r="AS41" s="14"/>
      <c r="AT41" s="14"/>
      <c r="AU41" s="14">
        <f t="shared" si="7"/>
        <v>0</v>
      </c>
      <c r="AV41" s="28">
        <v>24</v>
      </c>
      <c r="AW41" s="13"/>
      <c r="AX41" s="14"/>
      <c r="AY41" s="14"/>
      <c r="AZ41" s="14">
        <f t="shared" si="8"/>
        <v>0</v>
      </c>
      <c r="BA41" s="28">
        <v>24</v>
      </c>
      <c r="BB41" s="13"/>
      <c r="BC41" s="14"/>
      <c r="BD41" s="14"/>
      <c r="BE41" s="14">
        <f t="shared" si="9"/>
        <v>0</v>
      </c>
    </row>
    <row r="42" spans="8:57" s="2" customFormat="1" ht="85.15" customHeight="1">
      <c r="H42" s="28">
        <v>25</v>
      </c>
      <c r="I42" s="13"/>
      <c r="J42" s="14"/>
      <c r="K42" s="14"/>
      <c r="L42" s="14">
        <f t="shared" si="0"/>
        <v>0</v>
      </c>
      <c r="M42" s="28">
        <v>25</v>
      </c>
      <c r="N42" s="13"/>
      <c r="O42" s="14"/>
      <c r="P42" s="14"/>
      <c r="Q42" s="14">
        <f t="shared" si="1"/>
        <v>0</v>
      </c>
      <c r="R42" s="28">
        <v>25</v>
      </c>
      <c r="S42" s="13"/>
      <c r="T42" s="14"/>
      <c r="U42" s="14"/>
      <c r="V42" s="14">
        <f t="shared" si="2"/>
        <v>0</v>
      </c>
      <c r="W42" s="28">
        <v>25</v>
      </c>
      <c r="X42" s="13"/>
      <c r="Y42" s="14"/>
      <c r="Z42" s="14"/>
      <c r="AA42" s="14">
        <f t="shared" si="3"/>
        <v>0</v>
      </c>
      <c r="AB42" s="28">
        <v>25</v>
      </c>
      <c r="AC42" s="13"/>
      <c r="AD42" s="14"/>
      <c r="AE42" s="14"/>
      <c r="AF42" s="14">
        <f t="shared" si="4"/>
        <v>0</v>
      </c>
      <c r="AG42" s="28">
        <v>25</v>
      </c>
      <c r="AH42" s="13"/>
      <c r="AI42" s="14"/>
      <c r="AJ42" s="14"/>
      <c r="AK42" s="14">
        <f t="shared" si="5"/>
        <v>0</v>
      </c>
      <c r="AL42" s="28">
        <v>25</v>
      </c>
      <c r="AM42" s="13"/>
      <c r="AN42" s="14"/>
      <c r="AO42" s="14"/>
      <c r="AP42" s="14">
        <f t="shared" si="6"/>
        <v>0</v>
      </c>
      <c r="AQ42" s="28">
        <v>25</v>
      </c>
      <c r="AR42" s="13"/>
      <c r="AS42" s="14"/>
      <c r="AT42" s="14"/>
      <c r="AU42" s="14">
        <f t="shared" si="7"/>
        <v>0</v>
      </c>
      <c r="AV42" s="28">
        <v>25</v>
      </c>
      <c r="AW42" s="13"/>
      <c r="AX42" s="14"/>
      <c r="AY42" s="14"/>
      <c r="AZ42" s="14">
        <f t="shared" si="8"/>
        <v>0</v>
      </c>
      <c r="BA42" s="28">
        <v>25</v>
      </c>
      <c r="BB42" s="13"/>
      <c r="BC42" s="14"/>
      <c r="BD42" s="14"/>
      <c r="BE42" s="14">
        <f t="shared" si="9"/>
        <v>0</v>
      </c>
    </row>
    <row r="43" spans="8:57" s="2" customFormat="1" ht="85.15" customHeight="1">
      <c r="H43" s="28">
        <v>26</v>
      </c>
      <c r="I43" s="13"/>
      <c r="J43" s="14"/>
      <c r="K43" s="14"/>
      <c r="L43" s="14">
        <f t="shared" si="0"/>
        <v>0</v>
      </c>
      <c r="M43" s="28">
        <v>26</v>
      </c>
      <c r="N43" s="13"/>
      <c r="O43" s="14"/>
      <c r="P43" s="14"/>
      <c r="Q43" s="14">
        <f t="shared" si="1"/>
        <v>0</v>
      </c>
      <c r="R43" s="28">
        <v>26</v>
      </c>
      <c r="S43" s="13"/>
      <c r="T43" s="14"/>
      <c r="U43" s="14"/>
      <c r="V43" s="14">
        <f t="shared" si="2"/>
        <v>0</v>
      </c>
      <c r="W43" s="28">
        <v>26</v>
      </c>
      <c r="X43" s="13"/>
      <c r="Y43" s="14"/>
      <c r="Z43" s="14"/>
      <c r="AA43" s="14">
        <f t="shared" si="3"/>
        <v>0</v>
      </c>
      <c r="AB43" s="28">
        <v>26</v>
      </c>
      <c r="AC43" s="13"/>
      <c r="AD43" s="14"/>
      <c r="AE43" s="14"/>
      <c r="AF43" s="14">
        <f t="shared" si="4"/>
        <v>0</v>
      </c>
      <c r="AG43" s="28">
        <v>26</v>
      </c>
      <c r="AH43" s="13"/>
      <c r="AI43" s="14"/>
      <c r="AJ43" s="14"/>
      <c r="AK43" s="14">
        <f t="shared" si="5"/>
        <v>0</v>
      </c>
      <c r="AL43" s="28">
        <v>26</v>
      </c>
      <c r="AM43" s="13"/>
      <c r="AN43" s="14"/>
      <c r="AO43" s="14"/>
      <c r="AP43" s="14">
        <f t="shared" si="6"/>
        <v>0</v>
      </c>
      <c r="AQ43" s="28">
        <v>26</v>
      </c>
      <c r="AR43" s="13"/>
      <c r="AS43" s="14"/>
      <c r="AT43" s="14"/>
      <c r="AU43" s="14">
        <f t="shared" si="7"/>
        <v>0</v>
      </c>
      <c r="AV43" s="28">
        <v>26</v>
      </c>
      <c r="AW43" s="13"/>
      <c r="AX43" s="14"/>
      <c r="AY43" s="14"/>
      <c r="AZ43" s="14">
        <f t="shared" si="8"/>
        <v>0</v>
      </c>
      <c r="BA43" s="28">
        <v>26</v>
      </c>
      <c r="BB43" s="13"/>
      <c r="BC43" s="14"/>
      <c r="BD43" s="14"/>
      <c r="BE43" s="14">
        <f t="shared" si="9"/>
        <v>0</v>
      </c>
    </row>
    <row r="44" spans="8:57" s="2" customFormat="1" ht="85.15" customHeight="1">
      <c r="H44" s="28">
        <v>27</v>
      </c>
      <c r="I44" s="13"/>
      <c r="J44" s="14"/>
      <c r="K44" s="14"/>
      <c r="L44" s="14">
        <f t="shared" si="0"/>
        <v>0</v>
      </c>
      <c r="M44" s="28">
        <v>27</v>
      </c>
      <c r="N44" s="13"/>
      <c r="O44" s="14"/>
      <c r="P44" s="14"/>
      <c r="Q44" s="14">
        <f t="shared" si="1"/>
        <v>0</v>
      </c>
      <c r="R44" s="28">
        <v>27</v>
      </c>
      <c r="S44" s="13"/>
      <c r="T44" s="14"/>
      <c r="U44" s="14"/>
      <c r="V44" s="14">
        <f t="shared" si="2"/>
        <v>0</v>
      </c>
      <c r="W44" s="28">
        <v>27</v>
      </c>
      <c r="X44" s="13"/>
      <c r="Y44" s="14"/>
      <c r="Z44" s="14"/>
      <c r="AA44" s="14">
        <f t="shared" si="3"/>
        <v>0</v>
      </c>
      <c r="AB44" s="28">
        <v>27</v>
      </c>
      <c r="AC44" s="13"/>
      <c r="AD44" s="14"/>
      <c r="AE44" s="14"/>
      <c r="AF44" s="14">
        <f t="shared" si="4"/>
        <v>0</v>
      </c>
      <c r="AG44" s="28">
        <v>27</v>
      </c>
      <c r="AH44" s="13"/>
      <c r="AI44" s="14"/>
      <c r="AJ44" s="14"/>
      <c r="AK44" s="14">
        <f t="shared" si="5"/>
        <v>0</v>
      </c>
      <c r="AL44" s="28">
        <v>27</v>
      </c>
      <c r="AM44" s="13"/>
      <c r="AN44" s="14"/>
      <c r="AO44" s="14"/>
      <c r="AP44" s="14">
        <f t="shared" si="6"/>
        <v>0</v>
      </c>
      <c r="AQ44" s="28">
        <v>27</v>
      </c>
      <c r="AR44" s="13"/>
      <c r="AS44" s="14"/>
      <c r="AT44" s="14"/>
      <c r="AU44" s="14">
        <f t="shared" si="7"/>
        <v>0</v>
      </c>
      <c r="AV44" s="28">
        <v>27</v>
      </c>
      <c r="AW44" s="13"/>
      <c r="AX44" s="14"/>
      <c r="AY44" s="14"/>
      <c r="AZ44" s="14">
        <f t="shared" si="8"/>
        <v>0</v>
      </c>
      <c r="BA44" s="28">
        <v>27</v>
      </c>
      <c r="BB44" s="13"/>
      <c r="BC44" s="14"/>
      <c r="BD44" s="14"/>
      <c r="BE44" s="14">
        <f t="shared" si="9"/>
        <v>0</v>
      </c>
    </row>
    <row r="45" spans="8:57" s="2" customFormat="1" ht="85.15" customHeight="1">
      <c r="H45" s="28">
        <v>28</v>
      </c>
      <c r="I45" s="13"/>
      <c r="J45" s="14"/>
      <c r="K45" s="14"/>
      <c r="L45" s="14">
        <f t="shared" si="0"/>
        <v>0</v>
      </c>
      <c r="M45" s="28">
        <v>28</v>
      </c>
      <c r="N45" s="13"/>
      <c r="O45" s="14"/>
      <c r="P45" s="14"/>
      <c r="Q45" s="14">
        <f t="shared" si="1"/>
        <v>0</v>
      </c>
      <c r="R45" s="28">
        <v>28</v>
      </c>
      <c r="S45" s="13"/>
      <c r="T45" s="14"/>
      <c r="U45" s="14"/>
      <c r="V45" s="14">
        <f t="shared" si="2"/>
        <v>0</v>
      </c>
      <c r="W45" s="28">
        <v>28</v>
      </c>
      <c r="X45" s="13"/>
      <c r="Y45" s="14"/>
      <c r="Z45" s="14"/>
      <c r="AA45" s="14">
        <f t="shared" si="3"/>
        <v>0</v>
      </c>
      <c r="AB45" s="28">
        <v>28</v>
      </c>
      <c r="AC45" s="13"/>
      <c r="AD45" s="14"/>
      <c r="AE45" s="14"/>
      <c r="AF45" s="14">
        <f t="shared" si="4"/>
        <v>0</v>
      </c>
      <c r="AG45" s="28">
        <v>28</v>
      </c>
      <c r="AH45" s="13"/>
      <c r="AI45" s="14"/>
      <c r="AJ45" s="14"/>
      <c r="AK45" s="14">
        <f t="shared" si="5"/>
        <v>0</v>
      </c>
      <c r="AL45" s="28">
        <v>28</v>
      </c>
      <c r="AM45" s="13"/>
      <c r="AN45" s="14"/>
      <c r="AO45" s="14"/>
      <c r="AP45" s="14">
        <f t="shared" si="6"/>
        <v>0</v>
      </c>
      <c r="AQ45" s="28">
        <v>28</v>
      </c>
      <c r="AR45" s="13"/>
      <c r="AS45" s="14"/>
      <c r="AT45" s="14"/>
      <c r="AU45" s="14">
        <f t="shared" si="7"/>
        <v>0</v>
      </c>
      <c r="AV45" s="28">
        <v>28</v>
      </c>
      <c r="AW45" s="13"/>
      <c r="AX45" s="14"/>
      <c r="AY45" s="14"/>
      <c r="AZ45" s="14">
        <f t="shared" si="8"/>
        <v>0</v>
      </c>
      <c r="BA45" s="28">
        <v>28</v>
      </c>
      <c r="BB45" s="13"/>
      <c r="BC45" s="14"/>
      <c r="BD45" s="14"/>
      <c r="BE45" s="14">
        <f t="shared" si="9"/>
        <v>0</v>
      </c>
    </row>
    <row r="46" spans="8:57" s="2" customFormat="1" ht="85.15" customHeight="1">
      <c r="H46" s="28">
        <v>29</v>
      </c>
      <c r="I46" s="13"/>
      <c r="J46" s="14"/>
      <c r="K46" s="14"/>
      <c r="L46" s="14">
        <f t="shared" si="0"/>
        <v>0</v>
      </c>
      <c r="M46" s="28">
        <v>29</v>
      </c>
      <c r="N46" s="13"/>
      <c r="O46" s="14"/>
      <c r="P46" s="14"/>
      <c r="Q46" s="14">
        <f t="shared" si="1"/>
        <v>0</v>
      </c>
      <c r="R46" s="28">
        <v>29</v>
      </c>
      <c r="S46" s="13"/>
      <c r="T46" s="14"/>
      <c r="U46" s="14"/>
      <c r="V46" s="14">
        <f t="shared" si="2"/>
        <v>0</v>
      </c>
      <c r="W46" s="28">
        <v>29</v>
      </c>
      <c r="X46" s="13"/>
      <c r="Y46" s="14"/>
      <c r="Z46" s="14"/>
      <c r="AA46" s="14">
        <f t="shared" si="3"/>
        <v>0</v>
      </c>
      <c r="AB46" s="28">
        <v>29</v>
      </c>
      <c r="AC46" s="13"/>
      <c r="AD46" s="14"/>
      <c r="AE46" s="14"/>
      <c r="AF46" s="14">
        <f t="shared" si="4"/>
        <v>0</v>
      </c>
      <c r="AG46" s="28">
        <v>29</v>
      </c>
      <c r="AH46" s="13"/>
      <c r="AI46" s="14"/>
      <c r="AJ46" s="14"/>
      <c r="AK46" s="14">
        <f t="shared" si="5"/>
        <v>0</v>
      </c>
      <c r="AL46" s="28">
        <v>29</v>
      </c>
      <c r="AM46" s="13"/>
      <c r="AN46" s="14"/>
      <c r="AO46" s="14"/>
      <c r="AP46" s="14">
        <f t="shared" si="6"/>
        <v>0</v>
      </c>
      <c r="AQ46" s="28">
        <v>29</v>
      </c>
      <c r="AR46" s="13"/>
      <c r="AS46" s="14"/>
      <c r="AT46" s="14"/>
      <c r="AU46" s="14">
        <f t="shared" si="7"/>
        <v>0</v>
      </c>
      <c r="AV46" s="28">
        <v>29</v>
      </c>
      <c r="AW46" s="13"/>
      <c r="AX46" s="14"/>
      <c r="AY46" s="14"/>
      <c r="AZ46" s="14">
        <f t="shared" si="8"/>
        <v>0</v>
      </c>
      <c r="BA46" s="28">
        <v>29</v>
      </c>
      <c r="BB46" s="13"/>
      <c r="BC46" s="14"/>
      <c r="BD46" s="14"/>
      <c r="BE46" s="14">
        <f t="shared" si="9"/>
        <v>0</v>
      </c>
    </row>
    <row r="47" spans="8:57" s="2" customFormat="1" ht="85.15" customHeight="1">
      <c r="H47" s="28">
        <v>30</v>
      </c>
      <c r="I47" s="13"/>
      <c r="J47" s="14"/>
      <c r="K47" s="14"/>
      <c r="L47" s="14">
        <f t="shared" si="0"/>
        <v>0</v>
      </c>
      <c r="M47" s="28">
        <v>30</v>
      </c>
      <c r="N47" s="13"/>
      <c r="O47" s="14"/>
      <c r="P47" s="14"/>
      <c r="Q47" s="14">
        <f t="shared" si="1"/>
        <v>0</v>
      </c>
      <c r="R47" s="28">
        <v>30</v>
      </c>
      <c r="S47" s="13"/>
      <c r="T47" s="14"/>
      <c r="U47" s="14"/>
      <c r="V47" s="14">
        <f t="shared" si="2"/>
        <v>0</v>
      </c>
      <c r="W47" s="28">
        <v>30</v>
      </c>
      <c r="X47" s="13"/>
      <c r="Y47" s="14"/>
      <c r="Z47" s="14"/>
      <c r="AA47" s="14">
        <f t="shared" si="3"/>
        <v>0</v>
      </c>
      <c r="AB47" s="28">
        <v>30</v>
      </c>
      <c r="AC47" s="13"/>
      <c r="AD47" s="14"/>
      <c r="AE47" s="14"/>
      <c r="AF47" s="14">
        <f t="shared" si="4"/>
        <v>0</v>
      </c>
      <c r="AG47" s="28">
        <v>30</v>
      </c>
      <c r="AH47" s="13"/>
      <c r="AI47" s="14"/>
      <c r="AJ47" s="14"/>
      <c r="AK47" s="14">
        <f t="shared" si="5"/>
        <v>0</v>
      </c>
      <c r="AL47" s="28">
        <v>30</v>
      </c>
      <c r="AM47" s="13"/>
      <c r="AN47" s="14"/>
      <c r="AO47" s="14"/>
      <c r="AP47" s="14">
        <f t="shared" si="6"/>
        <v>0</v>
      </c>
      <c r="AQ47" s="28">
        <v>30</v>
      </c>
      <c r="AR47" s="13"/>
      <c r="AS47" s="14"/>
      <c r="AT47" s="14"/>
      <c r="AU47" s="14">
        <f t="shared" si="7"/>
        <v>0</v>
      </c>
      <c r="AV47" s="28">
        <v>30</v>
      </c>
      <c r="AW47" s="13"/>
      <c r="AX47" s="14"/>
      <c r="AY47" s="14"/>
      <c r="AZ47" s="14">
        <f t="shared" si="8"/>
        <v>0</v>
      </c>
      <c r="BA47" s="28">
        <v>30</v>
      </c>
      <c r="BB47" s="13"/>
      <c r="BC47" s="14"/>
      <c r="BD47" s="14"/>
      <c r="BE47" s="14">
        <f t="shared" si="9"/>
        <v>0</v>
      </c>
    </row>
    <row r="48" spans="8:57" s="2" customFormat="1" ht="85.15" customHeight="1">
      <c r="H48" s="28">
        <v>31</v>
      </c>
      <c r="I48" s="13"/>
      <c r="J48" s="14"/>
      <c r="K48" s="14"/>
      <c r="L48" s="14">
        <f t="shared" si="0"/>
        <v>0</v>
      </c>
      <c r="M48" s="28">
        <v>31</v>
      </c>
      <c r="N48" s="13"/>
      <c r="O48" s="14"/>
      <c r="P48" s="14"/>
      <c r="Q48" s="14">
        <f t="shared" si="1"/>
        <v>0</v>
      </c>
      <c r="R48" s="28">
        <v>31</v>
      </c>
      <c r="S48" s="13"/>
      <c r="T48" s="14"/>
      <c r="U48" s="14"/>
      <c r="V48" s="14">
        <f t="shared" si="2"/>
        <v>0</v>
      </c>
      <c r="W48" s="28">
        <v>31</v>
      </c>
      <c r="X48" s="13"/>
      <c r="Y48" s="14"/>
      <c r="Z48" s="14"/>
      <c r="AA48" s="14">
        <f t="shared" si="3"/>
        <v>0</v>
      </c>
      <c r="AB48" s="28">
        <v>31</v>
      </c>
      <c r="AC48" s="13"/>
      <c r="AD48" s="14"/>
      <c r="AE48" s="14"/>
      <c r="AF48" s="14">
        <f t="shared" si="4"/>
        <v>0</v>
      </c>
      <c r="AG48" s="28">
        <v>31</v>
      </c>
      <c r="AH48" s="13"/>
      <c r="AI48" s="14"/>
      <c r="AJ48" s="14"/>
      <c r="AK48" s="14">
        <f t="shared" si="5"/>
        <v>0</v>
      </c>
      <c r="AL48" s="28">
        <v>31</v>
      </c>
      <c r="AM48" s="13"/>
      <c r="AN48" s="14"/>
      <c r="AO48" s="14"/>
      <c r="AP48" s="14">
        <f t="shared" si="6"/>
        <v>0</v>
      </c>
      <c r="AQ48" s="28">
        <v>31</v>
      </c>
      <c r="AR48" s="13"/>
      <c r="AS48" s="14"/>
      <c r="AT48" s="14"/>
      <c r="AU48" s="14">
        <f t="shared" si="7"/>
        <v>0</v>
      </c>
      <c r="AV48" s="28">
        <v>31</v>
      </c>
      <c r="AW48" s="13"/>
      <c r="AX48" s="14"/>
      <c r="AY48" s="14"/>
      <c r="AZ48" s="14">
        <f t="shared" si="8"/>
        <v>0</v>
      </c>
      <c r="BA48" s="28">
        <v>31</v>
      </c>
      <c r="BB48" s="13"/>
      <c r="BC48" s="14"/>
      <c r="BD48" s="14"/>
      <c r="BE48" s="14">
        <f t="shared" si="9"/>
        <v>0</v>
      </c>
    </row>
    <row r="49" spans="8:57" s="2" customFormat="1" ht="85.15" customHeight="1">
      <c r="H49" s="28">
        <v>32</v>
      </c>
      <c r="I49" s="13"/>
      <c r="J49" s="14"/>
      <c r="K49" s="14"/>
      <c r="L49" s="14">
        <f t="shared" si="0"/>
        <v>0</v>
      </c>
      <c r="M49" s="28">
        <v>32</v>
      </c>
      <c r="N49" s="13"/>
      <c r="O49" s="14"/>
      <c r="P49" s="14"/>
      <c r="Q49" s="14">
        <f t="shared" si="1"/>
        <v>0</v>
      </c>
      <c r="R49" s="28">
        <v>32</v>
      </c>
      <c r="S49" s="13"/>
      <c r="T49" s="14"/>
      <c r="U49" s="14"/>
      <c r="V49" s="14">
        <f t="shared" si="2"/>
        <v>0</v>
      </c>
      <c r="W49" s="28">
        <v>32</v>
      </c>
      <c r="X49" s="13"/>
      <c r="Y49" s="14"/>
      <c r="Z49" s="14"/>
      <c r="AA49" s="14">
        <f t="shared" si="3"/>
        <v>0</v>
      </c>
      <c r="AB49" s="28">
        <v>32</v>
      </c>
      <c r="AC49" s="13"/>
      <c r="AD49" s="14"/>
      <c r="AE49" s="14"/>
      <c r="AF49" s="14">
        <f t="shared" si="4"/>
        <v>0</v>
      </c>
      <c r="AG49" s="28">
        <v>32</v>
      </c>
      <c r="AH49" s="13"/>
      <c r="AI49" s="14"/>
      <c r="AJ49" s="14"/>
      <c r="AK49" s="14">
        <f t="shared" si="5"/>
        <v>0</v>
      </c>
      <c r="AL49" s="28">
        <v>32</v>
      </c>
      <c r="AM49" s="13"/>
      <c r="AN49" s="14"/>
      <c r="AO49" s="14"/>
      <c r="AP49" s="14">
        <f t="shared" si="6"/>
        <v>0</v>
      </c>
      <c r="AQ49" s="28">
        <v>32</v>
      </c>
      <c r="AR49" s="13"/>
      <c r="AS49" s="14"/>
      <c r="AT49" s="14"/>
      <c r="AU49" s="14">
        <f t="shared" si="7"/>
        <v>0</v>
      </c>
      <c r="AV49" s="28">
        <v>32</v>
      </c>
      <c r="AW49" s="13"/>
      <c r="AX49" s="14"/>
      <c r="AY49" s="14"/>
      <c r="AZ49" s="14">
        <f t="shared" si="8"/>
        <v>0</v>
      </c>
      <c r="BA49" s="28">
        <v>32</v>
      </c>
      <c r="BB49" s="13"/>
      <c r="BC49" s="14"/>
      <c r="BD49" s="14"/>
      <c r="BE49" s="14">
        <f t="shared" si="9"/>
        <v>0</v>
      </c>
    </row>
    <row r="50" spans="8:57" s="2" customFormat="1" ht="85.15" customHeight="1">
      <c r="H50" s="28">
        <v>33</v>
      </c>
      <c r="I50" s="13"/>
      <c r="J50" s="14"/>
      <c r="K50" s="14"/>
      <c r="L50" s="14">
        <f t="shared" si="0"/>
        <v>0</v>
      </c>
      <c r="M50" s="28">
        <v>33</v>
      </c>
      <c r="N50" s="13"/>
      <c r="O50" s="14"/>
      <c r="P50" s="14"/>
      <c r="Q50" s="14">
        <f t="shared" si="1"/>
        <v>0</v>
      </c>
      <c r="R50" s="28">
        <v>33</v>
      </c>
      <c r="S50" s="13"/>
      <c r="T50" s="14"/>
      <c r="U50" s="14"/>
      <c r="V50" s="14">
        <f t="shared" si="2"/>
        <v>0</v>
      </c>
      <c r="W50" s="28">
        <v>33</v>
      </c>
      <c r="X50" s="13"/>
      <c r="Y50" s="14"/>
      <c r="Z50" s="14"/>
      <c r="AA50" s="14">
        <f t="shared" si="3"/>
        <v>0</v>
      </c>
      <c r="AB50" s="28">
        <v>33</v>
      </c>
      <c r="AC50" s="13"/>
      <c r="AD50" s="14"/>
      <c r="AE50" s="14"/>
      <c r="AF50" s="14">
        <f t="shared" si="4"/>
        <v>0</v>
      </c>
      <c r="AG50" s="28">
        <v>33</v>
      </c>
      <c r="AH50" s="13"/>
      <c r="AI50" s="14"/>
      <c r="AJ50" s="14"/>
      <c r="AK50" s="14">
        <f t="shared" si="5"/>
        <v>0</v>
      </c>
      <c r="AL50" s="28">
        <v>33</v>
      </c>
      <c r="AM50" s="13"/>
      <c r="AN50" s="14"/>
      <c r="AO50" s="14"/>
      <c r="AP50" s="14">
        <f t="shared" si="6"/>
        <v>0</v>
      </c>
      <c r="AQ50" s="28">
        <v>33</v>
      </c>
      <c r="AR50" s="13"/>
      <c r="AS50" s="14"/>
      <c r="AT50" s="14"/>
      <c r="AU50" s="14">
        <f t="shared" si="7"/>
        <v>0</v>
      </c>
      <c r="AV50" s="28">
        <v>33</v>
      </c>
      <c r="AW50" s="13"/>
      <c r="AX50" s="14"/>
      <c r="AY50" s="14"/>
      <c r="AZ50" s="14">
        <f t="shared" si="8"/>
        <v>0</v>
      </c>
      <c r="BA50" s="28">
        <v>33</v>
      </c>
      <c r="BB50" s="13"/>
      <c r="BC50" s="14"/>
      <c r="BD50" s="14"/>
      <c r="BE50" s="14">
        <f t="shared" si="9"/>
        <v>0</v>
      </c>
    </row>
    <row r="51" spans="8:57" s="2" customFormat="1" ht="85.15" customHeight="1">
      <c r="H51" s="28">
        <v>34</v>
      </c>
      <c r="I51" s="13"/>
      <c r="J51" s="14"/>
      <c r="K51" s="14"/>
      <c r="L51" s="14">
        <f t="shared" si="0"/>
        <v>0</v>
      </c>
      <c r="M51" s="28">
        <v>34</v>
      </c>
      <c r="N51" s="13"/>
      <c r="O51" s="14"/>
      <c r="P51" s="14"/>
      <c r="Q51" s="14">
        <f t="shared" si="1"/>
        <v>0</v>
      </c>
      <c r="R51" s="28">
        <v>34</v>
      </c>
      <c r="S51" s="13"/>
      <c r="T51" s="14"/>
      <c r="U51" s="14"/>
      <c r="V51" s="14">
        <f t="shared" si="2"/>
        <v>0</v>
      </c>
      <c r="W51" s="28">
        <v>34</v>
      </c>
      <c r="X51" s="13"/>
      <c r="Y51" s="14"/>
      <c r="Z51" s="14"/>
      <c r="AA51" s="14">
        <f t="shared" si="3"/>
        <v>0</v>
      </c>
      <c r="AB51" s="28">
        <v>34</v>
      </c>
      <c r="AC51" s="13"/>
      <c r="AD51" s="14"/>
      <c r="AE51" s="14"/>
      <c r="AF51" s="14">
        <f t="shared" si="4"/>
        <v>0</v>
      </c>
      <c r="AG51" s="28">
        <v>34</v>
      </c>
      <c r="AH51" s="13"/>
      <c r="AI51" s="14"/>
      <c r="AJ51" s="14"/>
      <c r="AK51" s="14">
        <f t="shared" si="5"/>
        <v>0</v>
      </c>
      <c r="AL51" s="28">
        <v>34</v>
      </c>
      <c r="AM51" s="13"/>
      <c r="AN51" s="14"/>
      <c r="AO51" s="14"/>
      <c r="AP51" s="14">
        <f t="shared" si="6"/>
        <v>0</v>
      </c>
      <c r="AQ51" s="28">
        <v>34</v>
      </c>
      <c r="AR51" s="13"/>
      <c r="AS51" s="14"/>
      <c r="AT51" s="14"/>
      <c r="AU51" s="14">
        <f t="shared" si="7"/>
        <v>0</v>
      </c>
      <c r="AV51" s="28">
        <v>34</v>
      </c>
      <c r="AW51" s="13"/>
      <c r="AX51" s="14"/>
      <c r="AY51" s="14"/>
      <c r="AZ51" s="14">
        <f t="shared" si="8"/>
        <v>0</v>
      </c>
      <c r="BA51" s="28">
        <v>34</v>
      </c>
      <c r="BB51" s="13"/>
      <c r="BC51" s="14"/>
      <c r="BD51" s="14"/>
      <c r="BE51" s="14">
        <f t="shared" si="9"/>
        <v>0</v>
      </c>
    </row>
    <row r="52" spans="8:57" s="2" customFormat="1" ht="85.15" customHeight="1">
      <c r="H52" s="28">
        <v>35</v>
      </c>
      <c r="I52" s="13"/>
      <c r="J52" s="14"/>
      <c r="K52" s="14"/>
      <c r="L52" s="14">
        <f t="shared" si="0"/>
        <v>0</v>
      </c>
      <c r="M52" s="28">
        <v>35</v>
      </c>
      <c r="N52" s="13"/>
      <c r="O52" s="14"/>
      <c r="P52" s="14"/>
      <c r="Q52" s="14">
        <f t="shared" si="1"/>
        <v>0</v>
      </c>
      <c r="R52" s="28">
        <v>35</v>
      </c>
      <c r="S52" s="13"/>
      <c r="T52" s="14"/>
      <c r="U52" s="14"/>
      <c r="V52" s="14">
        <f t="shared" si="2"/>
        <v>0</v>
      </c>
      <c r="W52" s="28">
        <v>35</v>
      </c>
      <c r="X52" s="13"/>
      <c r="Y52" s="14"/>
      <c r="Z52" s="14"/>
      <c r="AA52" s="14">
        <f t="shared" si="3"/>
        <v>0</v>
      </c>
      <c r="AB52" s="28">
        <v>35</v>
      </c>
      <c r="AC52" s="13"/>
      <c r="AD52" s="14"/>
      <c r="AE52" s="14"/>
      <c r="AF52" s="14">
        <f t="shared" si="4"/>
        <v>0</v>
      </c>
      <c r="AG52" s="28">
        <v>35</v>
      </c>
      <c r="AH52" s="13"/>
      <c r="AI52" s="14"/>
      <c r="AJ52" s="14"/>
      <c r="AK52" s="14">
        <f t="shared" si="5"/>
        <v>0</v>
      </c>
      <c r="AL52" s="28">
        <v>35</v>
      </c>
      <c r="AM52" s="13"/>
      <c r="AN52" s="14"/>
      <c r="AO52" s="14"/>
      <c r="AP52" s="14">
        <f t="shared" si="6"/>
        <v>0</v>
      </c>
      <c r="AQ52" s="28">
        <v>35</v>
      </c>
      <c r="AR52" s="13"/>
      <c r="AS52" s="14"/>
      <c r="AT52" s="14"/>
      <c r="AU52" s="14">
        <f t="shared" si="7"/>
        <v>0</v>
      </c>
      <c r="AV52" s="28">
        <v>35</v>
      </c>
      <c r="AW52" s="13"/>
      <c r="AX52" s="14"/>
      <c r="AY52" s="14"/>
      <c r="AZ52" s="14">
        <f t="shared" si="8"/>
        <v>0</v>
      </c>
      <c r="BA52" s="28">
        <v>35</v>
      </c>
      <c r="BB52" s="13"/>
      <c r="BC52" s="14"/>
      <c r="BD52" s="14"/>
      <c r="BE52" s="14">
        <f t="shared" si="9"/>
        <v>0</v>
      </c>
    </row>
    <row r="53" spans="8:57" s="2" customFormat="1" ht="85.15" customHeight="1">
      <c r="H53" s="28">
        <v>36</v>
      </c>
      <c r="I53" s="13"/>
      <c r="J53" s="14"/>
      <c r="K53" s="14"/>
      <c r="L53" s="14">
        <f t="shared" si="0"/>
        <v>0</v>
      </c>
      <c r="M53" s="28">
        <v>36</v>
      </c>
      <c r="N53" s="13"/>
      <c r="O53" s="14"/>
      <c r="P53" s="14"/>
      <c r="Q53" s="14">
        <f t="shared" si="1"/>
        <v>0</v>
      </c>
      <c r="R53" s="28">
        <v>36</v>
      </c>
      <c r="S53" s="13"/>
      <c r="T53" s="14"/>
      <c r="U53" s="14"/>
      <c r="V53" s="14">
        <f t="shared" si="2"/>
        <v>0</v>
      </c>
      <c r="W53" s="28">
        <v>36</v>
      </c>
      <c r="X53" s="13"/>
      <c r="Y53" s="14"/>
      <c r="Z53" s="14"/>
      <c r="AA53" s="14">
        <f t="shared" si="3"/>
        <v>0</v>
      </c>
      <c r="AB53" s="28">
        <v>36</v>
      </c>
      <c r="AC53" s="13"/>
      <c r="AD53" s="14"/>
      <c r="AE53" s="14"/>
      <c r="AF53" s="14">
        <f t="shared" si="4"/>
        <v>0</v>
      </c>
      <c r="AG53" s="28">
        <v>36</v>
      </c>
      <c r="AH53" s="13"/>
      <c r="AI53" s="14"/>
      <c r="AJ53" s="14"/>
      <c r="AK53" s="14">
        <f t="shared" si="5"/>
        <v>0</v>
      </c>
      <c r="AL53" s="28">
        <v>36</v>
      </c>
      <c r="AM53" s="13"/>
      <c r="AN53" s="14"/>
      <c r="AO53" s="14"/>
      <c r="AP53" s="14">
        <f t="shared" si="6"/>
        <v>0</v>
      </c>
      <c r="AQ53" s="28">
        <v>36</v>
      </c>
      <c r="AR53" s="13"/>
      <c r="AS53" s="14"/>
      <c r="AT53" s="14"/>
      <c r="AU53" s="14">
        <f t="shared" si="7"/>
        <v>0</v>
      </c>
      <c r="AV53" s="28">
        <v>36</v>
      </c>
      <c r="AW53" s="13"/>
      <c r="AX53" s="14"/>
      <c r="AY53" s="14"/>
      <c r="AZ53" s="14">
        <f t="shared" si="8"/>
        <v>0</v>
      </c>
      <c r="BA53" s="28">
        <v>36</v>
      </c>
      <c r="BB53" s="13"/>
      <c r="BC53" s="14"/>
      <c r="BD53" s="14"/>
      <c r="BE53" s="14">
        <f t="shared" si="9"/>
        <v>0</v>
      </c>
    </row>
    <row r="54" spans="8:57" s="2" customFormat="1" ht="85.15" customHeight="1">
      <c r="H54" s="28">
        <v>37</v>
      </c>
      <c r="I54" s="13"/>
      <c r="J54" s="14"/>
      <c r="K54" s="14"/>
      <c r="L54" s="14">
        <f t="shared" si="0"/>
        <v>0</v>
      </c>
      <c r="M54" s="28">
        <v>37</v>
      </c>
      <c r="N54" s="13"/>
      <c r="O54" s="14"/>
      <c r="P54" s="14"/>
      <c r="Q54" s="14">
        <f t="shared" si="1"/>
        <v>0</v>
      </c>
      <c r="R54" s="28">
        <v>37</v>
      </c>
      <c r="S54" s="13"/>
      <c r="T54" s="14"/>
      <c r="U54" s="14"/>
      <c r="V54" s="14">
        <f t="shared" si="2"/>
        <v>0</v>
      </c>
      <c r="W54" s="28">
        <v>37</v>
      </c>
      <c r="X54" s="13"/>
      <c r="Y54" s="14"/>
      <c r="Z54" s="14"/>
      <c r="AA54" s="14">
        <f t="shared" si="3"/>
        <v>0</v>
      </c>
      <c r="AB54" s="28">
        <v>37</v>
      </c>
      <c r="AC54" s="13"/>
      <c r="AD54" s="14"/>
      <c r="AE54" s="14"/>
      <c r="AF54" s="14">
        <f t="shared" si="4"/>
        <v>0</v>
      </c>
      <c r="AG54" s="28">
        <v>37</v>
      </c>
      <c r="AH54" s="13"/>
      <c r="AI54" s="14"/>
      <c r="AJ54" s="14"/>
      <c r="AK54" s="14">
        <f t="shared" si="5"/>
        <v>0</v>
      </c>
      <c r="AL54" s="28">
        <v>37</v>
      </c>
      <c r="AM54" s="13"/>
      <c r="AN54" s="14"/>
      <c r="AO54" s="14"/>
      <c r="AP54" s="14">
        <f t="shared" si="6"/>
        <v>0</v>
      </c>
      <c r="AQ54" s="28">
        <v>37</v>
      </c>
      <c r="AR54" s="13"/>
      <c r="AS54" s="14"/>
      <c r="AT54" s="14"/>
      <c r="AU54" s="14">
        <f t="shared" si="7"/>
        <v>0</v>
      </c>
      <c r="AV54" s="28">
        <v>37</v>
      </c>
      <c r="AW54" s="13"/>
      <c r="AX54" s="14"/>
      <c r="AY54" s="14"/>
      <c r="AZ54" s="14">
        <f t="shared" si="8"/>
        <v>0</v>
      </c>
      <c r="BA54" s="28">
        <v>37</v>
      </c>
      <c r="BB54" s="13"/>
      <c r="BC54" s="14"/>
      <c r="BD54" s="14"/>
      <c r="BE54" s="14">
        <f t="shared" si="9"/>
        <v>0</v>
      </c>
    </row>
    <row r="55" spans="8:57" s="2" customFormat="1" ht="85.15" customHeight="1">
      <c r="H55" s="28">
        <v>38</v>
      </c>
      <c r="I55" s="13"/>
      <c r="J55" s="14"/>
      <c r="K55" s="14"/>
      <c r="L55" s="14">
        <f t="shared" si="0"/>
        <v>0</v>
      </c>
      <c r="M55" s="28">
        <v>38</v>
      </c>
      <c r="N55" s="13"/>
      <c r="O55" s="14"/>
      <c r="P55" s="14"/>
      <c r="Q55" s="14">
        <f t="shared" si="1"/>
        <v>0</v>
      </c>
      <c r="R55" s="28">
        <v>38</v>
      </c>
      <c r="S55" s="13"/>
      <c r="T55" s="14"/>
      <c r="U55" s="14"/>
      <c r="V55" s="14">
        <f t="shared" si="2"/>
        <v>0</v>
      </c>
      <c r="W55" s="28">
        <v>38</v>
      </c>
      <c r="X55" s="13"/>
      <c r="Y55" s="14"/>
      <c r="Z55" s="14"/>
      <c r="AA55" s="14">
        <f t="shared" si="3"/>
        <v>0</v>
      </c>
      <c r="AB55" s="28">
        <v>38</v>
      </c>
      <c r="AC55" s="13"/>
      <c r="AD55" s="14"/>
      <c r="AE55" s="14"/>
      <c r="AF55" s="14">
        <f t="shared" si="4"/>
        <v>0</v>
      </c>
      <c r="AG55" s="28">
        <v>38</v>
      </c>
      <c r="AH55" s="13"/>
      <c r="AI55" s="14"/>
      <c r="AJ55" s="14"/>
      <c r="AK55" s="14">
        <f t="shared" si="5"/>
        <v>0</v>
      </c>
      <c r="AL55" s="28">
        <v>38</v>
      </c>
      <c r="AM55" s="13"/>
      <c r="AN55" s="14"/>
      <c r="AO55" s="14"/>
      <c r="AP55" s="14">
        <f t="shared" si="6"/>
        <v>0</v>
      </c>
      <c r="AQ55" s="28">
        <v>38</v>
      </c>
      <c r="AR55" s="13"/>
      <c r="AS55" s="14"/>
      <c r="AT55" s="14"/>
      <c r="AU55" s="14">
        <f t="shared" si="7"/>
        <v>0</v>
      </c>
      <c r="AV55" s="28">
        <v>38</v>
      </c>
      <c r="AW55" s="13"/>
      <c r="AX55" s="14"/>
      <c r="AY55" s="14"/>
      <c r="AZ55" s="14">
        <f t="shared" si="8"/>
        <v>0</v>
      </c>
      <c r="BA55" s="28">
        <v>38</v>
      </c>
      <c r="BB55" s="13"/>
      <c r="BC55" s="14"/>
      <c r="BD55" s="14"/>
      <c r="BE55" s="14">
        <f t="shared" si="9"/>
        <v>0</v>
      </c>
    </row>
    <row r="56" spans="8:57" s="2" customFormat="1" ht="85.15" customHeight="1">
      <c r="H56" s="28">
        <v>39</v>
      </c>
      <c r="I56" s="13"/>
      <c r="J56" s="14"/>
      <c r="K56" s="14"/>
      <c r="L56" s="14">
        <f t="shared" si="0"/>
        <v>0</v>
      </c>
      <c r="M56" s="28">
        <v>39</v>
      </c>
      <c r="N56" s="13"/>
      <c r="O56" s="14"/>
      <c r="P56" s="14"/>
      <c r="Q56" s="14">
        <f t="shared" si="1"/>
        <v>0</v>
      </c>
      <c r="R56" s="28">
        <v>39</v>
      </c>
      <c r="S56" s="13"/>
      <c r="T56" s="14"/>
      <c r="U56" s="14"/>
      <c r="V56" s="14">
        <f t="shared" si="2"/>
        <v>0</v>
      </c>
      <c r="W56" s="28">
        <v>39</v>
      </c>
      <c r="X56" s="13"/>
      <c r="Y56" s="14"/>
      <c r="Z56" s="14"/>
      <c r="AA56" s="14">
        <f t="shared" si="3"/>
        <v>0</v>
      </c>
      <c r="AB56" s="28">
        <v>39</v>
      </c>
      <c r="AC56" s="13"/>
      <c r="AD56" s="14"/>
      <c r="AE56" s="14"/>
      <c r="AF56" s="14">
        <f t="shared" si="4"/>
        <v>0</v>
      </c>
      <c r="AG56" s="28">
        <v>39</v>
      </c>
      <c r="AH56" s="13"/>
      <c r="AI56" s="14"/>
      <c r="AJ56" s="14"/>
      <c r="AK56" s="14">
        <f t="shared" si="5"/>
        <v>0</v>
      </c>
      <c r="AL56" s="28">
        <v>39</v>
      </c>
      <c r="AM56" s="13"/>
      <c r="AN56" s="14"/>
      <c r="AO56" s="14"/>
      <c r="AP56" s="14">
        <f t="shared" si="6"/>
        <v>0</v>
      </c>
      <c r="AQ56" s="28">
        <v>39</v>
      </c>
      <c r="AR56" s="13"/>
      <c r="AS56" s="14"/>
      <c r="AT56" s="14"/>
      <c r="AU56" s="14">
        <f t="shared" si="7"/>
        <v>0</v>
      </c>
      <c r="AV56" s="28">
        <v>39</v>
      </c>
      <c r="AW56" s="13"/>
      <c r="AX56" s="14"/>
      <c r="AY56" s="14"/>
      <c r="AZ56" s="14">
        <f t="shared" si="8"/>
        <v>0</v>
      </c>
      <c r="BA56" s="28">
        <v>39</v>
      </c>
      <c r="BB56" s="13"/>
      <c r="BC56" s="14"/>
      <c r="BD56" s="14"/>
      <c r="BE56" s="14">
        <f t="shared" si="9"/>
        <v>0</v>
      </c>
    </row>
    <row r="57" spans="8:57" s="2" customFormat="1" ht="85.15" customHeight="1">
      <c r="H57" s="28">
        <v>40</v>
      </c>
      <c r="I57" s="13"/>
      <c r="J57" s="14"/>
      <c r="K57" s="14"/>
      <c r="L57" s="14">
        <f t="shared" si="0"/>
        <v>0</v>
      </c>
      <c r="M57" s="28">
        <v>40</v>
      </c>
      <c r="N57" s="13"/>
      <c r="O57" s="14"/>
      <c r="P57" s="14"/>
      <c r="Q57" s="14">
        <f t="shared" si="1"/>
        <v>0</v>
      </c>
      <c r="R57" s="28">
        <v>40</v>
      </c>
      <c r="S57" s="13"/>
      <c r="T57" s="14"/>
      <c r="U57" s="14"/>
      <c r="V57" s="14">
        <f t="shared" si="2"/>
        <v>0</v>
      </c>
      <c r="W57" s="28">
        <v>40</v>
      </c>
      <c r="X57" s="13"/>
      <c r="Y57" s="14"/>
      <c r="Z57" s="14"/>
      <c r="AA57" s="14">
        <f t="shared" si="3"/>
        <v>0</v>
      </c>
      <c r="AB57" s="28">
        <v>40</v>
      </c>
      <c r="AC57" s="13"/>
      <c r="AD57" s="14"/>
      <c r="AE57" s="14"/>
      <c r="AF57" s="14">
        <f t="shared" si="4"/>
        <v>0</v>
      </c>
      <c r="AG57" s="28">
        <v>40</v>
      </c>
      <c r="AH57" s="13"/>
      <c r="AI57" s="14"/>
      <c r="AJ57" s="14"/>
      <c r="AK57" s="14">
        <f t="shared" si="5"/>
        <v>0</v>
      </c>
      <c r="AL57" s="28">
        <v>40</v>
      </c>
      <c r="AM57" s="13"/>
      <c r="AN57" s="14"/>
      <c r="AO57" s="14"/>
      <c r="AP57" s="14">
        <f t="shared" si="6"/>
        <v>0</v>
      </c>
      <c r="AQ57" s="28">
        <v>40</v>
      </c>
      <c r="AR57" s="13"/>
      <c r="AS57" s="14"/>
      <c r="AT57" s="14"/>
      <c r="AU57" s="14">
        <f t="shared" si="7"/>
        <v>0</v>
      </c>
      <c r="AV57" s="28">
        <v>40</v>
      </c>
      <c r="AW57" s="13"/>
      <c r="AX57" s="14"/>
      <c r="AY57" s="14"/>
      <c r="AZ57" s="14">
        <f t="shared" si="8"/>
        <v>0</v>
      </c>
      <c r="BA57" s="28">
        <v>40</v>
      </c>
      <c r="BB57" s="13"/>
      <c r="BC57" s="14"/>
      <c r="BD57" s="14"/>
      <c r="BE57" s="14">
        <f t="shared" si="9"/>
        <v>0</v>
      </c>
    </row>
    <row r="58" spans="8:57" s="2" customFormat="1" ht="85.15" customHeight="1">
      <c r="H58" s="28">
        <v>41</v>
      </c>
      <c r="I58" s="13"/>
      <c r="J58" s="14"/>
      <c r="K58" s="14"/>
      <c r="L58" s="14">
        <f t="shared" si="0"/>
        <v>0</v>
      </c>
      <c r="M58" s="28">
        <v>41</v>
      </c>
      <c r="N58" s="13"/>
      <c r="O58" s="14"/>
      <c r="P58" s="14"/>
      <c r="Q58" s="14">
        <f t="shared" si="1"/>
        <v>0</v>
      </c>
      <c r="R58" s="28">
        <v>41</v>
      </c>
      <c r="S58" s="13"/>
      <c r="T58" s="14"/>
      <c r="U58" s="14"/>
      <c r="V58" s="14">
        <f t="shared" si="2"/>
        <v>0</v>
      </c>
      <c r="W58" s="28">
        <v>41</v>
      </c>
      <c r="X58" s="13"/>
      <c r="Y58" s="14"/>
      <c r="Z58" s="14"/>
      <c r="AA58" s="14">
        <f t="shared" si="3"/>
        <v>0</v>
      </c>
      <c r="AB58" s="28">
        <v>41</v>
      </c>
      <c r="AC58" s="13"/>
      <c r="AD58" s="14"/>
      <c r="AE58" s="14"/>
      <c r="AF58" s="14">
        <f t="shared" si="4"/>
        <v>0</v>
      </c>
      <c r="AG58" s="28">
        <v>41</v>
      </c>
      <c r="AH58" s="13"/>
      <c r="AI58" s="14"/>
      <c r="AJ58" s="14"/>
      <c r="AK58" s="14">
        <f t="shared" si="5"/>
        <v>0</v>
      </c>
      <c r="AL58" s="28">
        <v>41</v>
      </c>
      <c r="AM58" s="13"/>
      <c r="AN58" s="14"/>
      <c r="AO58" s="14"/>
      <c r="AP58" s="14">
        <f t="shared" si="6"/>
        <v>0</v>
      </c>
      <c r="AQ58" s="28">
        <v>41</v>
      </c>
      <c r="AR58" s="13"/>
      <c r="AS58" s="14"/>
      <c r="AT58" s="14"/>
      <c r="AU58" s="14">
        <f t="shared" si="7"/>
        <v>0</v>
      </c>
      <c r="AV58" s="28">
        <v>41</v>
      </c>
      <c r="AW58" s="13"/>
      <c r="AX58" s="14"/>
      <c r="AY58" s="14"/>
      <c r="AZ58" s="14">
        <f t="shared" si="8"/>
        <v>0</v>
      </c>
      <c r="BA58" s="28">
        <v>41</v>
      </c>
      <c r="BB58" s="13"/>
      <c r="BC58" s="14"/>
      <c r="BD58" s="14"/>
      <c r="BE58" s="14">
        <f t="shared" si="9"/>
        <v>0</v>
      </c>
    </row>
    <row r="59" spans="8:57" s="2" customFormat="1" ht="85.15" customHeight="1">
      <c r="H59" s="28">
        <v>42</v>
      </c>
      <c r="I59" s="13"/>
      <c r="J59" s="14"/>
      <c r="K59" s="14"/>
      <c r="L59" s="14">
        <f t="shared" si="0"/>
        <v>0</v>
      </c>
      <c r="M59" s="28">
        <v>42</v>
      </c>
      <c r="N59" s="13"/>
      <c r="O59" s="14"/>
      <c r="P59" s="14"/>
      <c r="Q59" s="14">
        <f t="shared" si="1"/>
        <v>0</v>
      </c>
      <c r="R59" s="28">
        <v>42</v>
      </c>
      <c r="S59" s="13"/>
      <c r="T59" s="14"/>
      <c r="U59" s="14"/>
      <c r="V59" s="14">
        <f t="shared" si="2"/>
        <v>0</v>
      </c>
      <c r="W59" s="28">
        <v>42</v>
      </c>
      <c r="X59" s="13"/>
      <c r="Y59" s="14"/>
      <c r="Z59" s="14"/>
      <c r="AA59" s="14">
        <f t="shared" si="3"/>
        <v>0</v>
      </c>
      <c r="AB59" s="28">
        <v>42</v>
      </c>
      <c r="AC59" s="13"/>
      <c r="AD59" s="14"/>
      <c r="AE59" s="14"/>
      <c r="AF59" s="14">
        <f t="shared" si="4"/>
        <v>0</v>
      </c>
      <c r="AG59" s="28">
        <v>42</v>
      </c>
      <c r="AH59" s="13"/>
      <c r="AI59" s="14"/>
      <c r="AJ59" s="14"/>
      <c r="AK59" s="14">
        <f t="shared" si="5"/>
        <v>0</v>
      </c>
      <c r="AL59" s="28">
        <v>42</v>
      </c>
      <c r="AM59" s="13"/>
      <c r="AN59" s="14"/>
      <c r="AO59" s="14"/>
      <c r="AP59" s="14">
        <f t="shared" si="6"/>
        <v>0</v>
      </c>
      <c r="AQ59" s="28">
        <v>42</v>
      </c>
      <c r="AR59" s="13"/>
      <c r="AS59" s="14"/>
      <c r="AT59" s="14"/>
      <c r="AU59" s="14">
        <f t="shared" si="7"/>
        <v>0</v>
      </c>
      <c r="AV59" s="28">
        <v>42</v>
      </c>
      <c r="AW59" s="13"/>
      <c r="AX59" s="14"/>
      <c r="AY59" s="14"/>
      <c r="AZ59" s="14">
        <f t="shared" si="8"/>
        <v>0</v>
      </c>
      <c r="BA59" s="28">
        <v>42</v>
      </c>
      <c r="BB59" s="13"/>
      <c r="BC59" s="14"/>
      <c r="BD59" s="14"/>
      <c r="BE59" s="14">
        <f t="shared" si="9"/>
        <v>0</v>
      </c>
    </row>
    <row r="60" spans="8:57" s="2" customFormat="1" ht="85.15" customHeight="1">
      <c r="H60" s="28">
        <v>43</v>
      </c>
      <c r="I60" s="13"/>
      <c r="J60" s="14"/>
      <c r="K60" s="14"/>
      <c r="L60" s="14">
        <f t="shared" si="0"/>
        <v>0</v>
      </c>
      <c r="M60" s="28">
        <v>43</v>
      </c>
      <c r="N60" s="13"/>
      <c r="O60" s="14"/>
      <c r="P60" s="14"/>
      <c r="Q60" s="14">
        <f t="shared" si="1"/>
        <v>0</v>
      </c>
      <c r="R60" s="28">
        <v>43</v>
      </c>
      <c r="S60" s="13"/>
      <c r="T60" s="14"/>
      <c r="U60" s="14"/>
      <c r="V60" s="14">
        <f t="shared" si="2"/>
        <v>0</v>
      </c>
      <c r="W60" s="28">
        <v>43</v>
      </c>
      <c r="X60" s="13"/>
      <c r="Y60" s="14"/>
      <c r="Z60" s="14"/>
      <c r="AA60" s="14">
        <f t="shared" si="3"/>
        <v>0</v>
      </c>
      <c r="AB60" s="28">
        <v>43</v>
      </c>
      <c r="AC60" s="13"/>
      <c r="AD60" s="14"/>
      <c r="AE60" s="14"/>
      <c r="AF60" s="14">
        <f t="shared" si="4"/>
        <v>0</v>
      </c>
      <c r="AG60" s="28">
        <v>43</v>
      </c>
      <c r="AH60" s="13"/>
      <c r="AI60" s="14"/>
      <c r="AJ60" s="14"/>
      <c r="AK60" s="14">
        <f t="shared" si="5"/>
        <v>0</v>
      </c>
      <c r="AL60" s="28">
        <v>43</v>
      </c>
      <c r="AM60" s="13"/>
      <c r="AN60" s="14"/>
      <c r="AO60" s="14"/>
      <c r="AP60" s="14">
        <f t="shared" si="6"/>
        <v>0</v>
      </c>
      <c r="AQ60" s="28">
        <v>43</v>
      </c>
      <c r="AR60" s="13"/>
      <c r="AS60" s="14"/>
      <c r="AT60" s="14"/>
      <c r="AU60" s="14">
        <f t="shared" si="7"/>
        <v>0</v>
      </c>
      <c r="AV60" s="28">
        <v>43</v>
      </c>
      <c r="AW60" s="13"/>
      <c r="AX60" s="14"/>
      <c r="AY60" s="14"/>
      <c r="AZ60" s="14">
        <f t="shared" si="8"/>
        <v>0</v>
      </c>
      <c r="BA60" s="28">
        <v>43</v>
      </c>
      <c r="BB60" s="13"/>
      <c r="BC60" s="14"/>
      <c r="BD60" s="14"/>
      <c r="BE60" s="14">
        <f t="shared" si="9"/>
        <v>0</v>
      </c>
    </row>
    <row r="61" spans="8:57" s="2" customFormat="1" ht="85.15" customHeight="1">
      <c r="H61" s="28">
        <v>44</v>
      </c>
      <c r="I61" s="13"/>
      <c r="J61" s="14"/>
      <c r="K61" s="14"/>
      <c r="L61" s="14">
        <f t="shared" si="0"/>
        <v>0</v>
      </c>
      <c r="M61" s="28">
        <v>44</v>
      </c>
      <c r="N61" s="13"/>
      <c r="O61" s="14"/>
      <c r="P61" s="14"/>
      <c r="Q61" s="14">
        <f t="shared" si="1"/>
        <v>0</v>
      </c>
      <c r="R61" s="28">
        <v>44</v>
      </c>
      <c r="S61" s="13"/>
      <c r="T61" s="14"/>
      <c r="U61" s="14"/>
      <c r="V61" s="14">
        <f t="shared" si="2"/>
        <v>0</v>
      </c>
      <c r="W61" s="28">
        <v>44</v>
      </c>
      <c r="X61" s="13"/>
      <c r="Y61" s="14"/>
      <c r="Z61" s="14"/>
      <c r="AA61" s="14">
        <f t="shared" si="3"/>
        <v>0</v>
      </c>
      <c r="AB61" s="28">
        <v>44</v>
      </c>
      <c r="AC61" s="13"/>
      <c r="AD61" s="14"/>
      <c r="AE61" s="14"/>
      <c r="AF61" s="14">
        <f t="shared" si="4"/>
        <v>0</v>
      </c>
      <c r="AG61" s="28">
        <v>44</v>
      </c>
      <c r="AH61" s="13"/>
      <c r="AI61" s="14"/>
      <c r="AJ61" s="14"/>
      <c r="AK61" s="14">
        <f t="shared" si="5"/>
        <v>0</v>
      </c>
      <c r="AL61" s="28">
        <v>44</v>
      </c>
      <c r="AM61" s="13"/>
      <c r="AN61" s="14"/>
      <c r="AO61" s="14"/>
      <c r="AP61" s="14">
        <f t="shared" si="6"/>
        <v>0</v>
      </c>
      <c r="AQ61" s="28">
        <v>44</v>
      </c>
      <c r="AR61" s="13"/>
      <c r="AS61" s="14"/>
      <c r="AT61" s="14"/>
      <c r="AU61" s="14">
        <f t="shared" si="7"/>
        <v>0</v>
      </c>
      <c r="AV61" s="28">
        <v>44</v>
      </c>
      <c r="AW61" s="13"/>
      <c r="AX61" s="14"/>
      <c r="AY61" s="14"/>
      <c r="AZ61" s="14">
        <f t="shared" si="8"/>
        <v>0</v>
      </c>
      <c r="BA61" s="28">
        <v>44</v>
      </c>
      <c r="BB61" s="13"/>
      <c r="BC61" s="14"/>
      <c r="BD61" s="14"/>
      <c r="BE61" s="14">
        <f t="shared" si="9"/>
        <v>0</v>
      </c>
    </row>
    <row r="62" spans="8:57" s="2" customFormat="1" ht="85.15" customHeight="1">
      <c r="H62" s="28">
        <v>45</v>
      </c>
      <c r="I62" s="13"/>
      <c r="J62" s="14"/>
      <c r="K62" s="14"/>
      <c r="L62" s="14">
        <f t="shared" si="0"/>
        <v>0</v>
      </c>
      <c r="M62" s="28">
        <v>45</v>
      </c>
      <c r="N62" s="13"/>
      <c r="O62" s="14"/>
      <c r="P62" s="14"/>
      <c r="Q62" s="14">
        <f t="shared" si="1"/>
        <v>0</v>
      </c>
      <c r="R62" s="28">
        <v>45</v>
      </c>
      <c r="S62" s="13"/>
      <c r="T62" s="14"/>
      <c r="U62" s="14"/>
      <c r="V62" s="14">
        <f t="shared" si="2"/>
        <v>0</v>
      </c>
      <c r="W62" s="28">
        <v>45</v>
      </c>
      <c r="X62" s="13"/>
      <c r="Y62" s="14"/>
      <c r="Z62" s="14"/>
      <c r="AA62" s="14">
        <f t="shared" si="3"/>
        <v>0</v>
      </c>
      <c r="AB62" s="28">
        <v>45</v>
      </c>
      <c r="AC62" s="13"/>
      <c r="AD62" s="14"/>
      <c r="AE62" s="14"/>
      <c r="AF62" s="14">
        <f t="shared" si="4"/>
        <v>0</v>
      </c>
      <c r="AG62" s="28">
        <v>45</v>
      </c>
      <c r="AH62" s="13"/>
      <c r="AI62" s="14"/>
      <c r="AJ62" s="14"/>
      <c r="AK62" s="14">
        <f t="shared" si="5"/>
        <v>0</v>
      </c>
      <c r="AL62" s="28">
        <v>45</v>
      </c>
      <c r="AM62" s="13"/>
      <c r="AN62" s="14"/>
      <c r="AO62" s="14"/>
      <c r="AP62" s="14">
        <f t="shared" si="6"/>
        <v>0</v>
      </c>
      <c r="AQ62" s="28">
        <v>45</v>
      </c>
      <c r="AR62" s="13"/>
      <c r="AS62" s="14"/>
      <c r="AT62" s="14"/>
      <c r="AU62" s="14">
        <f t="shared" si="7"/>
        <v>0</v>
      </c>
      <c r="AV62" s="28">
        <v>45</v>
      </c>
      <c r="AW62" s="13"/>
      <c r="AX62" s="14"/>
      <c r="AY62" s="14"/>
      <c r="AZ62" s="14">
        <f t="shared" si="8"/>
        <v>0</v>
      </c>
      <c r="BA62" s="28">
        <v>45</v>
      </c>
      <c r="BB62" s="13"/>
      <c r="BC62" s="14"/>
      <c r="BD62" s="14"/>
      <c r="BE62" s="14">
        <f t="shared" si="9"/>
        <v>0</v>
      </c>
    </row>
    <row r="63" spans="8:57" s="2" customFormat="1" ht="85.15" customHeight="1">
      <c r="H63" s="28">
        <v>46</v>
      </c>
      <c r="I63" s="13"/>
      <c r="J63" s="14"/>
      <c r="K63" s="14"/>
      <c r="L63" s="14">
        <f t="shared" si="0"/>
        <v>0</v>
      </c>
      <c r="M63" s="28">
        <v>46</v>
      </c>
      <c r="N63" s="13"/>
      <c r="O63" s="14"/>
      <c r="P63" s="14"/>
      <c r="Q63" s="14">
        <f t="shared" si="1"/>
        <v>0</v>
      </c>
      <c r="R63" s="28">
        <v>46</v>
      </c>
      <c r="S63" s="13"/>
      <c r="T63" s="14"/>
      <c r="U63" s="14"/>
      <c r="V63" s="14">
        <f t="shared" si="2"/>
        <v>0</v>
      </c>
      <c r="W63" s="28">
        <v>46</v>
      </c>
      <c r="X63" s="13"/>
      <c r="Y63" s="14"/>
      <c r="Z63" s="14"/>
      <c r="AA63" s="14">
        <f t="shared" si="3"/>
        <v>0</v>
      </c>
      <c r="AB63" s="28">
        <v>46</v>
      </c>
      <c r="AC63" s="13"/>
      <c r="AD63" s="14"/>
      <c r="AE63" s="14"/>
      <c r="AF63" s="14">
        <f t="shared" si="4"/>
        <v>0</v>
      </c>
      <c r="AG63" s="28">
        <v>46</v>
      </c>
      <c r="AH63" s="13"/>
      <c r="AI63" s="14"/>
      <c r="AJ63" s="14"/>
      <c r="AK63" s="14">
        <f t="shared" si="5"/>
        <v>0</v>
      </c>
      <c r="AL63" s="28">
        <v>46</v>
      </c>
      <c r="AM63" s="13"/>
      <c r="AN63" s="14"/>
      <c r="AO63" s="14"/>
      <c r="AP63" s="14">
        <f t="shared" si="6"/>
        <v>0</v>
      </c>
      <c r="AQ63" s="28">
        <v>46</v>
      </c>
      <c r="AR63" s="13"/>
      <c r="AS63" s="14"/>
      <c r="AT63" s="14"/>
      <c r="AU63" s="14">
        <f t="shared" si="7"/>
        <v>0</v>
      </c>
      <c r="AV63" s="28">
        <v>46</v>
      </c>
      <c r="AW63" s="13"/>
      <c r="AX63" s="14"/>
      <c r="AY63" s="14"/>
      <c r="AZ63" s="14">
        <f t="shared" si="8"/>
        <v>0</v>
      </c>
      <c r="BA63" s="28">
        <v>46</v>
      </c>
      <c r="BB63" s="13"/>
      <c r="BC63" s="14"/>
      <c r="BD63" s="14"/>
      <c r="BE63" s="14">
        <f t="shared" si="9"/>
        <v>0</v>
      </c>
    </row>
    <row r="64" spans="8:57" s="2" customFormat="1" ht="85.15" customHeight="1">
      <c r="H64" s="28">
        <v>47</v>
      </c>
      <c r="I64" s="13"/>
      <c r="J64" s="14"/>
      <c r="K64" s="14"/>
      <c r="L64" s="14">
        <f t="shared" si="0"/>
        <v>0</v>
      </c>
      <c r="M64" s="28">
        <v>47</v>
      </c>
      <c r="N64" s="13"/>
      <c r="O64" s="14"/>
      <c r="P64" s="14"/>
      <c r="Q64" s="14">
        <f t="shared" si="1"/>
        <v>0</v>
      </c>
      <c r="R64" s="28">
        <v>47</v>
      </c>
      <c r="S64" s="13"/>
      <c r="T64" s="14"/>
      <c r="U64" s="14"/>
      <c r="V64" s="14">
        <f t="shared" si="2"/>
        <v>0</v>
      </c>
      <c r="W64" s="28">
        <v>47</v>
      </c>
      <c r="X64" s="13"/>
      <c r="Y64" s="14"/>
      <c r="Z64" s="14"/>
      <c r="AA64" s="14">
        <f t="shared" si="3"/>
        <v>0</v>
      </c>
      <c r="AB64" s="28">
        <v>47</v>
      </c>
      <c r="AC64" s="13"/>
      <c r="AD64" s="14"/>
      <c r="AE64" s="14"/>
      <c r="AF64" s="14">
        <f t="shared" si="4"/>
        <v>0</v>
      </c>
      <c r="AG64" s="28">
        <v>47</v>
      </c>
      <c r="AH64" s="13"/>
      <c r="AI64" s="14"/>
      <c r="AJ64" s="14"/>
      <c r="AK64" s="14">
        <f t="shared" si="5"/>
        <v>0</v>
      </c>
      <c r="AL64" s="28">
        <v>47</v>
      </c>
      <c r="AM64" s="13"/>
      <c r="AN64" s="14"/>
      <c r="AO64" s="14"/>
      <c r="AP64" s="14">
        <f t="shared" si="6"/>
        <v>0</v>
      </c>
      <c r="AQ64" s="28">
        <v>47</v>
      </c>
      <c r="AR64" s="13"/>
      <c r="AS64" s="14"/>
      <c r="AT64" s="14"/>
      <c r="AU64" s="14">
        <f t="shared" si="7"/>
        <v>0</v>
      </c>
      <c r="AV64" s="28">
        <v>47</v>
      </c>
      <c r="AW64" s="13"/>
      <c r="AX64" s="14"/>
      <c r="AY64" s="14"/>
      <c r="AZ64" s="14">
        <f t="shared" si="8"/>
        <v>0</v>
      </c>
      <c r="BA64" s="28">
        <v>47</v>
      </c>
      <c r="BB64" s="13"/>
      <c r="BC64" s="14"/>
      <c r="BD64" s="14"/>
      <c r="BE64" s="14">
        <f t="shared" si="9"/>
        <v>0</v>
      </c>
    </row>
    <row r="65" spans="8:57" s="2" customFormat="1" ht="85.15" customHeight="1">
      <c r="H65" s="28">
        <v>48</v>
      </c>
      <c r="I65" s="13"/>
      <c r="J65" s="14"/>
      <c r="K65" s="14"/>
      <c r="L65" s="14">
        <f t="shared" si="0"/>
        <v>0</v>
      </c>
      <c r="M65" s="28">
        <v>48</v>
      </c>
      <c r="N65" s="13"/>
      <c r="O65" s="14"/>
      <c r="P65" s="14"/>
      <c r="Q65" s="14">
        <f t="shared" si="1"/>
        <v>0</v>
      </c>
      <c r="R65" s="28">
        <v>48</v>
      </c>
      <c r="S65" s="13"/>
      <c r="T65" s="14"/>
      <c r="U65" s="14"/>
      <c r="V65" s="14">
        <f t="shared" si="2"/>
        <v>0</v>
      </c>
      <c r="W65" s="28">
        <v>48</v>
      </c>
      <c r="X65" s="13"/>
      <c r="Y65" s="14"/>
      <c r="Z65" s="14"/>
      <c r="AA65" s="14">
        <f t="shared" si="3"/>
        <v>0</v>
      </c>
      <c r="AB65" s="28">
        <v>48</v>
      </c>
      <c r="AC65" s="13"/>
      <c r="AD65" s="14"/>
      <c r="AE65" s="14"/>
      <c r="AF65" s="14">
        <f t="shared" si="4"/>
        <v>0</v>
      </c>
      <c r="AG65" s="28">
        <v>48</v>
      </c>
      <c r="AH65" s="13"/>
      <c r="AI65" s="14"/>
      <c r="AJ65" s="14"/>
      <c r="AK65" s="14">
        <f t="shared" si="5"/>
        <v>0</v>
      </c>
      <c r="AL65" s="28">
        <v>48</v>
      </c>
      <c r="AM65" s="13"/>
      <c r="AN65" s="14"/>
      <c r="AO65" s="14"/>
      <c r="AP65" s="14">
        <f t="shared" si="6"/>
        <v>0</v>
      </c>
      <c r="AQ65" s="28">
        <v>48</v>
      </c>
      <c r="AR65" s="13"/>
      <c r="AS65" s="14"/>
      <c r="AT65" s="14"/>
      <c r="AU65" s="14">
        <f t="shared" si="7"/>
        <v>0</v>
      </c>
      <c r="AV65" s="28">
        <v>48</v>
      </c>
      <c r="AW65" s="13"/>
      <c r="AX65" s="14"/>
      <c r="AY65" s="14"/>
      <c r="AZ65" s="14">
        <f t="shared" si="8"/>
        <v>0</v>
      </c>
      <c r="BA65" s="28">
        <v>48</v>
      </c>
      <c r="BB65" s="13"/>
      <c r="BC65" s="14"/>
      <c r="BD65" s="14"/>
      <c r="BE65" s="14">
        <f t="shared" si="9"/>
        <v>0</v>
      </c>
    </row>
    <row r="66" spans="8:57" s="2" customFormat="1" ht="85.15" customHeight="1">
      <c r="H66" s="28">
        <v>49</v>
      </c>
      <c r="I66" s="13"/>
      <c r="J66" s="14"/>
      <c r="K66" s="14"/>
      <c r="L66" s="14">
        <f t="shared" si="0"/>
        <v>0</v>
      </c>
      <c r="M66" s="28">
        <v>49</v>
      </c>
      <c r="N66" s="13"/>
      <c r="O66" s="14"/>
      <c r="P66" s="14"/>
      <c r="Q66" s="14">
        <f t="shared" si="1"/>
        <v>0</v>
      </c>
      <c r="R66" s="28">
        <v>49</v>
      </c>
      <c r="S66" s="13"/>
      <c r="T66" s="14"/>
      <c r="U66" s="14"/>
      <c r="V66" s="14">
        <f t="shared" si="2"/>
        <v>0</v>
      </c>
      <c r="W66" s="28">
        <v>49</v>
      </c>
      <c r="X66" s="13"/>
      <c r="Y66" s="14"/>
      <c r="Z66" s="14"/>
      <c r="AA66" s="14">
        <f t="shared" si="3"/>
        <v>0</v>
      </c>
      <c r="AB66" s="28">
        <v>49</v>
      </c>
      <c r="AC66" s="13"/>
      <c r="AD66" s="14"/>
      <c r="AE66" s="14"/>
      <c r="AF66" s="14">
        <f t="shared" si="4"/>
        <v>0</v>
      </c>
      <c r="AG66" s="28">
        <v>49</v>
      </c>
      <c r="AH66" s="13"/>
      <c r="AI66" s="14"/>
      <c r="AJ66" s="14"/>
      <c r="AK66" s="14">
        <f t="shared" si="5"/>
        <v>0</v>
      </c>
      <c r="AL66" s="28">
        <v>49</v>
      </c>
      <c r="AM66" s="13"/>
      <c r="AN66" s="14"/>
      <c r="AO66" s="14"/>
      <c r="AP66" s="14">
        <f t="shared" si="6"/>
        <v>0</v>
      </c>
      <c r="AQ66" s="28">
        <v>49</v>
      </c>
      <c r="AR66" s="13"/>
      <c r="AS66" s="14"/>
      <c r="AT66" s="14"/>
      <c r="AU66" s="14">
        <f t="shared" si="7"/>
        <v>0</v>
      </c>
      <c r="AV66" s="28">
        <v>49</v>
      </c>
      <c r="AW66" s="13"/>
      <c r="AX66" s="14"/>
      <c r="AY66" s="14"/>
      <c r="AZ66" s="14">
        <f t="shared" si="8"/>
        <v>0</v>
      </c>
      <c r="BA66" s="28">
        <v>49</v>
      </c>
      <c r="BB66" s="13"/>
      <c r="BC66" s="14"/>
      <c r="BD66" s="14"/>
      <c r="BE66" s="14">
        <f t="shared" si="9"/>
        <v>0</v>
      </c>
    </row>
    <row r="67" spans="8:57" s="2" customFormat="1" ht="85.15" customHeight="1">
      <c r="H67" s="28">
        <v>50</v>
      </c>
      <c r="I67" s="13"/>
      <c r="J67" s="14"/>
      <c r="K67" s="14"/>
      <c r="L67" s="14">
        <f t="shared" si="0"/>
        <v>0</v>
      </c>
      <c r="M67" s="28">
        <v>50</v>
      </c>
      <c r="N67" s="13"/>
      <c r="O67" s="14"/>
      <c r="P67" s="14"/>
      <c r="Q67" s="14">
        <f t="shared" si="1"/>
        <v>0</v>
      </c>
      <c r="R67" s="28">
        <v>50</v>
      </c>
      <c r="S67" s="13"/>
      <c r="T67" s="14"/>
      <c r="U67" s="14"/>
      <c r="V67" s="14">
        <f t="shared" si="2"/>
        <v>0</v>
      </c>
      <c r="W67" s="28">
        <v>50</v>
      </c>
      <c r="X67" s="13"/>
      <c r="Y67" s="14"/>
      <c r="Z67" s="14"/>
      <c r="AA67" s="14">
        <f t="shared" si="3"/>
        <v>0</v>
      </c>
      <c r="AB67" s="28">
        <v>50</v>
      </c>
      <c r="AC67" s="13"/>
      <c r="AD67" s="14"/>
      <c r="AE67" s="14"/>
      <c r="AF67" s="14">
        <f t="shared" si="4"/>
        <v>0</v>
      </c>
      <c r="AG67" s="28">
        <v>50</v>
      </c>
      <c r="AH67" s="13"/>
      <c r="AI67" s="14"/>
      <c r="AJ67" s="14"/>
      <c r="AK67" s="14">
        <f t="shared" si="5"/>
        <v>0</v>
      </c>
      <c r="AL67" s="28">
        <v>50</v>
      </c>
      <c r="AM67" s="13"/>
      <c r="AN67" s="14"/>
      <c r="AO67" s="14"/>
      <c r="AP67" s="14">
        <f t="shared" si="6"/>
        <v>0</v>
      </c>
      <c r="AQ67" s="28">
        <v>50</v>
      </c>
      <c r="AR67" s="13"/>
      <c r="AS67" s="14"/>
      <c r="AT67" s="14"/>
      <c r="AU67" s="14">
        <f t="shared" si="7"/>
        <v>0</v>
      </c>
      <c r="AV67" s="28">
        <v>50</v>
      </c>
      <c r="AW67" s="13"/>
      <c r="AX67" s="14"/>
      <c r="AY67" s="14"/>
      <c r="AZ67" s="14">
        <f t="shared" si="8"/>
        <v>0</v>
      </c>
      <c r="BA67" s="28">
        <v>50</v>
      </c>
      <c r="BB67" s="13"/>
      <c r="BC67" s="14"/>
      <c r="BD67" s="14"/>
      <c r="BE67" s="14">
        <f t="shared" si="9"/>
        <v>0</v>
      </c>
    </row>
    <row r="68" spans="8:57" s="2" customFormat="1" ht="85.15" customHeight="1">
      <c r="H68" s="28">
        <v>51</v>
      </c>
      <c r="I68" s="13"/>
      <c r="J68" s="14"/>
      <c r="K68" s="14"/>
      <c r="L68" s="14">
        <f t="shared" si="0"/>
        <v>0</v>
      </c>
      <c r="M68" s="28">
        <v>51</v>
      </c>
      <c r="N68" s="13"/>
      <c r="O68" s="14"/>
      <c r="P68" s="14"/>
      <c r="Q68" s="14">
        <f t="shared" si="1"/>
        <v>0</v>
      </c>
      <c r="R68" s="28">
        <v>51</v>
      </c>
      <c r="S68" s="13"/>
      <c r="T68" s="14"/>
      <c r="U68" s="14"/>
      <c r="V68" s="14">
        <f t="shared" si="2"/>
        <v>0</v>
      </c>
      <c r="W68" s="28">
        <v>51</v>
      </c>
      <c r="X68" s="13"/>
      <c r="Y68" s="14"/>
      <c r="Z68" s="14"/>
      <c r="AA68" s="14">
        <f t="shared" si="3"/>
        <v>0</v>
      </c>
      <c r="AB68" s="28">
        <v>51</v>
      </c>
      <c r="AC68" s="13"/>
      <c r="AD68" s="14"/>
      <c r="AE68" s="14"/>
      <c r="AF68" s="14">
        <f t="shared" si="4"/>
        <v>0</v>
      </c>
      <c r="AG68" s="28">
        <v>51</v>
      </c>
      <c r="AH68" s="13"/>
      <c r="AI68" s="14"/>
      <c r="AJ68" s="14"/>
      <c r="AK68" s="14">
        <f t="shared" si="5"/>
        <v>0</v>
      </c>
      <c r="AL68" s="28">
        <v>51</v>
      </c>
      <c r="AM68" s="13"/>
      <c r="AN68" s="14"/>
      <c r="AO68" s="14"/>
      <c r="AP68" s="14">
        <f t="shared" si="6"/>
        <v>0</v>
      </c>
      <c r="AQ68" s="28">
        <v>51</v>
      </c>
      <c r="AR68" s="13"/>
      <c r="AS68" s="14"/>
      <c r="AT68" s="14"/>
      <c r="AU68" s="14">
        <f t="shared" si="7"/>
        <v>0</v>
      </c>
      <c r="AV68" s="28">
        <v>51</v>
      </c>
      <c r="AW68" s="13"/>
      <c r="AX68" s="14"/>
      <c r="AY68" s="14"/>
      <c r="AZ68" s="14">
        <f t="shared" si="8"/>
        <v>0</v>
      </c>
      <c r="BA68" s="28">
        <v>51</v>
      </c>
      <c r="BB68" s="13"/>
      <c r="BC68" s="14"/>
      <c r="BD68" s="14"/>
      <c r="BE68" s="14">
        <f t="shared" si="9"/>
        <v>0</v>
      </c>
    </row>
    <row r="69" spans="8:57" s="2" customFormat="1" ht="85.15" customHeight="1">
      <c r="H69" s="28">
        <v>52</v>
      </c>
      <c r="I69" s="13"/>
      <c r="J69" s="14"/>
      <c r="K69" s="14"/>
      <c r="L69" s="14">
        <f t="shared" si="0"/>
        <v>0</v>
      </c>
      <c r="M69" s="28">
        <v>52</v>
      </c>
      <c r="N69" s="13"/>
      <c r="O69" s="14"/>
      <c r="P69" s="14"/>
      <c r="Q69" s="14">
        <f t="shared" si="1"/>
        <v>0</v>
      </c>
      <c r="R69" s="28">
        <v>52</v>
      </c>
      <c r="S69" s="13"/>
      <c r="T69" s="14"/>
      <c r="U69" s="14"/>
      <c r="V69" s="14">
        <f t="shared" si="2"/>
        <v>0</v>
      </c>
      <c r="W69" s="28">
        <v>52</v>
      </c>
      <c r="X69" s="13"/>
      <c r="Y69" s="14"/>
      <c r="Z69" s="14"/>
      <c r="AA69" s="14">
        <f t="shared" si="3"/>
        <v>0</v>
      </c>
      <c r="AB69" s="28">
        <v>52</v>
      </c>
      <c r="AC69" s="13"/>
      <c r="AD69" s="14"/>
      <c r="AE69" s="14"/>
      <c r="AF69" s="14">
        <f t="shared" si="4"/>
        <v>0</v>
      </c>
      <c r="AG69" s="28">
        <v>52</v>
      </c>
      <c r="AH69" s="13"/>
      <c r="AI69" s="14"/>
      <c r="AJ69" s="14"/>
      <c r="AK69" s="14">
        <f t="shared" si="5"/>
        <v>0</v>
      </c>
      <c r="AL69" s="28">
        <v>52</v>
      </c>
      <c r="AM69" s="13"/>
      <c r="AN69" s="14"/>
      <c r="AO69" s="14"/>
      <c r="AP69" s="14">
        <f t="shared" si="6"/>
        <v>0</v>
      </c>
      <c r="AQ69" s="28">
        <v>52</v>
      </c>
      <c r="AR69" s="13"/>
      <c r="AS69" s="14"/>
      <c r="AT69" s="14"/>
      <c r="AU69" s="14">
        <f t="shared" si="7"/>
        <v>0</v>
      </c>
      <c r="AV69" s="28">
        <v>52</v>
      </c>
      <c r="AW69" s="13"/>
      <c r="AX69" s="14"/>
      <c r="AY69" s="14"/>
      <c r="AZ69" s="14">
        <f t="shared" si="8"/>
        <v>0</v>
      </c>
      <c r="BA69" s="28">
        <v>52</v>
      </c>
      <c r="BB69" s="13"/>
      <c r="BC69" s="14"/>
      <c r="BD69" s="14"/>
      <c r="BE69" s="14">
        <f t="shared" si="9"/>
        <v>0</v>
      </c>
    </row>
    <row r="70" spans="8:57" s="2" customFormat="1" ht="85.15" customHeight="1">
      <c r="H70" s="28">
        <v>53</v>
      </c>
      <c r="I70" s="13"/>
      <c r="J70" s="14"/>
      <c r="K70" s="14"/>
      <c r="L70" s="14">
        <f t="shared" si="0"/>
        <v>0</v>
      </c>
      <c r="M70" s="28">
        <v>53</v>
      </c>
      <c r="N70" s="13"/>
      <c r="O70" s="14"/>
      <c r="P70" s="14"/>
      <c r="Q70" s="14">
        <f t="shared" si="1"/>
        <v>0</v>
      </c>
      <c r="R70" s="28">
        <v>53</v>
      </c>
      <c r="S70" s="13"/>
      <c r="T70" s="14"/>
      <c r="U70" s="14"/>
      <c r="V70" s="14">
        <f t="shared" si="2"/>
        <v>0</v>
      </c>
      <c r="W70" s="28">
        <v>53</v>
      </c>
      <c r="X70" s="13"/>
      <c r="Y70" s="14"/>
      <c r="Z70" s="14"/>
      <c r="AA70" s="14">
        <f t="shared" si="3"/>
        <v>0</v>
      </c>
      <c r="AB70" s="28">
        <v>53</v>
      </c>
      <c r="AC70" s="13"/>
      <c r="AD70" s="14"/>
      <c r="AE70" s="14"/>
      <c r="AF70" s="14">
        <f t="shared" si="4"/>
        <v>0</v>
      </c>
      <c r="AG70" s="28">
        <v>53</v>
      </c>
      <c r="AH70" s="13"/>
      <c r="AI70" s="14"/>
      <c r="AJ70" s="14"/>
      <c r="AK70" s="14">
        <f t="shared" si="5"/>
        <v>0</v>
      </c>
      <c r="AL70" s="28">
        <v>53</v>
      </c>
      <c r="AM70" s="13"/>
      <c r="AN70" s="14"/>
      <c r="AO70" s="14"/>
      <c r="AP70" s="14">
        <f t="shared" si="6"/>
        <v>0</v>
      </c>
      <c r="AQ70" s="28">
        <v>53</v>
      </c>
      <c r="AR70" s="13"/>
      <c r="AS70" s="14"/>
      <c r="AT70" s="14"/>
      <c r="AU70" s="14">
        <f t="shared" si="7"/>
        <v>0</v>
      </c>
      <c r="AV70" s="28">
        <v>53</v>
      </c>
      <c r="AW70" s="13"/>
      <c r="AX70" s="14"/>
      <c r="AY70" s="14"/>
      <c r="AZ70" s="14">
        <f t="shared" si="8"/>
        <v>0</v>
      </c>
      <c r="BA70" s="28">
        <v>53</v>
      </c>
      <c r="BB70" s="13"/>
      <c r="BC70" s="14"/>
      <c r="BD70" s="14"/>
      <c r="BE70" s="14">
        <f t="shared" si="9"/>
        <v>0</v>
      </c>
    </row>
    <row r="71" spans="8:57" s="2" customFormat="1" ht="85.15" customHeight="1">
      <c r="H71" s="28">
        <v>54</v>
      </c>
      <c r="I71" s="13"/>
      <c r="J71" s="14"/>
      <c r="K71" s="14"/>
      <c r="L71" s="14">
        <f t="shared" si="0"/>
        <v>0</v>
      </c>
      <c r="M71" s="28">
        <v>54</v>
      </c>
      <c r="N71" s="13"/>
      <c r="O71" s="14"/>
      <c r="P71" s="14"/>
      <c r="Q71" s="14">
        <f t="shared" si="1"/>
        <v>0</v>
      </c>
      <c r="R71" s="28">
        <v>54</v>
      </c>
      <c r="S71" s="13"/>
      <c r="T71" s="14"/>
      <c r="U71" s="14"/>
      <c r="V71" s="14">
        <f t="shared" si="2"/>
        <v>0</v>
      </c>
      <c r="W71" s="28">
        <v>54</v>
      </c>
      <c r="X71" s="13"/>
      <c r="Y71" s="14"/>
      <c r="Z71" s="14"/>
      <c r="AA71" s="14">
        <f t="shared" si="3"/>
        <v>0</v>
      </c>
      <c r="AB71" s="28">
        <v>54</v>
      </c>
      <c r="AC71" s="13"/>
      <c r="AD71" s="14"/>
      <c r="AE71" s="14"/>
      <c r="AF71" s="14">
        <f t="shared" si="4"/>
        <v>0</v>
      </c>
      <c r="AG71" s="28">
        <v>54</v>
      </c>
      <c r="AH71" s="13"/>
      <c r="AI71" s="14"/>
      <c r="AJ71" s="14"/>
      <c r="AK71" s="14">
        <f t="shared" si="5"/>
        <v>0</v>
      </c>
      <c r="AL71" s="28">
        <v>54</v>
      </c>
      <c r="AM71" s="13"/>
      <c r="AN71" s="14"/>
      <c r="AO71" s="14"/>
      <c r="AP71" s="14">
        <f t="shared" si="6"/>
        <v>0</v>
      </c>
      <c r="AQ71" s="28">
        <v>54</v>
      </c>
      <c r="AR71" s="13"/>
      <c r="AS71" s="14"/>
      <c r="AT71" s="14"/>
      <c r="AU71" s="14">
        <f t="shared" si="7"/>
        <v>0</v>
      </c>
      <c r="AV71" s="28">
        <v>54</v>
      </c>
      <c r="AW71" s="13"/>
      <c r="AX71" s="14"/>
      <c r="AY71" s="14"/>
      <c r="AZ71" s="14">
        <f t="shared" si="8"/>
        <v>0</v>
      </c>
      <c r="BA71" s="28">
        <v>54</v>
      </c>
      <c r="BB71" s="13"/>
      <c r="BC71" s="14"/>
      <c r="BD71" s="14"/>
      <c r="BE71" s="14">
        <f t="shared" si="9"/>
        <v>0</v>
      </c>
    </row>
    <row r="72" spans="8:57" s="2" customFormat="1" ht="85.15" customHeight="1">
      <c r="H72" s="28">
        <v>55</v>
      </c>
      <c r="I72" s="13"/>
      <c r="J72" s="14"/>
      <c r="K72" s="14"/>
      <c r="L72" s="14">
        <f t="shared" si="0"/>
        <v>0</v>
      </c>
      <c r="M72" s="28">
        <v>55</v>
      </c>
      <c r="N72" s="13"/>
      <c r="O72" s="14"/>
      <c r="P72" s="14"/>
      <c r="Q72" s="14">
        <f t="shared" si="1"/>
        <v>0</v>
      </c>
      <c r="R72" s="28">
        <v>55</v>
      </c>
      <c r="S72" s="13"/>
      <c r="T72" s="14"/>
      <c r="U72" s="14"/>
      <c r="V72" s="14">
        <f t="shared" si="2"/>
        <v>0</v>
      </c>
      <c r="W72" s="28">
        <v>55</v>
      </c>
      <c r="X72" s="13"/>
      <c r="Y72" s="14"/>
      <c r="Z72" s="14"/>
      <c r="AA72" s="14">
        <f t="shared" si="3"/>
        <v>0</v>
      </c>
      <c r="AB72" s="28">
        <v>55</v>
      </c>
      <c r="AC72" s="13"/>
      <c r="AD72" s="14"/>
      <c r="AE72" s="14"/>
      <c r="AF72" s="14">
        <f t="shared" si="4"/>
        <v>0</v>
      </c>
      <c r="AG72" s="28">
        <v>55</v>
      </c>
      <c r="AH72" s="13"/>
      <c r="AI72" s="14"/>
      <c r="AJ72" s="14"/>
      <c r="AK72" s="14">
        <f t="shared" si="5"/>
        <v>0</v>
      </c>
      <c r="AL72" s="28">
        <v>55</v>
      </c>
      <c r="AM72" s="13"/>
      <c r="AN72" s="14"/>
      <c r="AO72" s="14"/>
      <c r="AP72" s="14">
        <f t="shared" si="6"/>
        <v>0</v>
      </c>
      <c r="AQ72" s="28">
        <v>55</v>
      </c>
      <c r="AR72" s="13"/>
      <c r="AS72" s="14"/>
      <c r="AT72" s="14"/>
      <c r="AU72" s="14">
        <f t="shared" si="7"/>
        <v>0</v>
      </c>
      <c r="AV72" s="28">
        <v>55</v>
      </c>
      <c r="AW72" s="13"/>
      <c r="AX72" s="14"/>
      <c r="AY72" s="14"/>
      <c r="AZ72" s="14">
        <f t="shared" si="8"/>
        <v>0</v>
      </c>
      <c r="BA72" s="28">
        <v>55</v>
      </c>
      <c r="BB72" s="13"/>
      <c r="BC72" s="14"/>
      <c r="BD72" s="14"/>
      <c r="BE72" s="14">
        <f t="shared" si="9"/>
        <v>0</v>
      </c>
    </row>
    <row r="73" spans="8:57" s="2" customFormat="1" ht="85.15" customHeight="1">
      <c r="H73" s="28">
        <v>56</v>
      </c>
      <c r="I73" s="13"/>
      <c r="J73" s="14"/>
      <c r="K73" s="14"/>
      <c r="L73" s="14">
        <f t="shared" si="0"/>
        <v>0</v>
      </c>
      <c r="M73" s="28">
        <v>56</v>
      </c>
      <c r="N73" s="13"/>
      <c r="O73" s="14"/>
      <c r="P73" s="14"/>
      <c r="Q73" s="14">
        <f t="shared" si="1"/>
        <v>0</v>
      </c>
      <c r="R73" s="28">
        <v>56</v>
      </c>
      <c r="S73" s="13"/>
      <c r="T73" s="14"/>
      <c r="U73" s="14"/>
      <c r="V73" s="14">
        <f t="shared" si="2"/>
        <v>0</v>
      </c>
      <c r="W73" s="28">
        <v>56</v>
      </c>
      <c r="X73" s="13"/>
      <c r="Y73" s="14"/>
      <c r="Z73" s="14"/>
      <c r="AA73" s="14">
        <f t="shared" si="3"/>
        <v>0</v>
      </c>
      <c r="AB73" s="28">
        <v>56</v>
      </c>
      <c r="AC73" s="13"/>
      <c r="AD73" s="14"/>
      <c r="AE73" s="14"/>
      <c r="AF73" s="14">
        <f t="shared" si="4"/>
        <v>0</v>
      </c>
      <c r="AG73" s="28">
        <v>56</v>
      </c>
      <c r="AH73" s="13"/>
      <c r="AI73" s="14"/>
      <c r="AJ73" s="14"/>
      <c r="AK73" s="14">
        <f t="shared" si="5"/>
        <v>0</v>
      </c>
      <c r="AL73" s="28">
        <v>56</v>
      </c>
      <c r="AM73" s="13"/>
      <c r="AN73" s="14"/>
      <c r="AO73" s="14"/>
      <c r="AP73" s="14">
        <f t="shared" si="6"/>
        <v>0</v>
      </c>
      <c r="AQ73" s="28">
        <v>56</v>
      </c>
      <c r="AR73" s="13"/>
      <c r="AS73" s="14"/>
      <c r="AT73" s="14"/>
      <c r="AU73" s="14">
        <f t="shared" si="7"/>
        <v>0</v>
      </c>
      <c r="AV73" s="28">
        <v>56</v>
      </c>
      <c r="AW73" s="13"/>
      <c r="AX73" s="14"/>
      <c r="AY73" s="14"/>
      <c r="AZ73" s="14">
        <f t="shared" si="8"/>
        <v>0</v>
      </c>
      <c r="BA73" s="28">
        <v>56</v>
      </c>
      <c r="BB73" s="13"/>
      <c r="BC73" s="14"/>
      <c r="BD73" s="14"/>
      <c r="BE73" s="14">
        <f t="shared" si="9"/>
        <v>0</v>
      </c>
    </row>
    <row r="74" spans="8:57" s="1" customFormat="1" ht="85.15" customHeight="1">
      <c r="H74" s="4"/>
      <c r="M74" s="4"/>
      <c r="R74" s="4"/>
      <c r="W74" s="4"/>
      <c r="AB74" s="4"/>
      <c r="AG74" s="4"/>
      <c r="AL74" s="4"/>
      <c r="AQ74" s="4"/>
      <c r="AV74" s="4"/>
      <c r="BA74" s="4"/>
    </row>
    <row r="75" spans="8:57" s="1" customFormat="1" ht="85.15" customHeight="1">
      <c r="H75" s="4"/>
      <c r="M75" s="4"/>
      <c r="R75" s="4"/>
      <c r="W75" s="4"/>
      <c r="AB75" s="4"/>
      <c r="AG75" s="4"/>
      <c r="AL75" s="4"/>
      <c r="AQ75" s="4"/>
      <c r="AV75" s="4"/>
      <c r="BA75" s="4"/>
    </row>
    <row r="76" spans="8:57" s="1" customFormat="1" ht="85.15" customHeight="1">
      <c r="H76" s="4"/>
      <c r="M76" s="4"/>
      <c r="R76" s="4"/>
      <c r="W76" s="4"/>
      <c r="AB76" s="4"/>
      <c r="AG76" s="4"/>
      <c r="AL76" s="4"/>
      <c r="AQ76" s="4"/>
      <c r="AV76" s="4"/>
      <c r="BA76" s="4"/>
    </row>
    <row r="77" spans="8:57" s="1" customFormat="1" ht="85.15" customHeight="1">
      <c r="H77" s="4"/>
      <c r="M77" s="4"/>
      <c r="R77" s="4"/>
      <c r="W77" s="4"/>
      <c r="AB77" s="4"/>
      <c r="AG77" s="4"/>
      <c r="AL77" s="4"/>
      <c r="AQ77" s="4"/>
      <c r="AV77" s="4"/>
      <c r="BA77" s="4"/>
    </row>
    <row r="78" spans="8:57" s="1" customFormat="1" ht="85.15" customHeight="1">
      <c r="H78" s="4"/>
      <c r="M78" s="4"/>
      <c r="R78" s="4"/>
      <c r="W78" s="4"/>
      <c r="AB78" s="4"/>
      <c r="AG78" s="4"/>
      <c r="AL78" s="4"/>
      <c r="AQ78" s="4"/>
      <c r="AV78" s="4"/>
      <c r="BA78" s="4"/>
    </row>
    <row r="79" spans="8:57" s="1" customFormat="1" ht="85.15" customHeight="1">
      <c r="H79" s="4"/>
      <c r="M79" s="4"/>
      <c r="R79" s="4"/>
      <c r="W79" s="4"/>
      <c r="AB79" s="4"/>
      <c r="AG79" s="4"/>
      <c r="AL79" s="4"/>
      <c r="AQ79" s="4"/>
      <c r="AV79" s="4"/>
      <c r="BA79" s="4"/>
    </row>
    <row r="80" spans="8:57" s="1" customFormat="1" ht="85.15" customHeight="1">
      <c r="H80" s="4"/>
      <c r="M80" s="4"/>
      <c r="R80" s="4"/>
      <c r="W80" s="4"/>
      <c r="AB80" s="4"/>
      <c r="AG80" s="4"/>
      <c r="AL80" s="4"/>
      <c r="AQ80" s="4"/>
      <c r="AV80" s="4"/>
      <c r="BA80" s="4"/>
    </row>
    <row r="81" spans="8:53" s="1" customFormat="1" ht="85.15" customHeight="1">
      <c r="H81" s="4"/>
      <c r="M81" s="4"/>
      <c r="R81" s="4"/>
      <c r="W81" s="4"/>
      <c r="AB81" s="4"/>
      <c r="AG81" s="4"/>
      <c r="AL81" s="4"/>
      <c r="AQ81" s="4"/>
      <c r="AV81" s="4"/>
      <c r="BA81" s="4"/>
    </row>
    <row r="82" spans="8:53" s="1" customFormat="1" ht="85.15" customHeight="1">
      <c r="H82" s="4"/>
      <c r="M82" s="4"/>
      <c r="R82" s="4"/>
      <c r="W82" s="4"/>
      <c r="AB82" s="4"/>
      <c r="AG82" s="4"/>
      <c r="AL82" s="4"/>
      <c r="AQ82" s="4"/>
      <c r="AV82" s="4"/>
      <c r="BA82" s="4"/>
    </row>
    <row r="83" spans="8:53" s="1" customFormat="1" ht="85.15" customHeight="1">
      <c r="H83" s="4"/>
      <c r="M83" s="4"/>
      <c r="R83" s="4"/>
      <c r="W83" s="4"/>
      <c r="AB83" s="4"/>
      <c r="AG83" s="4"/>
      <c r="AL83" s="4"/>
      <c r="AQ83" s="4"/>
      <c r="AV83" s="4"/>
      <c r="BA83" s="4"/>
    </row>
    <row r="84" spans="8:53" s="1" customFormat="1" ht="85.15" customHeight="1">
      <c r="H84" s="4"/>
      <c r="M84" s="4"/>
      <c r="R84" s="4"/>
      <c r="W84" s="4"/>
      <c r="AB84" s="4"/>
      <c r="AG84" s="4"/>
      <c r="AL84" s="4"/>
      <c r="AQ84" s="4"/>
      <c r="AV84" s="4"/>
      <c r="BA84" s="4"/>
    </row>
    <row r="85" spans="8:53" s="1" customFormat="1" ht="85.15" customHeight="1">
      <c r="H85" s="4"/>
      <c r="M85" s="4"/>
      <c r="R85" s="4"/>
      <c r="W85" s="4"/>
      <c r="AB85" s="4"/>
      <c r="AG85" s="4"/>
      <c r="AL85" s="4"/>
      <c r="AQ85" s="4"/>
      <c r="AV85" s="4"/>
      <c r="BA85" s="4"/>
    </row>
    <row r="86" spans="8:53" s="1" customFormat="1" ht="85.15" customHeight="1">
      <c r="H86" s="4"/>
      <c r="M86" s="4"/>
      <c r="R86" s="4"/>
      <c r="W86" s="4"/>
      <c r="AB86" s="4"/>
      <c r="AG86" s="4"/>
      <c r="AL86" s="4"/>
      <c r="AQ86" s="4"/>
      <c r="AV86" s="4"/>
      <c r="BA86" s="4"/>
    </row>
    <row r="87" spans="8:53" s="1" customFormat="1" ht="85.15" customHeight="1">
      <c r="H87" s="4"/>
      <c r="M87" s="4"/>
      <c r="R87" s="4"/>
      <c r="W87" s="4"/>
      <c r="AB87" s="4"/>
      <c r="AG87" s="4"/>
      <c r="AL87" s="4"/>
      <c r="AQ87" s="4"/>
      <c r="AV87" s="4"/>
      <c r="BA87" s="4"/>
    </row>
    <row r="88" spans="8:53" s="1" customFormat="1" ht="85.15" customHeight="1">
      <c r="H88" s="4"/>
      <c r="M88" s="4"/>
      <c r="R88" s="4"/>
      <c r="W88" s="4"/>
      <c r="AB88" s="4"/>
      <c r="AG88" s="4"/>
      <c r="AL88" s="4"/>
      <c r="AQ88" s="4"/>
      <c r="AV88" s="4"/>
      <c r="BA88" s="4"/>
    </row>
    <row r="89" spans="8:53" s="1" customFormat="1" ht="85.15" customHeight="1">
      <c r="H89" s="4"/>
      <c r="M89" s="4"/>
      <c r="R89" s="4"/>
      <c r="W89" s="4"/>
      <c r="AB89" s="4"/>
      <c r="AG89" s="4"/>
      <c r="AL89" s="4"/>
      <c r="AQ89" s="4"/>
      <c r="AV89" s="4"/>
      <c r="BA89" s="4"/>
    </row>
    <row r="90" spans="8:53" s="1" customFormat="1" ht="85.15" customHeight="1">
      <c r="H90" s="4"/>
      <c r="M90" s="4"/>
      <c r="R90" s="4"/>
      <c r="W90" s="4"/>
      <c r="AB90" s="4"/>
      <c r="AG90" s="4"/>
      <c r="AL90" s="4"/>
      <c r="AQ90" s="4"/>
      <c r="AV90" s="4"/>
      <c r="BA90" s="4"/>
    </row>
    <row r="91" spans="8:53" s="1" customFormat="1" ht="85.15" customHeight="1">
      <c r="H91" s="4"/>
      <c r="M91" s="4"/>
      <c r="R91" s="4"/>
      <c r="W91" s="4"/>
      <c r="AB91" s="4"/>
      <c r="AG91" s="4"/>
      <c r="AL91" s="4"/>
      <c r="AQ91" s="4"/>
      <c r="AV91" s="4"/>
      <c r="BA91" s="4"/>
    </row>
    <row r="92" spans="8:53" s="1" customFormat="1" ht="85.15" customHeight="1">
      <c r="H92" s="4"/>
      <c r="M92" s="4"/>
      <c r="R92" s="4"/>
      <c r="W92" s="4"/>
      <c r="AB92" s="4"/>
      <c r="AG92" s="4"/>
      <c r="AL92" s="4"/>
      <c r="AQ92" s="4"/>
      <c r="AV92" s="4"/>
      <c r="BA92" s="4"/>
    </row>
    <row r="93" spans="8:53" s="1" customFormat="1" ht="85.15" customHeight="1">
      <c r="H93" s="4"/>
      <c r="M93" s="4"/>
      <c r="R93" s="4"/>
      <c r="W93" s="4"/>
      <c r="AB93" s="4"/>
      <c r="AG93" s="4"/>
      <c r="AL93" s="4"/>
      <c r="AQ93" s="4"/>
      <c r="AV93" s="4"/>
      <c r="BA93" s="4"/>
    </row>
    <row r="94" spans="8:53" s="1" customFormat="1" ht="85.15" customHeight="1">
      <c r="H94" s="4"/>
      <c r="M94" s="4"/>
      <c r="R94" s="4"/>
      <c r="W94" s="4"/>
      <c r="AB94" s="4"/>
      <c r="AG94" s="4"/>
      <c r="AL94" s="4"/>
      <c r="AQ94" s="4"/>
      <c r="AV94" s="4"/>
      <c r="BA94" s="4"/>
    </row>
    <row r="95" spans="8:53" s="1" customFormat="1" ht="85.15" customHeight="1">
      <c r="H95" s="4"/>
      <c r="M95" s="4"/>
      <c r="R95" s="4"/>
      <c r="W95" s="4"/>
      <c r="AB95" s="4"/>
      <c r="AG95" s="4"/>
      <c r="AL95" s="4"/>
      <c r="AQ95" s="4"/>
      <c r="AV95" s="4"/>
      <c r="BA95" s="4"/>
    </row>
    <row r="96" spans="8:53" s="1" customFormat="1" ht="85.15" customHeight="1">
      <c r="H96" s="4"/>
      <c r="M96" s="4"/>
      <c r="R96" s="4"/>
      <c r="W96" s="4"/>
      <c r="AB96" s="4"/>
      <c r="AG96" s="4"/>
      <c r="AL96" s="4"/>
      <c r="AQ96" s="4"/>
      <c r="AV96" s="4"/>
      <c r="BA96" s="4"/>
    </row>
    <row r="97" spans="8:53" s="1" customFormat="1" ht="85.15" customHeight="1">
      <c r="H97" s="4"/>
      <c r="M97" s="4"/>
      <c r="R97" s="4"/>
      <c r="W97" s="4"/>
      <c r="AB97" s="4"/>
      <c r="AG97" s="4"/>
      <c r="AL97" s="4"/>
      <c r="AQ97" s="4"/>
      <c r="AV97" s="4"/>
      <c r="BA97" s="4"/>
    </row>
    <row r="98" spans="8:53" s="1" customFormat="1" ht="85.15" customHeight="1">
      <c r="H98" s="4"/>
      <c r="M98" s="4"/>
      <c r="R98" s="4"/>
      <c r="W98" s="4"/>
      <c r="AB98" s="4"/>
      <c r="AG98" s="4"/>
      <c r="AL98" s="4"/>
      <c r="AQ98" s="4"/>
      <c r="AV98" s="4"/>
      <c r="BA98" s="4"/>
    </row>
    <row r="99" spans="8:53" s="1" customFormat="1" ht="85.15" customHeight="1">
      <c r="H99" s="4"/>
      <c r="M99" s="4"/>
      <c r="R99" s="4"/>
      <c r="W99" s="4"/>
      <c r="AB99" s="4"/>
      <c r="AG99" s="4"/>
      <c r="AL99" s="4"/>
      <c r="AQ99" s="4"/>
      <c r="AV99" s="4"/>
      <c r="BA99" s="4"/>
    </row>
    <row r="100" spans="8:53" s="1" customFormat="1" ht="85.15" customHeight="1">
      <c r="H100" s="4"/>
      <c r="M100" s="4"/>
      <c r="R100" s="4"/>
      <c r="W100" s="4"/>
      <c r="AB100" s="4"/>
      <c r="AG100" s="4"/>
      <c r="AL100" s="4"/>
      <c r="AQ100" s="4"/>
      <c r="AV100" s="4"/>
      <c r="BA100" s="4"/>
    </row>
    <row r="101" spans="8:53" s="1" customFormat="1" ht="85.15" customHeight="1">
      <c r="H101" s="4"/>
      <c r="M101" s="4"/>
      <c r="R101" s="4"/>
      <c r="W101" s="4"/>
      <c r="AB101" s="4"/>
      <c r="AG101" s="4"/>
      <c r="AL101" s="4"/>
      <c r="AQ101" s="4"/>
      <c r="AV101" s="4"/>
      <c r="BA101" s="4"/>
    </row>
    <row r="102" spans="8:53" s="1" customFormat="1" ht="85.15" customHeight="1">
      <c r="H102" s="4"/>
      <c r="M102" s="4"/>
      <c r="R102" s="4"/>
      <c r="W102" s="4"/>
      <c r="AB102" s="4"/>
      <c r="AG102" s="4"/>
      <c r="AL102" s="4"/>
      <c r="AQ102" s="4"/>
      <c r="AV102" s="4"/>
      <c r="BA102" s="4"/>
    </row>
    <row r="103" spans="8:53" s="1" customFormat="1" ht="85.15" customHeight="1">
      <c r="H103" s="4"/>
      <c r="M103" s="4"/>
      <c r="R103" s="4"/>
      <c r="W103" s="4"/>
      <c r="AB103" s="4"/>
      <c r="AG103" s="4"/>
      <c r="AL103" s="4"/>
      <c r="AQ103" s="4"/>
      <c r="AV103" s="4"/>
      <c r="BA103" s="4"/>
    </row>
    <row r="104" spans="8:53" s="1" customFormat="1" ht="85.15" customHeight="1">
      <c r="H104" s="4"/>
      <c r="M104" s="4"/>
      <c r="R104" s="4"/>
      <c r="W104" s="4"/>
      <c r="AB104" s="4"/>
      <c r="AG104" s="4"/>
      <c r="AL104" s="4"/>
      <c r="AQ104" s="4"/>
      <c r="AV104" s="4"/>
      <c r="BA104" s="4"/>
    </row>
    <row r="105" spans="8:53" s="1" customFormat="1" ht="85.15" customHeight="1">
      <c r="H105" s="4"/>
      <c r="M105" s="4"/>
      <c r="R105" s="4"/>
      <c r="W105" s="4"/>
      <c r="AB105" s="4"/>
      <c r="AG105" s="4"/>
      <c r="AL105" s="4"/>
      <c r="AQ105" s="4"/>
      <c r="AV105" s="4"/>
      <c r="BA105" s="4"/>
    </row>
    <row r="106" spans="8:53" s="1" customFormat="1" ht="85.15" customHeight="1">
      <c r="H106" s="4"/>
      <c r="M106" s="4"/>
      <c r="R106" s="4"/>
      <c r="W106" s="4"/>
      <c r="AB106" s="4"/>
      <c r="AG106" s="4"/>
      <c r="AL106" s="4"/>
      <c r="AQ106" s="4"/>
      <c r="AV106" s="4"/>
      <c r="BA106" s="4"/>
    </row>
    <row r="107" spans="8:53" s="1" customFormat="1" ht="85.15" customHeight="1">
      <c r="H107" s="4"/>
      <c r="M107" s="4"/>
      <c r="R107" s="4"/>
      <c r="W107" s="4"/>
      <c r="AB107" s="4"/>
      <c r="AG107" s="4"/>
      <c r="AL107" s="4"/>
      <c r="AQ107" s="4"/>
      <c r="AV107" s="4"/>
      <c r="BA107" s="4"/>
    </row>
    <row r="108" spans="8:53" s="1" customFormat="1" ht="85.15" customHeight="1">
      <c r="H108" s="4"/>
      <c r="M108" s="4"/>
      <c r="R108" s="4"/>
      <c r="W108" s="4"/>
      <c r="AB108" s="4"/>
      <c r="AG108" s="4"/>
      <c r="AL108" s="4"/>
      <c r="AQ108" s="4"/>
      <c r="AV108" s="4"/>
      <c r="BA108" s="4"/>
    </row>
    <row r="109" spans="8:53" s="1" customFormat="1" ht="85.15" customHeight="1">
      <c r="H109" s="4"/>
      <c r="M109" s="4"/>
      <c r="R109" s="4"/>
      <c r="W109" s="4"/>
      <c r="AB109" s="4"/>
      <c r="AG109" s="4"/>
      <c r="AL109" s="4"/>
      <c r="AQ109" s="4"/>
      <c r="AV109" s="4"/>
      <c r="BA109" s="4"/>
    </row>
    <row r="110" spans="8:53" s="1" customFormat="1" ht="85.15" customHeight="1">
      <c r="H110" s="4"/>
      <c r="M110" s="4"/>
      <c r="R110" s="4"/>
      <c r="W110" s="4"/>
      <c r="AB110" s="4"/>
      <c r="AG110" s="4"/>
      <c r="AL110" s="4"/>
      <c r="AQ110" s="4"/>
      <c r="AV110" s="4"/>
      <c r="BA110" s="4"/>
    </row>
    <row r="111" spans="8:53" s="1" customFormat="1" ht="85.15" customHeight="1">
      <c r="H111" s="4"/>
      <c r="M111" s="4"/>
      <c r="R111" s="4"/>
      <c r="W111" s="4"/>
      <c r="AB111" s="4"/>
      <c r="AG111" s="4"/>
      <c r="AL111" s="4"/>
      <c r="AQ111" s="4"/>
      <c r="AV111" s="4"/>
      <c r="BA111" s="4"/>
    </row>
    <row r="112" spans="8:53" s="1" customFormat="1" ht="85.15" customHeight="1">
      <c r="H112" s="4"/>
      <c r="M112" s="4"/>
      <c r="R112" s="4"/>
      <c r="W112" s="4"/>
      <c r="AB112" s="4"/>
      <c r="AG112" s="4"/>
      <c r="AL112" s="4"/>
      <c r="AQ112" s="4"/>
      <c r="AV112" s="4"/>
      <c r="BA112" s="4"/>
    </row>
    <row r="113" spans="8:53" s="1" customFormat="1" ht="85.15" customHeight="1">
      <c r="H113" s="4"/>
      <c r="M113" s="4"/>
      <c r="R113" s="4"/>
      <c r="W113" s="4"/>
      <c r="AB113" s="4"/>
      <c r="AG113" s="4"/>
      <c r="AL113" s="4"/>
      <c r="AQ113" s="4"/>
      <c r="AV113" s="4"/>
      <c r="BA113" s="4"/>
    </row>
    <row r="114" spans="8:53" s="1" customFormat="1" ht="85.15" customHeight="1">
      <c r="H114" s="4"/>
      <c r="M114" s="4"/>
      <c r="R114" s="4"/>
      <c r="W114" s="4"/>
      <c r="AB114" s="4"/>
      <c r="AG114" s="4"/>
      <c r="AL114" s="4"/>
      <c r="AQ114" s="4"/>
      <c r="AV114" s="4"/>
      <c r="BA114" s="4"/>
    </row>
    <row r="115" spans="8:53" s="1" customFormat="1" ht="85.15" customHeight="1">
      <c r="H115" s="4"/>
      <c r="M115" s="4"/>
      <c r="R115" s="4"/>
      <c r="W115" s="4"/>
      <c r="AB115" s="4"/>
      <c r="AG115" s="4"/>
      <c r="AL115" s="4"/>
      <c r="AQ115" s="4"/>
      <c r="AV115" s="4"/>
      <c r="BA115" s="4"/>
    </row>
    <row r="116" spans="8:53" s="1" customFormat="1" ht="85.15" customHeight="1">
      <c r="H116" s="4"/>
      <c r="M116" s="4"/>
      <c r="R116" s="4"/>
      <c r="W116" s="4"/>
      <c r="AB116" s="4"/>
      <c r="AG116" s="4"/>
      <c r="AL116" s="4"/>
      <c r="AQ116" s="4"/>
      <c r="AV116" s="4"/>
      <c r="BA116" s="4"/>
    </row>
    <row r="117" spans="8:53" s="1" customFormat="1" ht="85.15" customHeight="1">
      <c r="H117" s="4"/>
      <c r="M117" s="4"/>
      <c r="R117" s="4"/>
      <c r="W117" s="4"/>
      <c r="AB117" s="4"/>
      <c r="AG117" s="4"/>
      <c r="AL117" s="4"/>
      <c r="AQ117" s="4"/>
      <c r="AV117" s="4"/>
      <c r="BA117" s="4"/>
    </row>
    <row r="118" spans="8:53" s="1" customFormat="1" ht="85.15" customHeight="1">
      <c r="H118" s="4"/>
      <c r="M118" s="4"/>
      <c r="R118" s="4"/>
      <c r="W118" s="4"/>
      <c r="AB118" s="4"/>
      <c r="AG118" s="4"/>
      <c r="AL118" s="4"/>
      <c r="AQ118" s="4"/>
      <c r="AV118" s="4"/>
      <c r="BA118" s="4"/>
    </row>
    <row r="119" spans="8:53" s="1" customFormat="1" ht="85.15" customHeight="1">
      <c r="H119" s="4"/>
      <c r="M119" s="4"/>
      <c r="R119" s="4"/>
      <c r="W119" s="4"/>
      <c r="AB119" s="4"/>
      <c r="AG119" s="4"/>
      <c r="AL119" s="4"/>
      <c r="AQ119" s="4"/>
      <c r="AV119" s="4"/>
      <c r="BA119" s="4"/>
    </row>
    <row r="120" spans="8:53" s="1" customFormat="1" ht="85.15" customHeight="1">
      <c r="H120" s="4"/>
      <c r="M120" s="4"/>
      <c r="R120" s="4"/>
      <c r="W120" s="4"/>
      <c r="AB120" s="4"/>
      <c r="AG120" s="4"/>
      <c r="AL120" s="4"/>
      <c r="AQ120" s="4"/>
      <c r="AV120" s="4"/>
      <c r="BA120" s="4"/>
    </row>
    <row r="121" spans="8:53" s="1" customFormat="1" ht="85.15" customHeight="1">
      <c r="H121" s="4"/>
      <c r="M121" s="4"/>
      <c r="R121" s="4"/>
      <c r="W121" s="4"/>
      <c r="AB121" s="4"/>
      <c r="AG121" s="4"/>
      <c r="AL121" s="4"/>
      <c r="AQ121" s="4"/>
      <c r="AV121" s="4"/>
      <c r="BA121" s="4"/>
    </row>
    <row r="122" spans="8:53" s="1" customFormat="1" ht="85.15" customHeight="1">
      <c r="H122" s="4"/>
      <c r="M122" s="4"/>
      <c r="R122" s="4"/>
      <c r="W122" s="4"/>
      <c r="AB122" s="4"/>
      <c r="AG122" s="4"/>
      <c r="AL122" s="4"/>
      <c r="AQ122" s="4"/>
      <c r="AV122" s="4"/>
      <c r="BA122" s="4"/>
    </row>
    <row r="123" spans="8:53" s="1" customFormat="1" ht="85.15" customHeight="1">
      <c r="H123" s="4"/>
      <c r="M123" s="4"/>
      <c r="R123" s="4"/>
      <c r="W123" s="4"/>
      <c r="AB123" s="4"/>
      <c r="AG123" s="4"/>
      <c r="AL123" s="4"/>
      <c r="AQ123" s="4"/>
      <c r="AV123" s="4"/>
      <c r="BA123" s="4"/>
    </row>
    <row r="124" spans="8:53" s="1" customFormat="1" ht="85.15" customHeight="1">
      <c r="H124" s="4"/>
      <c r="M124" s="4"/>
      <c r="R124" s="4"/>
      <c r="W124" s="4"/>
      <c r="AB124" s="4"/>
      <c r="AG124" s="4"/>
      <c r="AL124" s="4"/>
      <c r="AQ124" s="4"/>
      <c r="AV124" s="4"/>
      <c r="BA124" s="4"/>
    </row>
    <row r="125" spans="8:53" s="1" customFormat="1" ht="85.15" customHeight="1">
      <c r="H125" s="4"/>
      <c r="M125" s="4"/>
      <c r="R125" s="4"/>
      <c r="W125" s="4"/>
      <c r="AB125" s="4"/>
      <c r="AG125" s="4"/>
      <c r="AL125" s="4"/>
      <c r="AQ125" s="4"/>
      <c r="AV125" s="4"/>
      <c r="BA125" s="4"/>
    </row>
    <row r="126" spans="8:53" s="1" customFormat="1" ht="85.15" customHeight="1">
      <c r="H126" s="4"/>
      <c r="M126" s="4"/>
      <c r="R126" s="4"/>
      <c r="W126" s="4"/>
      <c r="AB126" s="4"/>
      <c r="AG126" s="4"/>
      <c r="AL126" s="4"/>
      <c r="AQ126" s="4"/>
      <c r="AV126" s="4"/>
      <c r="BA126" s="4"/>
    </row>
    <row r="127" spans="8:53" s="1" customFormat="1" ht="85.15" customHeight="1">
      <c r="H127" s="4"/>
      <c r="M127" s="4"/>
      <c r="R127" s="4"/>
      <c r="W127" s="4"/>
      <c r="AB127" s="4"/>
      <c r="AG127" s="4"/>
      <c r="AL127" s="4"/>
      <c r="AQ127" s="4"/>
      <c r="AV127" s="4"/>
      <c r="BA127" s="4"/>
    </row>
    <row r="128" spans="8:53" s="1" customFormat="1" ht="85.15" customHeight="1">
      <c r="H128" s="4"/>
      <c r="M128" s="4"/>
      <c r="R128" s="4"/>
      <c r="W128" s="4"/>
      <c r="AB128" s="4"/>
      <c r="AG128" s="4"/>
      <c r="AL128" s="4"/>
      <c r="AQ128" s="4"/>
      <c r="AV128" s="4"/>
      <c r="BA128" s="4"/>
    </row>
    <row r="129" spans="8:53" s="1" customFormat="1" ht="85.15" customHeight="1">
      <c r="H129" s="4"/>
      <c r="M129" s="4"/>
      <c r="R129" s="4"/>
      <c r="W129" s="4"/>
      <c r="AB129" s="4"/>
      <c r="AG129" s="4"/>
      <c r="AL129" s="4"/>
      <c r="AQ129" s="4"/>
      <c r="AV129" s="4"/>
      <c r="BA129" s="4"/>
    </row>
    <row r="130" spans="8:53" s="1" customFormat="1" ht="85.15" customHeight="1">
      <c r="H130" s="4"/>
      <c r="M130" s="4"/>
      <c r="R130" s="4"/>
      <c r="W130" s="4"/>
      <c r="AB130" s="4"/>
      <c r="AG130" s="4"/>
      <c r="AL130" s="4"/>
      <c r="AQ130" s="4"/>
      <c r="AV130" s="4"/>
      <c r="BA130" s="4"/>
    </row>
    <row r="131" spans="8:53" s="1" customFormat="1" ht="85.15" customHeight="1">
      <c r="H131" s="4"/>
      <c r="M131" s="4"/>
      <c r="R131" s="4"/>
      <c r="W131" s="4"/>
      <c r="AB131" s="4"/>
      <c r="AG131" s="4"/>
      <c r="AL131" s="4"/>
      <c r="AQ131" s="4"/>
      <c r="AV131" s="4"/>
      <c r="BA131" s="4"/>
    </row>
    <row r="132" spans="8:53" s="1" customFormat="1" ht="85.15" customHeight="1">
      <c r="H132" s="4"/>
      <c r="M132" s="4"/>
      <c r="R132" s="4"/>
      <c r="W132" s="4"/>
      <c r="AB132" s="4"/>
      <c r="AG132" s="4"/>
      <c r="AL132" s="4"/>
      <c r="AQ132" s="4"/>
      <c r="AV132" s="4"/>
      <c r="BA132" s="4"/>
    </row>
    <row r="133" spans="8:53" s="1" customFormat="1" ht="85.15" customHeight="1">
      <c r="H133" s="4"/>
      <c r="M133" s="4"/>
      <c r="R133" s="4"/>
      <c r="W133" s="4"/>
      <c r="AB133" s="4"/>
      <c r="AG133" s="4"/>
      <c r="AL133" s="4"/>
      <c r="AQ133" s="4"/>
      <c r="AV133" s="4"/>
      <c r="BA133" s="4"/>
    </row>
    <row r="134" spans="8:53" s="1" customFormat="1" ht="85.15" customHeight="1">
      <c r="H134" s="4"/>
      <c r="M134" s="4"/>
      <c r="R134" s="4"/>
      <c r="W134" s="4"/>
      <c r="AB134" s="4"/>
      <c r="AG134" s="4"/>
      <c r="AL134" s="4"/>
      <c r="AQ134" s="4"/>
      <c r="AV134" s="4"/>
      <c r="BA134" s="4"/>
    </row>
    <row r="135" spans="8:53" s="1" customFormat="1" ht="85.15" customHeight="1">
      <c r="H135" s="4"/>
      <c r="M135" s="4"/>
      <c r="R135" s="4"/>
      <c r="W135" s="4"/>
      <c r="AB135" s="4"/>
      <c r="AG135" s="4"/>
      <c r="AL135" s="4"/>
      <c r="AQ135" s="4"/>
      <c r="AV135" s="4"/>
      <c r="BA135" s="4"/>
    </row>
    <row r="136" spans="8:53" s="1" customFormat="1" ht="85.15" customHeight="1">
      <c r="H136" s="4"/>
      <c r="M136" s="4"/>
      <c r="R136" s="4"/>
      <c r="W136" s="4"/>
      <c r="AB136" s="4"/>
      <c r="AG136" s="4"/>
      <c r="AL136" s="4"/>
      <c r="AQ136" s="4"/>
      <c r="AV136" s="4"/>
      <c r="BA136" s="4"/>
    </row>
    <row r="137" spans="8:53" s="1" customFormat="1" ht="85.15" customHeight="1">
      <c r="H137" s="4"/>
      <c r="M137" s="4"/>
      <c r="R137" s="4"/>
      <c r="W137" s="4"/>
      <c r="AB137" s="4"/>
      <c r="AG137" s="4"/>
      <c r="AL137" s="4"/>
      <c r="AQ137" s="4"/>
      <c r="AV137" s="4"/>
      <c r="BA137" s="4"/>
    </row>
    <row r="138" spans="8:53" s="1" customFormat="1" ht="85.15" customHeight="1">
      <c r="H138" s="4"/>
      <c r="M138" s="4"/>
      <c r="R138" s="4"/>
      <c r="W138" s="4"/>
      <c r="AB138" s="4"/>
      <c r="AG138" s="4"/>
      <c r="AL138" s="4"/>
      <c r="AQ138" s="4"/>
      <c r="AV138" s="4"/>
      <c r="BA138" s="4"/>
    </row>
    <row r="139" spans="8:53" s="1" customFormat="1" ht="85.15" customHeight="1">
      <c r="H139" s="4"/>
      <c r="M139" s="4"/>
      <c r="R139" s="4"/>
      <c r="W139" s="4"/>
      <c r="AB139" s="4"/>
      <c r="AG139" s="4"/>
      <c r="AL139" s="4"/>
      <c r="AQ139" s="4"/>
      <c r="AV139" s="4"/>
      <c r="BA139" s="4"/>
    </row>
    <row r="140" spans="8:53" s="1" customFormat="1" ht="85.15" customHeight="1">
      <c r="H140" s="4"/>
      <c r="M140" s="4"/>
      <c r="R140" s="4"/>
      <c r="W140" s="4"/>
      <c r="AB140" s="4"/>
      <c r="AG140" s="4"/>
      <c r="AL140" s="4"/>
      <c r="AQ140" s="4"/>
      <c r="AV140" s="4"/>
      <c r="BA140" s="4"/>
    </row>
    <row r="141" spans="8:53" s="1" customFormat="1" ht="85.15" customHeight="1">
      <c r="H141" s="4"/>
      <c r="M141" s="4"/>
      <c r="R141" s="4"/>
      <c r="W141" s="4"/>
      <c r="AB141" s="4"/>
      <c r="AG141" s="4"/>
      <c r="AL141" s="4"/>
      <c r="AQ141" s="4"/>
      <c r="AV141" s="4"/>
      <c r="BA141" s="4"/>
    </row>
    <row r="142" spans="8:53" s="1" customFormat="1" ht="85.15" customHeight="1">
      <c r="H142" s="4"/>
      <c r="M142" s="4"/>
      <c r="R142" s="4"/>
      <c r="W142" s="4"/>
      <c r="AB142" s="4"/>
      <c r="AG142" s="4"/>
      <c r="AL142" s="4"/>
      <c r="AQ142" s="4"/>
      <c r="AV142" s="4"/>
      <c r="BA142" s="4"/>
    </row>
    <row r="143" spans="8:53" s="1" customFormat="1" ht="85.15" customHeight="1">
      <c r="H143" s="4"/>
      <c r="M143" s="4"/>
      <c r="R143" s="4"/>
      <c r="W143" s="4"/>
      <c r="AB143" s="4"/>
      <c r="AG143" s="4"/>
      <c r="AL143" s="4"/>
      <c r="AQ143" s="4"/>
      <c r="AV143" s="4"/>
      <c r="BA143" s="4"/>
    </row>
    <row r="144" spans="8:53" s="1" customFormat="1" ht="85.15" customHeight="1">
      <c r="H144" s="4"/>
      <c r="M144" s="4"/>
      <c r="R144" s="4"/>
      <c r="W144" s="4"/>
      <c r="AB144" s="4"/>
      <c r="AG144" s="4"/>
      <c r="AL144" s="4"/>
      <c r="AQ144" s="4"/>
      <c r="AV144" s="4"/>
      <c r="BA144" s="4"/>
    </row>
    <row r="145" spans="8:53" s="1" customFormat="1" ht="85.15" customHeight="1">
      <c r="H145" s="4"/>
      <c r="M145" s="4"/>
      <c r="R145" s="4"/>
      <c r="W145" s="4"/>
      <c r="AB145" s="4"/>
      <c r="AG145" s="4"/>
      <c r="AL145" s="4"/>
      <c r="AQ145" s="4"/>
      <c r="AV145" s="4"/>
      <c r="BA145" s="4"/>
    </row>
    <row r="146" spans="8:53" s="1" customFormat="1" ht="85.15" customHeight="1">
      <c r="H146" s="4"/>
      <c r="M146" s="4"/>
      <c r="R146" s="4"/>
      <c r="W146" s="4"/>
      <c r="AB146" s="4"/>
      <c r="AG146" s="4"/>
      <c r="AL146" s="4"/>
      <c r="AQ146" s="4"/>
      <c r="AV146" s="4"/>
      <c r="BA146" s="4"/>
    </row>
    <row r="147" spans="8:53" s="1" customFormat="1" ht="85.15" customHeight="1">
      <c r="H147" s="4"/>
      <c r="M147" s="4"/>
      <c r="R147" s="4"/>
      <c r="W147" s="4"/>
      <c r="AB147" s="4"/>
      <c r="AG147" s="4"/>
      <c r="AL147" s="4"/>
      <c r="AQ147" s="4"/>
      <c r="AV147" s="4"/>
      <c r="BA147" s="4"/>
    </row>
    <row r="148" spans="8:53" s="1" customFormat="1" ht="85.15" customHeight="1">
      <c r="H148" s="4"/>
      <c r="M148" s="4"/>
      <c r="R148" s="4"/>
      <c r="W148" s="4"/>
      <c r="AB148" s="4"/>
      <c r="AG148" s="4"/>
      <c r="AL148" s="4"/>
      <c r="AQ148" s="4"/>
      <c r="AV148" s="4"/>
      <c r="BA148" s="4"/>
    </row>
    <row r="149" spans="8:53" s="1" customFormat="1" ht="85.15" customHeight="1">
      <c r="H149" s="4"/>
      <c r="M149" s="4"/>
      <c r="R149" s="4"/>
      <c r="W149" s="4"/>
      <c r="AB149" s="4"/>
      <c r="AG149" s="4"/>
      <c r="AL149" s="4"/>
      <c r="AQ149" s="4"/>
      <c r="AV149" s="4"/>
      <c r="BA149" s="4"/>
    </row>
    <row r="150" spans="8:53" s="1" customFormat="1" ht="85.15" customHeight="1">
      <c r="H150" s="4"/>
      <c r="M150" s="4"/>
      <c r="R150" s="4"/>
      <c r="W150" s="4"/>
      <c r="AB150" s="4"/>
      <c r="AG150" s="4"/>
      <c r="AL150" s="4"/>
      <c r="AQ150" s="4"/>
      <c r="AV150" s="4"/>
      <c r="BA150" s="4"/>
    </row>
    <row r="151" spans="8:53" s="1" customFormat="1" ht="85.15" customHeight="1">
      <c r="H151" s="4"/>
      <c r="M151" s="4"/>
      <c r="R151" s="4"/>
      <c r="W151" s="4"/>
      <c r="AB151" s="4"/>
      <c r="AG151" s="4"/>
      <c r="AL151" s="4"/>
      <c r="AQ151" s="4"/>
      <c r="AV151" s="4"/>
      <c r="BA151" s="4"/>
    </row>
    <row r="152" spans="8:53" s="1" customFormat="1" ht="85.15" customHeight="1">
      <c r="H152" s="4"/>
      <c r="M152" s="4"/>
      <c r="R152" s="4"/>
      <c r="W152" s="4"/>
      <c r="AB152" s="4"/>
      <c r="AG152" s="4"/>
      <c r="AL152" s="4"/>
      <c r="AQ152" s="4"/>
      <c r="AV152" s="4"/>
      <c r="BA152" s="4"/>
    </row>
    <row r="153" spans="8:53" s="1" customFormat="1" ht="85.15" customHeight="1">
      <c r="H153" s="4"/>
      <c r="M153" s="4"/>
      <c r="R153" s="4"/>
      <c r="W153" s="4"/>
      <c r="AB153" s="4"/>
      <c r="AG153" s="4"/>
      <c r="AL153" s="4"/>
      <c r="AQ153" s="4"/>
      <c r="AV153" s="4"/>
      <c r="BA153" s="4"/>
    </row>
    <row r="154" spans="8:53" s="1" customFormat="1" ht="85.15" customHeight="1">
      <c r="H154" s="4"/>
      <c r="M154" s="4"/>
      <c r="R154" s="4"/>
      <c r="W154" s="4"/>
      <c r="AB154" s="4"/>
      <c r="AG154" s="4"/>
      <c r="AL154" s="4"/>
      <c r="AQ154" s="4"/>
      <c r="AV154" s="4"/>
      <c r="BA154" s="4"/>
    </row>
    <row r="155" spans="8:53" s="1" customFormat="1" ht="85.15" customHeight="1">
      <c r="H155" s="4"/>
      <c r="M155" s="4"/>
      <c r="R155" s="4"/>
      <c r="W155" s="4"/>
      <c r="AB155" s="4"/>
      <c r="AG155" s="4"/>
      <c r="AL155" s="4"/>
      <c r="AQ155" s="4"/>
      <c r="AV155" s="4"/>
      <c r="BA155" s="4"/>
    </row>
    <row r="156" spans="8:53" s="1" customFormat="1" ht="85.15" customHeight="1">
      <c r="H156" s="4"/>
      <c r="M156" s="4"/>
      <c r="R156" s="4"/>
      <c r="W156" s="4"/>
      <c r="AB156" s="4"/>
      <c r="AG156" s="4"/>
      <c r="AL156" s="4"/>
      <c r="AQ156" s="4"/>
      <c r="AV156" s="4"/>
      <c r="BA156" s="4"/>
    </row>
    <row r="157" spans="8:53" s="1" customFormat="1" ht="85.15" customHeight="1">
      <c r="H157" s="4"/>
      <c r="M157" s="4"/>
      <c r="R157" s="4"/>
      <c r="W157" s="4"/>
      <c r="AB157" s="4"/>
      <c r="AG157" s="4"/>
      <c r="AL157" s="4"/>
      <c r="AQ157" s="4"/>
      <c r="AV157" s="4"/>
      <c r="BA157" s="4"/>
    </row>
    <row r="158" spans="8:53" s="1" customFormat="1" ht="85.15" customHeight="1">
      <c r="H158" s="4"/>
      <c r="M158" s="4"/>
      <c r="R158" s="4"/>
      <c r="W158" s="4"/>
      <c r="AB158" s="4"/>
      <c r="AG158" s="4"/>
      <c r="AL158" s="4"/>
      <c r="AQ158" s="4"/>
      <c r="AV158" s="4"/>
      <c r="BA158" s="4"/>
    </row>
    <row r="159" spans="8:53" s="1" customFormat="1" ht="85.15" customHeight="1">
      <c r="H159" s="4"/>
      <c r="M159" s="4"/>
      <c r="R159" s="4"/>
      <c r="W159" s="4"/>
      <c r="AB159" s="4"/>
      <c r="AG159" s="4"/>
      <c r="AL159" s="4"/>
      <c r="AQ159" s="4"/>
      <c r="AV159" s="4"/>
      <c r="BA159" s="4"/>
    </row>
    <row r="160" spans="8:53" s="1" customFormat="1" ht="85.15" customHeight="1">
      <c r="H160" s="4"/>
      <c r="M160" s="4"/>
      <c r="R160" s="4"/>
      <c r="W160" s="4"/>
      <c r="AB160" s="4"/>
      <c r="AG160" s="4"/>
      <c r="AL160" s="4"/>
      <c r="AQ160" s="4"/>
      <c r="AV160" s="4"/>
      <c r="BA160" s="4"/>
    </row>
    <row r="161" spans="8:53" s="1" customFormat="1" ht="85.15" customHeight="1">
      <c r="H161" s="4"/>
      <c r="M161" s="4"/>
      <c r="R161" s="4"/>
      <c r="W161" s="4"/>
      <c r="AB161" s="4"/>
      <c r="AG161" s="4"/>
      <c r="AL161" s="4"/>
      <c r="AQ161" s="4"/>
      <c r="AV161" s="4"/>
      <c r="BA161" s="4"/>
    </row>
    <row r="162" spans="8:53" s="1" customFormat="1" ht="85.15" customHeight="1">
      <c r="H162" s="4"/>
      <c r="M162" s="4"/>
      <c r="R162" s="4"/>
      <c r="W162" s="4"/>
      <c r="AB162" s="4"/>
      <c r="AG162" s="4"/>
      <c r="AL162" s="4"/>
      <c r="AQ162" s="4"/>
      <c r="AV162" s="4"/>
      <c r="BA162" s="4"/>
    </row>
    <row r="163" spans="8:53" s="1" customFormat="1" ht="85.15" customHeight="1">
      <c r="H163" s="4"/>
      <c r="M163" s="4"/>
      <c r="R163" s="4"/>
      <c r="W163" s="4"/>
      <c r="AB163" s="4"/>
      <c r="AG163" s="4"/>
      <c r="AL163" s="4"/>
      <c r="AQ163" s="4"/>
      <c r="AV163" s="4"/>
      <c r="BA163" s="4"/>
    </row>
    <row r="164" spans="8:53" s="1" customFormat="1" ht="85.15" customHeight="1">
      <c r="H164" s="4"/>
      <c r="M164" s="4"/>
      <c r="R164" s="4"/>
      <c r="W164" s="4"/>
      <c r="AB164" s="4"/>
      <c r="AG164" s="4"/>
      <c r="AL164" s="4"/>
      <c r="AQ164" s="4"/>
      <c r="AV164" s="4"/>
      <c r="BA164" s="4"/>
    </row>
    <row r="165" spans="8:53" s="1" customFormat="1" ht="85.15" customHeight="1">
      <c r="H165" s="4"/>
      <c r="M165" s="4"/>
      <c r="R165" s="4"/>
      <c r="W165" s="4"/>
      <c r="AB165" s="4"/>
      <c r="AG165" s="4"/>
      <c r="AL165" s="4"/>
      <c r="AQ165" s="4"/>
      <c r="AV165" s="4"/>
      <c r="BA165" s="4"/>
    </row>
    <row r="166" spans="8:53" s="1" customFormat="1" ht="85.15" customHeight="1">
      <c r="H166" s="4"/>
      <c r="M166" s="4"/>
      <c r="R166" s="4"/>
      <c r="W166" s="4"/>
      <c r="AB166" s="4"/>
      <c r="AG166" s="4"/>
      <c r="AL166" s="4"/>
      <c r="AQ166" s="4"/>
      <c r="AV166" s="4"/>
      <c r="BA166" s="4"/>
    </row>
    <row r="167" spans="8:53" s="1" customFormat="1" ht="85.15" customHeight="1">
      <c r="H167" s="4"/>
      <c r="M167" s="4"/>
      <c r="R167" s="4"/>
      <c r="W167" s="4"/>
      <c r="AB167" s="4"/>
      <c r="AG167" s="4"/>
      <c r="AL167" s="4"/>
      <c r="AQ167" s="4"/>
      <c r="AV167" s="4"/>
      <c r="BA167" s="4"/>
    </row>
    <row r="168" spans="8:53" s="1" customFormat="1" ht="85.15" customHeight="1">
      <c r="H168" s="4"/>
      <c r="M168" s="4"/>
      <c r="R168" s="4"/>
      <c r="W168" s="4"/>
      <c r="AB168" s="4"/>
      <c r="AG168" s="4"/>
      <c r="AL168" s="4"/>
      <c r="AQ168" s="4"/>
      <c r="AV168" s="4"/>
      <c r="BA168" s="4"/>
    </row>
    <row r="169" spans="8:53" s="1" customFormat="1" ht="85.15" customHeight="1">
      <c r="H169" s="4"/>
      <c r="M169" s="4"/>
      <c r="R169" s="4"/>
      <c r="W169" s="4"/>
      <c r="AB169" s="4"/>
      <c r="AG169" s="4"/>
      <c r="AL169" s="4"/>
      <c r="AQ169" s="4"/>
      <c r="AV169" s="4"/>
      <c r="BA169" s="4"/>
    </row>
    <row r="170" spans="8:53" s="1" customFormat="1" ht="85.15" customHeight="1">
      <c r="H170" s="4"/>
      <c r="M170" s="4"/>
      <c r="R170" s="4"/>
      <c r="W170" s="4"/>
      <c r="AB170" s="4"/>
      <c r="AG170" s="4"/>
      <c r="AL170" s="4"/>
      <c r="AQ170" s="4"/>
      <c r="AV170" s="4"/>
      <c r="BA170" s="4"/>
    </row>
    <row r="171" spans="8:53" s="1" customFormat="1" ht="85.15" customHeight="1">
      <c r="H171" s="4"/>
      <c r="M171" s="4"/>
      <c r="R171" s="4"/>
      <c r="W171" s="4"/>
      <c r="AB171" s="4"/>
      <c r="AG171" s="4"/>
      <c r="AL171" s="4"/>
      <c r="AQ171" s="4"/>
      <c r="AV171" s="4"/>
      <c r="BA171" s="4"/>
    </row>
    <row r="172" spans="8:53" s="1" customFormat="1" ht="85.15" customHeight="1">
      <c r="H172" s="4"/>
      <c r="M172" s="4"/>
      <c r="R172" s="4"/>
      <c r="W172" s="4"/>
      <c r="AB172" s="4"/>
      <c r="AG172" s="4"/>
      <c r="AL172" s="4"/>
      <c r="AQ172" s="4"/>
      <c r="AV172" s="4"/>
      <c r="BA172" s="4"/>
    </row>
    <row r="173" spans="8:53" s="1" customFormat="1" ht="85.15" customHeight="1">
      <c r="H173" s="4"/>
      <c r="M173" s="4"/>
      <c r="R173" s="4"/>
      <c r="W173" s="4"/>
      <c r="AB173" s="4"/>
      <c r="AG173" s="4"/>
      <c r="AL173" s="4"/>
      <c r="AQ173" s="4"/>
      <c r="AV173" s="4"/>
      <c r="BA173" s="4"/>
    </row>
    <row r="174" spans="8:53" s="1" customFormat="1" ht="85.15" customHeight="1">
      <c r="H174" s="4"/>
      <c r="M174" s="4"/>
      <c r="R174" s="4"/>
      <c r="W174" s="4"/>
      <c r="AB174" s="4"/>
      <c r="AG174" s="4"/>
      <c r="AL174" s="4"/>
      <c r="AQ174" s="4"/>
      <c r="AV174" s="4"/>
      <c r="BA174" s="4"/>
    </row>
    <row r="175" spans="8:53" s="1" customFormat="1" ht="85.15" customHeight="1">
      <c r="H175" s="4"/>
      <c r="M175" s="4"/>
      <c r="R175" s="4"/>
      <c r="W175" s="4"/>
      <c r="AB175" s="4"/>
      <c r="AG175" s="4"/>
      <c r="AL175" s="4"/>
      <c r="AQ175" s="4"/>
      <c r="AV175" s="4"/>
      <c r="BA175" s="4"/>
    </row>
    <row r="176" spans="8:53" s="1" customFormat="1" ht="85.15" customHeight="1">
      <c r="H176" s="4"/>
      <c r="M176" s="4"/>
      <c r="R176" s="4"/>
      <c r="W176" s="4"/>
      <c r="AB176" s="4"/>
      <c r="AG176" s="4"/>
      <c r="AL176" s="4"/>
      <c r="AQ176" s="4"/>
      <c r="AV176" s="4"/>
      <c r="BA176" s="4"/>
    </row>
    <row r="177" spans="8:53" s="1" customFormat="1" ht="85.15" customHeight="1">
      <c r="H177" s="4"/>
      <c r="M177" s="4"/>
      <c r="R177" s="4"/>
      <c r="W177" s="4"/>
      <c r="AB177" s="4"/>
      <c r="AG177" s="4"/>
      <c r="AL177" s="4"/>
      <c r="AQ177" s="4"/>
      <c r="AV177" s="4"/>
      <c r="BA177" s="4"/>
    </row>
    <row r="178" spans="8:53" s="1" customFormat="1" ht="85.15" customHeight="1">
      <c r="H178" s="4"/>
      <c r="M178" s="4"/>
      <c r="R178" s="4"/>
      <c r="W178" s="4"/>
      <c r="AB178" s="4"/>
      <c r="AG178" s="4"/>
      <c r="AL178" s="4"/>
      <c r="AQ178" s="4"/>
      <c r="AV178" s="4"/>
      <c r="BA178" s="4"/>
    </row>
    <row r="179" spans="8:53" s="1" customFormat="1" ht="85.15" customHeight="1">
      <c r="H179" s="4"/>
      <c r="M179" s="4"/>
      <c r="R179" s="4"/>
      <c r="W179" s="4"/>
      <c r="AB179" s="4"/>
      <c r="AG179" s="4"/>
      <c r="AL179" s="4"/>
      <c r="AQ179" s="4"/>
      <c r="AV179" s="4"/>
      <c r="BA179" s="4"/>
    </row>
    <row r="180" spans="8:53" s="1" customFormat="1" ht="85.15" customHeight="1">
      <c r="H180" s="4"/>
      <c r="M180" s="4"/>
      <c r="R180" s="4"/>
      <c r="W180" s="4"/>
      <c r="AB180" s="4"/>
      <c r="AG180" s="4"/>
      <c r="AL180" s="4"/>
      <c r="AQ180" s="4"/>
      <c r="AV180" s="4"/>
      <c r="BA180" s="4"/>
    </row>
    <row r="181" spans="8:53" s="1" customFormat="1" ht="85.15" customHeight="1">
      <c r="H181" s="4"/>
      <c r="M181" s="4"/>
      <c r="R181" s="4"/>
      <c r="W181" s="4"/>
      <c r="AB181" s="4"/>
      <c r="AG181" s="4"/>
      <c r="AL181" s="4"/>
      <c r="AQ181" s="4"/>
      <c r="AV181" s="4"/>
      <c r="BA181" s="4"/>
    </row>
    <row r="182" spans="8:53" s="1" customFormat="1" ht="85.15" customHeight="1">
      <c r="H182" s="4"/>
      <c r="M182" s="4"/>
      <c r="R182" s="4"/>
      <c r="W182" s="4"/>
      <c r="AB182" s="4"/>
      <c r="AG182" s="4"/>
      <c r="AL182" s="4"/>
      <c r="AQ182" s="4"/>
      <c r="AV182" s="4"/>
      <c r="BA182" s="4"/>
    </row>
    <row r="183" spans="8:53" s="1" customFormat="1" ht="85.15" customHeight="1">
      <c r="H183" s="4"/>
      <c r="M183" s="4"/>
      <c r="R183" s="4"/>
      <c r="W183" s="4"/>
      <c r="AB183" s="4"/>
      <c r="AG183" s="4"/>
      <c r="AL183" s="4"/>
      <c r="AQ183" s="4"/>
      <c r="AV183" s="4"/>
      <c r="BA183" s="4"/>
    </row>
    <row r="184" spans="8:53" s="1" customFormat="1" ht="85.15" customHeight="1">
      <c r="H184" s="4"/>
      <c r="M184" s="4"/>
      <c r="R184" s="4"/>
      <c r="W184" s="4"/>
      <c r="AB184" s="4"/>
      <c r="AG184" s="4"/>
      <c r="AL184" s="4"/>
      <c r="AQ184" s="4"/>
      <c r="AV184" s="4"/>
      <c r="BA184" s="4"/>
    </row>
    <row r="185" spans="8:53" s="1" customFormat="1" ht="53.45" customHeight="1">
      <c r="H185" s="4"/>
      <c r="M185" s="4"/>
      <c r="R185" s="4"/>
      <c r="W185" s="4"/>
      <c r="AB185" s="4"/>
      <c r="AG185" s="4"/>
      <c r="AL185" s="4"/>
      <c r="AQ185" s="4"/>
      <c r="AV185" s="4"/>
      <c r="BA185" s="4"/>
    </row>
    <row r="186" spans="8:53" s="1" customFormat="1" ht="53.45" customHeight="1">
      <c r="H186" s="4"/>
      <c r="M186" s="4"/>
      <c r="R186" s="4"/>
      <c r="W186" s="4"/>
      <c r="AB186" s="4"/>
      <c r="AG186" s="4"/>
      <c r="AL186" s="4"/>
      <c r="AQ186" s="4"/>
      <c r="AV186" s="4"/>
      <c r="BA186" s="4"/>
    </row>
    <row r="187" spans="8:53" s="1" customFormat="1" ht="53.45" customHeight="1">
      <c r="H187" s="4"/>
      <c r="M187" s="4"/>
      <c r="R187" s="4"/>
      <c r="W187" s="4"/>
      <c r="AB187" s="4"/>
      <c r="AG187" s="4"/>
      <c r="AL187" s="4"/>
      <c r="AQ187" s="4"/>
      <c r="AV187" s="4"/>
      <c r="BA187" s="4"/>
    </row>
    <row r="188" spans="8:53" s="1" customFormat="1" ht="53.45" customHeight="1">
      <c r="H188" s="4"/>
      <c r="M188" s="4"/>
      <c r="R188" s="4"/>
      <c r="W188" s="4"/>
      <c r="AB188" s="4"/>
      <c r="AG188" s="4"/>
      <c r="AL188" s="4"/>
      <c r="AQ188" s="4"/>
      <c r="AV188" s="4"/>
      <c r="BA188" s="4"/>
    </row>
    <row r="189" spans="8:53" s="1" customFormat="1" ht="53.45" customHeight="1">
      <c r="H189" s="4"/>
      <c r="M189" s="4"/>
      <c r="R189" s="4"/>
      <c r="W189" s="4"/>
      <c r="AB189" s="4"/>
      <c r="AG189" s="4"/>
      <c r="AL189" s="4"/>
      <c r="AQ189" s="4"/>
      <c r="AV189" s="4"/>
      <c r="BA189" s="4"/>
    </row>
    <row r="190" spans="8:53" s="1" customFormat="1" ht="53.45" customHeight="1">
      <c r="H190" s="4"/>
      <c r="M190" s="4"/>
      <c r="R190" s="4"/>
      <c r="W190" s="4"/>
      <c r="AB190" s="4"/>
      <c r="AG190" s="4"/>
      <c r="AL190" s="4"/>
      <c r="AQ190" s="4"/>
      <c r="AV190" s="4"/>
      <c r="BA190" s="4"/>
    </row>
    <row r="191" spans="8:53" s="1" customFormat="1" ht="53.45" customHeight="1">
      <c r="H191" s="4"/>
      <c r="M191" s="4"/>
      <c r="R191" s="4"/>
      <c r="W191" s="4"/>
      <c r="AB191" s="4"/>
      <c r="AG191" s="4"/>
      <c r="AL191" s="4"/>
      <c r="AQ191" s="4"/>
      <c r="AV191" s="4"/>
      <c r="BA191" s="4"/>
    </row>
    <row r="192" spans="8:53" s="1" customFormat="1" ht="53.45" customHeight="1">
      <c r="H192" s="4"/>
      <c r="M192" s="4"/>
      <c r="R192" s="4"/>
      <c r="W192" s="4"/>
      <c r="AB192" s="4"/>
      <c r="AG192" s="4"/>
      <c r="AL192" s="4"/>
      <c r="AQ192" s="4"/>
      <c r="AV192" s="4"/>
      <c r="BA192" s="4"/>
    </row>
    <row r="193" spans="8:53" s="1" customFormat="1" ht="53.45" customHeight="1">
      <c r="H193" s="4"/>
      <c r="M193" s="4"/>
      <c r="R193" s="4"/>
      <c r="W193" s="4"/>
      <c r="AB193" s="4"/>
      <c r="AG193" s="4"/>
      <c r="AL193" s="4"/>
      <c r="AQ193" s="4"/>
      <c r="AV193" s="4"/>
      <c r="BA193" s="4"/>
    </row>
    <row r="194" spans="8:53" s="1" customFormat="1" ht="53.45" customHeight="1">
      <c r="H194" s="4"/>
      <c r="M194" s="4"/>
      <c r="R194" s="4"/>
      <c r="W194" s="4"/>
      <c r="AB194" s="4"/>
      <c r="AG194" s="4"/>
      <c r="AL194" s="4"/>
      <c r="AQ194" s="4"/>
      <c r="AV194" s="4"/>
      <c r="BA194" s="4"/>
    </row>
    <row r="195" spans="8:53" s="1" customFormat="1" ht="53.45" customHeight="1">
      <c r="H195" s="4"/>
      <c r="M195" s="4"/>
      <c r="R195" s="4"/>
      <c r="W195" s="4"/>
      <c r="AB195" s="4"/>
      <c r="AG195" s="4"/>
      <c r="AL195" s="4"/>
      <c r="AQ195" s="4"/>
      <c r="AV195" s="4"/>
      <c r="BA195" s="4"/>
    </row>
    <row r="196" spans="8:53" s="1" customFormat="1" ht="53.45" customHeight="1">
      <c r="H196" s="4"/>
      <c r="M196" s="4"/>
      <c r="R196" s="4"/>
      <c r="W196" s="4"/>
      <c r="AB196" s="4"/>
      <c r="AG196" s="4"/>
      <c r="AL196" s="4"/>
      <c r="AQ196" s="4"/>
      <c r="AV196" s="4"/>
      <c r="BA196" s="4"/>
    </row>
    <row r="197" spans="8:53" s="1" customFormat="1" ht="53.45" customHeight="1">
      <c r="H197" s="4"/>
      <c r="M197" s="4"/>
      <c r="R197" s="4"/>
      <c r="W197" s="4"/>
      <c r="AB197" s="4"/>
      <c r="AG197" s="4"/>
      <c r="AL197" s="4"/>
      <c r="AQ197" s="4"/>
      <c r="AV197" s="4"/>
      <c r="BA197" s="4"/>
    </row>
    <row r="198" spans="8:53" s="1" customFormat="1" ht="53.45" customHeight="1">
      <c r="H198" s="4"/>
      <c r="M198" s="4"/>
      <c r="R198" s="4"/>
      <c r="W198" s="4"/>
      <c r="AB198" s="4"/>
      <c r="AG198" s="4"/>
      <c r="AL198" s="4"/>
      <c r="AQ198" s="4"/>
      <c r="AV198" s="4"/>
      <c r="BA198" s="4"/>
    </row>
    <row r="199" spans="8:53" s="1" customFormat="1" ht="53.45" customHeight="1">
      <c r="H199" s="4"/>
      <c r="M199" s="4"/>
      <c r="R199" s="4"/>
      <c r="W199" s="4"/>
      <c r="AB199" s="4"/>
      <c r="AG199" s="4"/>
      <c r="AL199" s="4"/>
      <c r="AQ199" s="4"/>
      <c r="AV199" s="4"/>
      <c r="BA199" s="4"/>
    </row>
    <row r="200" spans="8:53" s="1" customFormat="1" ht="53.45" customHeight="1">
      <c r="H200" s="4"/>
      <c r="M200" s="4"/>
      <c r="R200" s="4"/>
      <c r="W200" s="4"/>
      <c r="AB200" s="4"/>
      <c r="AG200" s="4"/>
      <c r="AL200" s="4"/>
      <c r="AQ200" s="4"/>
      <c r="AV200" s="4"/>
      <c r="BA200" s="4"/>
    </row>
    <row r="201" spans="8:53" s="1" customFormat="1" ht="53.45" customHeight="1">
      <c r="H201" s="4"/>
      <c r="M201" s="4"/>
      <c r="R201" s="4"/>
      <c r="W201" s="4"/>
      <c r="AB201" s="4"/>
      <c r="AG201" s="4"/>
      <c r="AL201" s="4"/>
      <c r="AQ201" s="4"/>
      <c r="AV201" s="4"/>
      <c r="BA201" s="4"/>
    </row>
    <row r="202" spans="8:53" s="1" customFormat="1" ht="53.45" customHeight="1">
      <c r="H202" s="4"/>
      <c r="M202" s="4"/>
      <c r="R202" s="4"/>
      <c r="W202" s="4"/>
      <c r="AB202" s="4"/>
      <c r="AG202" s="4"/>
      <c r="AL202" s="4"/>
      <c r="AQ202" s="4"/>
      <c r="AV202" s="4"/>
      <c r="BA202" s="4"/>
    </row>
    <row r="203" spans="8:53" s="1" customFormat="1" ht="53.45" customHeight="1">
      <c r="H203" s="4"/>
      <c r="M203" s="4"/>
      <c r="R203" s="4"/>
      <c r="W203" s="4"/>
      <c r="AB203" s="4"/>
      <c r="AG203" s="4"/>
      <c r="AL203" s="4"/>
      <c r="AQ203" s="4"/>
      <c r="AV203" s="4"/>
      <c r="BA203" s="4"/>
    </row>
    <row r="204" spans="8:53" s="1" customFormat="1" ht="53.45" customHeight="1">
      <c r="H204" s="4"/>
      <c r="M204" s="4"/>
      <c r="R204" s="4"/>
      <c r="W204" s="4"/>
      <c r="AB204" s="4"/>
      <c r="AG204" s="4"/>
      <c r="AL204" s="4"/>
      <c r="AQ204" s="4"/>
      <c r="AV204" s="4"/>
      <c r="BA204" s="4"/>
    </row>
    <row r="205" spans="8:53" s="1" customFormat="1" ht="53.45" customHeight="1">
      <c r="H205" s="4"/>
      <c r="M205" s="4"/>
      <c r="R205" s="4"/>
      <c r="W205" s="4"/>
      <c r="AB205" s="4"/>
      <c r="AG205" s="4"/>
      <c r="AL205" s="4"/>
      <c r="AQ205" s="4"/>
      <c r="AV205" s="4"/>
      <c r="BA205" s="4"/>
    </row>
    <row r="206" spans="8:53" s="1" customFormat="1" ht="53.45" customHeight="1">
      <c r="H206" s="4"/>
      <c r="M206" s="4"/>
      <c r="R206" s="4"/>
      <c r="W206" s="4"/>
      <c r="AB206" s="4"/>
      <c r="AG206" s="4"/>
      <c r="AL206" s="4"/>
      <c r="AQ206" s="4"/>
      <c r="AV206" s="4"/>
      <c r="BA206" s="4"/>
    </row>
    <row r="207" spans="8:53" s="1" customFormat="1" ht="53.45" customHeight="1">
      <c r="H207" s="4"/>
      <c r="M207" s="4"/>
      <c r="R207" s="4"/>
      <c r="W207" s="4"/>
      <c r="AB207" s="4"/>
      <c r="AG207" s="4"/>
      <c r="AL207" s="4"/>
      <c r="AQ207" s="4"/>
      <c r="AV207" s="4"/>
      <c r="BA207" s="4"/>
    </row>
    <row r="208" spans="8:53" s="1" customFormat="1" ht="53.45" customHeight="1">
      <c r="H208" s="4"/>
      <c r="M208" s="4"/>
      <c r="R208" s="4"/>
      <c r="W208" s="4"/>
      <c r="AB208" s="4"/>
      <c r="AG208" s="4"/>
      <c r="AL208" s="4"/>
      <c r="AQ208" s="4"/>
      <c r="AV208" s="4"/>
      <c r="BA208" s="4"/>
    </row>
    <row r="209" spans="8:53" s="1" customFormat="1" ht="53.45" customHeight="1">
      <c r="H209" s="4"/>
      <c r="M209" s="4"/>
      <c r="R209" s="4"/>
      <c r="W209" s="4"/>
      <c r="AB209" s="4"/>
      <c r="AG209" s="4"/>
      <c r="AL209" s="4"/>
      <c r="AQ209" s="4"/>
      <c r="AV209" s="4"/>
      <c r="BA209" s="4"/>
    </row>
    <row r="210" spans="8:53" s="1" customFormat="1" ht="53.45" customHeight="1">
      <c r="H210" s="4"/>
      <c r="M210" s="4"/>
      <c r="R210" s="4"/>
      <c r="W210" s="4"/>
      <c r="AB210" s="4"/>
      <c r="AG210" s="4"/>
      <c r="AL210" s="4"/>
      <c r="AQ210" s="4"/>
      <c r="AV210" s="4"/>
      <c r="BA210" s="4"/>
    </row>
    <row r="211" spans="8:53" s="1" customFormat="1" ht="53.45" customHeight="1">
      <c r="H211" s="4"/>
      <c r="M211" s="4"/>
      <c r="R211" s="4"/>
      <c r="W211" s="4"/>
      <c r="AB211" s="4"/>
      <c r="AG211" s="4"/>
      <c r="AL211" s="4"/>
      <c r="AQ211" s="4"/>
      <c r="AV211" s="4"/>
      <c r="BA211" s="4"/>
    </row>
    <row r="212" spans="8:53" s="1" customFormat="1" ht="53.45" customHeight="1">
      <c r="H212" s="4"/>
      <c r="M212" s="4"/>
      <c r="R212" s="4"/>
      <c r="W212" s="4"/>
      <c r="AB212" s="4"/>
      <c r="AG212" s="4"/>
      <c r="AL212" s="4"/>
      <c r="AQ212" s="4"/>
      <c r="AV212" s="4"/>
      <c r="BA212" s="4"/>
    </row>
    <row r="213" spans="8:53" s="1" customFormat="1" ht="53.45" customHeight="1">
      <c r="H213" s="4"/>
      <c r="M213" s="4"/>
      <c r="R213" s="4"/>
      <c r="W213" s="4"/>
      <c r="AB213" s="4"/>
      <c r="AG213" s="4"/>
      <c r="AL213" s="4"/>
      <c r="AQ213" s="4"/>
      <c r="AV213" s="4"/>
      <c r="BA213" s="4"/>
    </row>
    <row r="214" spans="8:53" s="1" customFormat="1" ht="53.45" customHeight="1">
      <c r="H214" s="4"/>
      <c r="M214" s="4"/>
      <c r="R214" s="4"/>
      <c r="W214" s="4"/>
      <c r="AB214" s="4"/>
      <c r="AG214" s="4"/>
      <c r="AL214" s="4"/>
      <c r="AQ214" s="4"/>
      <c r="AV214" s="4"/>
      <c r="BA214" s="4"/>
    </row>
    <row r="215" spans="8:53" s="1" customFormat="1" ht="53.45" customHeight="1">
      <c r="H215" s="4"/>
      <c r="M215" s="4"/>
      <c r="R215" s="4"/>
      <c r="W215" s="4"/>
      <c r="AB215" s="4"/>
      <c r="AG215" s="4"/>
      <c r="AL215" s="4"/>
      <c r="AQ215" s="4"/>
      <c r="AV215" s="4"/>
      <c r="BA215" s="4"/>
    </row>
    <row r="216" spans="8:53" s="1" customFormat="1" ht="53.45" customHeight="1">
      <c r="H216" s="4"/>
      <c r="M216" s="4"/>
      <c r="R216" s="4"/>
      <c r="W216" s="4"/>
      <c r="AB216" s="4"/>
      <c r="AG216" s="4"/>
      <c r="AL216" s="4"/>
      <c r="AQ216" s="4"/>
      <c r="AV216" s="4"/>
      <c r="BA216" s="4"/>
    </row>
    <row r="217" spans="8:53" s="1" customFormat="1" ht="53.45" customHeight="1">
      <c r="H217" s="4"/>
      <c r="M217" s="4"/>
      <c r="R217" s="4"/>
      <c r="W217" s="4"/>
      <c r="AB217" s="4"/>
      <c r="AG217" s="4"/>
      <c r="AL217" s="4"/>
      <c r="AQ217" s="4"/>
      <c r="AV217" s="4"/>
      <c r="BA217" s="4"/>
    </row>
    <row r="218" spans="8:53" s="1" customFormat="1" ht="53.45" customHeight="1">
      <c r="H218" s="4"/>
      <c r="M218" s="4"/>
      <c r="R218" s="4"/>
      <c r="W218" s="4"/>
      <c r="AB218" s="4"/>
      <c r="AG218" s="4"/>
      <c r="AL218" s="4"/>
      <c r="AQ218" s="4"/>
      <c r="AV218" s="4"/>
      <c r="BA218" s="4"/>
    </row>
    <row r="219" spans="8:53" s="1" customFormat="1" ht="53.45" customHeight="1">
      <c r="H219" s="4"/>
      <c r="M219" s="4"/>
      <c r="R219" s="4"/>
      <c r="W219" s="4"/>
      <c r="AB219" s="4"/>
      <c r="AG219" s="4"/>
      <c r="AL219" s="4"/>
      <c r="AQ219" s="4"/>
      <c r="AV219" s="4"/>
      <c r="BA219" s="4"/>
    </row>
    <row r="220" spans="8:53" s="1" customFormat="1" ht="53.45" customHeight="1">
      <c r="H220" s="4"/>
      <c r="M220" s="4"/>
      <c r="R220" s="4"/>
      <c r="W220" s="4"/>
      <c r="AB220" s="4"/>
      <c r="AG220" s="4"/>
      <c r="AL220" s="4"/>
      <c r="AQ220" s="4"/>
      <c r="AV220" s="4"/>
      <c r="BA220" s="4"/>
    </row>
    <row r="221" spans="8:53" s="1" customFormat="1" ht="53.45" customHeight="1">
      <c r="H221" s="4"/>
      <c r="M221" s="4"/>
      <c r="R221" s="4"/>
      <c r="W221" s="4"/>
      <c r="AB221" s="4"/>
      <c r="AG221" s="4"/>
      <c r="AL221" s="4"/>
      <c r="AQ221" s="4"/>
      <c r="AV221" s="4"/>
      <c r="BA221" s="4"/>
    </row>
    <row r="222" spans="8:53" s="1" customFormat="1" ht="53.45" customHeight="1">
      <c r="H222" s="4"/>
      <c r="M222" s="4"/>
      <c r="R222" s="4"/>
      <c r="W222" s="4"/>
      <c r="AB222" s="4"/>
      <c r="AG222" s="4"/>
      <c r="AL222" s="4"/>
      <c r="AQ222" s="4"/>
      <c r="AV222" s="4"/>
      <c r="BA222" s="4"/>
    </row>
    <row r="223" spans="8:53" s="1" customFormat="1" ht="53.45" customHeight="1">
      <c r="H223" s="4"/>
      <c r="M223" s="4"/>
      <c r="R223" s="4"/>
      <c r="W223" s="4"/>
      <c r="AB223" s="4"/>
      <c r="AG223" s="4"/>
      <c r="AL223" s="4"/>
      <c r="AQ223" s="4"/>
      <c r="AV223" s="4"/>
      <c r="BA223" s="4"/>
    </row>
    <row r="224" spans="8:53" s="1" customFormat="1" ht="53.45" customHeight="1">
      <c r="H224" s="4"/>
      <c r="M224" s="4"/>
      <c r="R224" s="4"/>
      <c r="W224" s="4"/>
      <c r="AB224" s="4"/>
      <c r="AG224" s="4"/>
      <c r="AL224" s="4"/>
      <c r="AQ224" s="4"/>
      <c r="AV224" s="4"/>
      <c r="BA224" s="4"/>
    </row>
    <row r="225" spans="8:53" s="1" customFormat="1" ht="53.45" customHeight="1">
      <c r="H225" s="4"/>
      <c r="M225" s="4"/>
      <c r="R225" s="4"/>
      <c r="W225" s="4"/>
      <c r="AB225" s="4"/>
      <c r="AG225" s="4"/>
      <c r="AL225" s="4"/>
      <c r="AQ225" s="4"/>
      <c r="AV225" s="4"/>
      <c r="BA225" s="4"/>
    </row>
    <row r="226" spans="8:53" s="1" customFormat="1" ht="53.45" customHeight="1">
      <c r="H226" s="4"/>
      <c r="M226" s="4"/>
      <c r="R226" s="4"/>
      <c r="W226" s="4"/>
      <c r="AB226" s="4"/>
      <c r="AG226" s="4"/>
      <c r="AL226" s="4"/>
      <c r="AQ226" s="4"/>
      <c r="AV226" s="4"/>
      <c r="BA226" s="4"/>
    </row>
    <row r="227" spans="8:53" s="1" customFormat="1" ht="53.45" customHeight="1">
      <c r="H227" s="4"/>
      <c r="M227" s="4"/>
      <c r="R227" s="4"/>
      <c r="W227" s="4"/>
      <c r="AB227" s="4"/>
      <c r="AG227" s="4"/>
      <c r="AL227" s="4"/>
      <c r="AQ227" s="4"/>
      <c r="AV227" s="4"/>
      <c r="BA227" s="4"/>
    </row>
    <row r="228" spans="8:53" s="1" customFormat="1" ht="53.45" customHeight="1">
      <c r="H228" s="4"/>
      <c r="M228" s="4"/>
      <c r="R228" s="4"/>
      <c r="W228" s="4"/>
      <c r="AB228" s="4"/>
      <c r="AG228" s="4"/>
      <c r="AL228" s="4"/>
      <c r="AQ228" s="4"/>
      <c r="AV228" s="4"/>
      <c r="BA228" s="4"/>
    </row>
    <row r="229" spans="8:53" s="1" customFormat="1" ht="53.45" customHeight="1">
      <c r="H229" s="4"/>
      <c r="M229" s="4"/>
      <c r="R229" s="4"/>
      <c r="W229" s="4"/>
      <c r="AB229" s="4"/>
      <c r="AG229" s="4"/>
      <c r="AL229" s="4"/>
      <c r="AQ229" s="4"/>
      <c r="AV229" s="4"/>
      <c r="BA229" s="4"/>
    </row>
    <row r="230" spans="8:53" s="1" customFormat="1" ht="53.45" customHeight="1">
      <c r="H230" s="4"/>
      <c r="M230" s="4"/>
      <c r="R230" s="4"/>
      <c r="W230" s="4"/>
      <c r="AB230" s="4"/>
      <c r="AG230" s="4"/>
      <c r="AL230" s="4"/>
      <c r="AQ230" s="4"/>
      <c r="AV230" s="4"/>
      <c r="BA230" s="4"/>
    </row>
    <row r="231" spans="8:53" s="1" customFormat="1" ht="53.45" customHeight="1">
      <c r="H231" s="4"/>
      <c r="M231" s="4"/>
      <c r="R231" s="4"/>
      <c r="W231" s="4"/>
      <c r="AB231" s="4"/>
      <c r="AG231" s="4"/>
      <c r="AL231" s="4"/>
      <c r="AQ231" s="4"/>
      <c r="AV231" s="4"/>
      <c r="BA231" s="4"/>
    </row>
    <row r="232" spans="8:53" s="1" customFormat="1" ht="53.45" customHeight="1">
      <c r="H232" s="4"/>
      <c r="M232" s="4"/>
      <c r="R232" s="4"/>
      <c r="W232" s="4"/>
      <c r="AB232" s="4"/>
      <c r="AG232" s="4"/>
      <c r="AL232" s="4"/>
      <c r="AQ232" s="4"/>
      <c r="AV232" s="4"/>
      <c r="BA232" s="4"/>
    </row>
    <row r="233" spans="8:53" s="1" customFormat="1" ht="53.45" customHeight="1">
      <c r="H233" s="4"/>
      <c r="M233" s="4"/>
      <c r="R233" s="4"/>
      <c r="W233" s="4"/>
      <c r="AB233" s="4"/>
      <c r="AG233" s="4"/>
      <c r="AL233" s="4"/>
      <c r="AQ233" s="4"/>
      <c r="AV233" s="4"/>
      <c r="BA233" s="4"/>
    </row>
    <row r="234" spans="8:53" s="1" customFormat="1" ht="53.45" customHeight="1">
      <c r="H234" s="4"/>
      <c r="M234" s="4"/>
      <c r="R234" s="4"/>
      <c r="W234" s="4"/>
      <c r="AB234" s="4"/>
      <c r="AG234" s="4"/>
      <c r="AL234" s="4"/>
      <c r="AQ234" s="4"/>
      <c r="AV234" s="4"/>
      <c r="BA234" s="4"/>
    </row>
    <row r="235" spans="8:53" s="1" customFormat="1" ht="53.45" customHeight="1">
      <c r="H235" s="4"/>
      <c r="M235" s="4"/>
      <c r="R235" s="4"/>
      <c r="W235" s="4"/>
      <c r="AB235" s="4"/>
      <c r="AG235" s="4"/>
      <c r="AL235" s="4"/>
      <c r="AQ235" s="4"/>
      <c r="AV235" s="4"/>
      <c r="BA235" s="4"/>
    </row>
    <row r="236" spans="8:53" s="1" customFormat="1" ht="53.45" customHeight="1">
      <c r="H236" s="4"/>
      <c r="M236" s="4"/>
      <c r="R236" s="4"/>
      <c r="W236" s="4"/>
      <c r="AB236" s="4"/>
      <c r="AG236" s="4"/>
      <c r="AL236" s="4"/>
      <c r="AQ236" s="4"/>
      <c r="AV236" s="4"/>
      <c r="BA236" s="4"/>
    </row>
    <row r="237" spans="8:53" s="1" customFormat="1" ht="53.45" customHeight="1">
      <c r="H237" s="4"/>
      <c r="M237" s="4"/>
      <c r="R237" s="4"/>
      <c r="W237" s="4"/>
      <c r="AB237" s="4"/>
      <c r="AG237" s="4"/>
      <c r="AL237" s="4"/>
      <c r="AQ237" s="4"/>
      <c r="AV237" s="4"/>
      <c r="BA237" s="4"/>
    </row>
    <row r="238" spans="8:53" s="1" customFormat="1" ht="53.45" customHeight="1">
      <c r="H238" s="4"/>
      <c r="M238" s="4"/>
      <c r="R238" s="4"/>
      <c r="W238" s="4"/>
      <c r="AB238" s="4"/>
      <c r="AG238" s="4"/>
      <c r="AL238" s="4"/>
      <c r="AQ238" s="4"/>
      <c r="AV238" s="4"/>
      <c r="BA238" s="4"/>
    </row>
    <row r="239" spans="8:53" s="1" customFormat="1" ht="53.45" customHeight="1">
      <c r="H239" s="4"/>
      <c r="M239" s="4"/>
      <c r="R239" s="4"/>
      <c r="W239" s="4"/>
      <c r="AB239" s="4"/>
      <c r="AG239" s="4"/>
      <c r="AL239" s="4"/>
      <c r="AQ239" s="4"/>
      <c r="AV239" s="4"/>
      <c r="BA239" s="4"/>
    </row>
    <row r="240" spans="8:53" s="1" customFormat="1" ht="53.45" customHeight="1">
      <c r="H240" s="4"/>
      <c r="M240" s="4"/>
      <c r="R240" s="4"/>
      <c r="W240" s="4"/>
      <c r="AB240" s="4"/>
      <c r="AG240" s="4"/>
      <c r="AL240" s="4"/>
      <c r="AQ240" s="4"/>
      <c r="AV240" s="4"/>
      <c r="BA240" s="4"/>
    </row>
    <row r="241" spans="8:53" s="1" customFormat="1" ht="53.45" customHeight="1">
      <c r="H241" s="4"/>
      <c r="M241" s="4"/>
      <c r="R241" s="4"/>
      <c r="W241" s="4"/>
      <c r="AB241" s="4"/>
      <c r="AG241" s="4"/>
      <c r="AL241" s="4"/>
      <c r="AQ241" s="4"/>
      <c r="AV241" s="4"/>
      <c r="BA241" s="4"/>
    </row>
    <row r="242" spans="8:53" s="1" customFormat="1" ht="53.45" customHeight="1">
      <c r="H242" s="4"/>
      <c r="M242" s="4"/>
      <c r="R242" s="4"/>
      <c r="W242" s="4"/>
      <c r="AB242" s="4"/>
      <c r="AG242" s="4"/>
      <c r="AL242" s="4"/>
      <c r="AQ242" s="4"/>
      <c r="AV242" s="4"/>
      <c r="BA242" s="4"/>
    </row>
    <row r="243" spans="8:53" s="1" customFormat="1" ht="53.45" customHeight="1">
      <c r="H243" s="4"/>
      <c r="M243" s="4"/>
      <c r="R243" s="4"/>
      <c r="W243" s="4"/>
      <c r="AB243" s="4"/>
      <c r="AG243" s="4"/>
      <c r="AL243" s="4"/>
      <c r="AQ243" s="4"/>
      <c r="AV243" s="4"/>
      <c r="BA243" s="4"/>
    </row>
    <row r="244" spans="8:53" s="1" customFormat="1" ht="53.45" customHeight="1">
      <c r="H244" s="4"/>
      <c r="M244" s="4"/>
      <c r="R244" s="4"/>
      <c r="W244" s="4"/>
      <c r="AB244" s="4"/>
      <c r="AG244" s="4"/>
      <c r="AL244" s="4"/>
      <c r="AQ244" s="4"/>
      <c r="AV244" s="4"/>
      <c r="BA244" s="4"/>
    </row>
    <row r="245" spans="8:53" s="1" customFormat="1" ht="53.45" customHeight="1">
      <c r="H245" s="4"/>
      <c r="M245" s="4"/>
      <c r="R245" s="4"/>
      <c r="W245" s="4"/>
      <c r="AB245" s="4"/>
      <c r="AG245" s="4"/>
      <c r="AL245" s="4"/>
      <c r="AQ245" s="4"/>
      <c r="AV245" s="4"/>
      <c r="BA245" s="4"/>
    </row>
    <row r="246" spans="8:53" s="1" customFormat="1" ht="53.45" customHeight="1">
      <c r="H246" s="4"/>
      <c r="M246" s="4"/>
      <c r="R246" s="4"/>
      <c r="W246" s="4"/>
      <c r="AB246" s="4"/>
      <c r="AG246" s="4"/>
      <c r="AL246" s="4"/>
      <c r="AQ246" s="4"/>
      <c r="AV246" s="4"/>
      <c r="BA246" s="4"/>
    </row>
    <row r="247" spans="8:53" s="1" customFormat="1" ht="53.45" customHeight="1">
      <c r="H247" s="4"/>
      <c r="M247" s="4"/>
      <c r="R247" s="4"/>
      <c r="W247" s="4"/>
      <c r="AB247" s="4"/>
      <c r="AG247" s="4"/>
      <c r="AL247" s="4"/>
      <c r="AQ247" s="4"/>
      <c r="AV247" s="4"/>
      <c r="BA247" s="4"/>
    </row>
    <row r="248" spans="8:53" s="1" customFormat="1" ht="53.45" customHeight="1">
      <c r="H248" s="4"/>
      <c r="M248" s="4"/>
      <c r="R248" s="4"/>
      <c r="W248" s="4"/>
      <c r="AB248" s="4"/>
      <c r="AG248" s="4"/>
      <c r="AL248" s="4"/>
      <c r="AQ248" s="4"/>
      <c r="AV248" s="4"/>
      <c r="BA248" s="4"/>
    </row>
    <row r="249" spans="8:53" s="1" customFormat="1" ht="53.45" customHeight="1">
      <c r="H249" s="4"/>
      <c r="M249" s="4"/>
      <c r="R249" s="4"/>
      <c r="W249" s="4"/>
      <c r="AB249" s="4"/>
      <c r="AG249" s="4"/>
      <c r="AL249" s="4"/>
      <c r="AQ249" s="4"/>
      <c r="AV249" s="4"/>
      <c r="BA249" s="4"/>
    </row>
    <row r="250" spans="8:53" s="1" customFormat="1" ht="53.45" customHeight="1">
      <c r="H250" s="4"/>
      <c r="M250" s="4"/>
      <c r="R250" s="4"/>
      <c r="W250" s="4"/>
      <c r="AB250" s="4"/>
      <c r="AG250" s="4"/>
      <c r="AL250" s="4"/>
      <c r="AQ250" s="4"/>
      <c r="AV250" s="4"/>
      <c r="BA250" s="4"/>
    </row>
    <row r="251" spans="8:53" s="1" customFormat="1" ht="53.45" customHeight="1">
      <c r="H251" s="4"/>
      <c r="M251" s="4"/>
      <c r="R251" s="4"/>
      <c r="W251" s="4"/>
      <c r="AB251" s="4"/>
      <c r="AG251" s="4"/>
      <c r="AL251" s="4"/>
      <c r="AQ251" s="4"/>
      <c r="AV251" s="4"/>
      <c r="BA251" s="4"/>
    </row>
    <row r="252" spans="8:53" s="1" customFormat="1" ht="53.45" customHeight="1">
      <c r="H252" s="4"/>
      <c r="M252" s="4"/>
      <c r="R252" s="4"/>
      <c r="W252" s="4"/>
      <c r="AB252" s="4"/>
      <c r="AG252" s="4"/>
      <c r="AL252" s="4"/>
      <c r="AQ252" s="4"/>
      <c r="AV252" s="4"/>
      <c r="BA252" s="4"/>
    </row>
    <row r="253" spans="8:53" s="1" customFormat="1" ht="53.45" customHeight="1">
      <c r="H253" s="4"/>
      <c r="M253" s="4"/>
      <c r="R253" s="4"/>
      <c r="W253" s="4"/>
      <c r="AB253" s="4"/>
      <c r="AG253" s="4"/>
      <c r="AL253" s="4"/>
      <c r="AQ253" s="4"/>
      <c r="AV253" s="4"/>
      <c r="BA253" s="4"/>
    </row>
    <row r="254" spans="8:53" s="1" customFormat="1" ht="53.45" customHeight="1">
      <c r="H254" s="4"/>
      <c r="M254" s="4"/>
      <c r="R254" s="4"/>
      <c r="W254" s="4"/>
      <c r="AB254" s="4"/>
      <c r="AG254" s="4"/>
      <c r="AL254" s="4"/>
      <c r="AQ254" s="4"/>
      <c r="AV254" s="4"/>
      <c r="BA254" s="4"/>
    </row>
    <row r="255" spans="8:53" s="1" customFormat="1" ht="53.45" customHeight="1">
      <c r="H255" s="4"/>
      <c r="M255" s="4"/>
      <c r="R255" s="4"/>
      <c r="W255" s="4"/>
      <c r="AB255" s="4"/>
      <c r="AG255" s="4"/>
      <c r="AL255" s="4"/>
      <c r="AQ255" s="4"/>
      <c r="AV255" s="4"/>
      <c r="BA255" s="4"/>
    </row>
    <row r="256" spans="8:53" s="1" customFormat="1" ht="53.45" customHeight="1">
      <c r="H256" s="4"/>
      <c r="M256" s="4"/>
      <c r="R256" s="4"/>
      <c r="W256" s="4"/>
      <c r="AB256" s="4"/>
      <c r="AG256" s="4"/>
      <c r="AL256" s="4"/>
      <c r="AQ256" s="4"/>
      <c r="AV256" s="4"/>
      <c r="BA256" s="4"/>
    </row>
    <row r="257" spans="8:53" s="1" customFormat="1" ht="53.45" customHeight="1">
      <c r="H257" s="4"/>
      <c r="M257" s="4"/>
      <c r="R257" s="4"/>
      <c r="W257" s="4"/>
      <c r="AB257" s="4"/>
      <c r="AG257" s="4"/>
      <c r="AL257" s="4"/>
      <c r="AQ257" s="4"/>
      <c r="AV257" s="4"/>
      <c r="BA257" s="4"/>
    </row>
    <row r="258" spans="8:53" s="1" customFormat="1" ht="53.45" customHeight="1">
      <c r="H258" s="4"/>
      <c r="M258" s="4"/>
      <c r="R258" s="4"/>
      <c r="W258" s="4"/>
      <c r="AB258" s="4"/>
      <c r="AG258" s="4"/>
      <c r="AL258" s="4"/>
      <c r="AQ258" s="4"/>
      <c r="AV258" s="4"/>
      <c r="BA258" s="4"/>
    </row>
    <row r="259" spans="8:53" s="1" customFormat="1" ht="53.45" customHeight="1">
      <c r="H259" s="4"/>
      <c r="M259" s="4"/>
      <c r="R259" s="4"/>
      <c r="W259" s="4"/>
      <c r="AB259" s="4"/>
      <c r="AG259" s="4"/>
      <c r="AL259" s="4"/>
      <c r="AQ259" s="4"/>
      <c r="AV259" s="4"/>
      <c r="BA259" s="4"/>
    </row>
    <row r="260" spans="8:53" s="1" customFormat="1" ht="53.45" customHeight="1">
      <c r="H260" s="4"/>
      <c r="M260" s="4"/>
      <c r="R260" s="4"/>
      <c r="W260" s="4"/>
      <c r="AB260" s="4"/>
      <c r="AG260" s="4"/>
      <c r="AL260" s="4"/>
      <c r="AQ260" s="4"/>
      <c r="AV260" s="4"/>
      <c r="BA260" s="4"/>
    </row>
    <row r="261" spans="8:53" s="1" customFormat="1" ht="53.45" customHeight="1">
      <c r="H261" s="4"/>
      <c r="M261" s="4"/>
      <c r="R261" s="4"/>
      <c r="W261" s="4"/>
      <c r="AB261" s="4"/>
      <c r="AG261" s="4"/>
      <c r="AL261" s="4"/>
      <c r="AQ261" s="4"/>
      <c r="AV261" s="4"/>
      <c r="BA261" s="4"/>
    </row>
    <row r="262" spans="8:53" s="1" customFormat="1" ht="53.45" customHeight="1">
      <c r="H262" s="4"/>
      <c r="M262" s="4"/>
      <c r="R262" s="4"/>
      <c r="W262" s="4"/>
      <c r="AB262" s="4"/>
      <c r="AG262" s="4"/>
      <c r="AL262" s="4"/>
      <c r="AQ262" s="4"/>
      <c r="AV262" s="4"/>
      <c r="BA262" s="4"/>
    </row>
    <row r="263" spans="8:53" s="1" customFormat="1" ht="53.45" customHeight="1">
      <c r="H263" s="4"/>
      <c r="M263" s="4"/>
      <c r="R263" s="4"/>
      <c r="W263" s="4"/>
      <c r="AB263" s="4"/>
      <c r="AG263" s="4"/>
      <c r="AL263" s="4"/>
      <c r="AQ263" s="4"/>
      <c r="AV263" s="4"/>
      <c r="BA263" s="4"/>
    </row>
    <row r="264" spans="8:53" s="1" customFormat="1" ht="53.45" customHeight="1">
      <c r="H264" s="4"/>
      <c r="M264" s="4"/>
      <c r="R264" s="4"/>
      <c r="W264" s="4"/>
      <c r="AB264" s="4"/>
      <c r="AG264" s="4"/>
      <c r="AL264" s="4"/>
      <c r="AQ264" s="4"/>
      <c r="AV264" s="4"/>
      <c r="BA264" s="4"/>
    </row>
    <row r="265" spans="8:53" s="1" customFormat="1" ht="53.45" customHeight="1">
      <c r="H265" s="4"/>
      <c r="M265" s="4"/>
      <c r="R265" s="4"/>
      <c r="W265" s="4"/>
      <c r="AB265" s="4"/>
      <c r="AG265" s="4"/>
      <c r="AL265" s="4"/>
      <c r="AQ265" s="4"/>
      <c r="AV265" s="4"/>
      <c r="BA265" s="4"/>
    </row>
    <row r="266" spans="8:53" s="1" customFormat="1" ht="53.45" customHeight="1">
      <c r="H266" s="4"/>
      <c r="M266" s="4"/>
      <c r="R266" s="4"/>
      <c r="W266" s="4"/>
      <c r="AB266" s="4"/>
      <c r="AG266" s="4"/>
      <c r="AL266" s="4"/>
      <c r="AQ266" s="4"/>
      <c r="AV266" s="4"/>
      <c r="BA266" s="4"/>
    </row>
    <row r="267" spans="8:53" s="1" customFormat="1" ht="53.45" customHeight="1">
      <c r="H267" s="4"/>
      <c r="M267" s="4"/>
      <c r="R267" s="4"/>
      <c r="W267" s="4"/>
      <c r="AB267" s="4"/>
      <c r="AG267" s="4"/>
      <c r="AL267" s="4"/>
      <c r="AQ267" s="4"/>
      <c r="AV267" s="4"/>
      <c r="BA267" s="4"/>
    </row>
    <row r="268" spans="8:53" s="1" customFormat="1" ht="53.45" customHeight="1">
      <c r="H268" s="4"/>
      <c r="M268" s="4"/>
      <c r="R268" s="4"/>
      <c r="W268" s="4"/>
      <c r="AB268" s="4"/>
      <c r="AG268" s="4"/>
      <c r="AL268" s="4"/>
      <c r="AQ268" s="4"/>
      <c r="AV268" s="4"/>
      <c r="BA268" s="4"/>
    </row>
    <row r="269" spans="8:53" s="1" customFormat="1" ht="53.45" customHeight="1">
      <c r="H269" s="4"/>
      <c r="M269" s="4"/>
      <c r="R269" s="4"/>
      <c r="W269" s="4"/>
      <c r="AB269" s="4"/>
      <c r="AG269" s="4"/>
      <c r="AL269" s="4"/>
      <c r="AQ269" s="4"/>
      <c r="AV269" s="4"/>
      <c r="BA269" s="4"/>
    </row>
    <row r="270" spans="8:53" s="1" customFormat="1" ht="53.45" customHeight="1">
      <c r="H270" s="4"/>
      <c r="M270" s="4"/>
      <c r="R270" s="4"/>
      <c r="W270" s="4"/>
      <c r="AB270" s="4"/>
      <c r="AG270" s="4"/>
      <c r="AL270" s="4"/>
      <c r="AQ270" s="4"/>
      <c r="AV270" s="4"/>
      <c r="BA270" s="4"/>
    </row>
    <row r="271" spans="8:53" s="1" customFormat="1" ht="53.45" customHeight="1">
      <c r="H271" s="4"/>
      <c r="M271" s="4"/>
      <c r="R271" s="4"/>
      <c r="W271" s="4"/>
      <c r="AB271" s="4"/>
      <c r="AG271" s="4"/>
      <c r="AL271" s="4"/>
      <c r="AQ271" s="4"/>
      <c r="AV271" s="4"/>
      <c r="BA271" s="4"/>
    </row>
    <row r="272" spans="8:53" s="1" customFormat="1" ht="53.45" customHeight="1">
      <c r="H272" s="4"/>
      <c r="M272" s="4"/>
      <c r="R272" s="4"/>
      <c r="W272" s="4"/>
      <c r="AB272" s="4"/>
      <c r="AG272" s="4"/>
      <c r="AL272" s="4"/>
      <c r="AQ272" s="4"/>
      <c r="AV272" s="4"/>
      <c r="BA272" s="4"/>
    </row>
    <row r="273" spans="8:53" s="1" customFormat="1" ht="53.45" customHeight="1">
      <c r="H273" s="4"/>
      <c r="M273" s="4"/>
      <c r="R273" s="4"/>
      <c r="W273" s="4"/>
      <c r="AB273" s="4"/>
      <c r="AG273" s="4"/>
      <c r="AL273" s="4"/>
      <c r="AQ273" s="4"/>
      <c r="AV273" s="4"/>
      <c r="BA273" s="4"/>
    </row>
    <row r="274" spans="8:53" s="1" customFormat="1" ht="53.45" customHeight="1">
      <c r="H274" s="4"/>
      <c r="M274" s="4"/>
      <c r="R274" s="4"/>
      <c r="W274" s="4"/>
      <c r="AB274" s="4"/>
      <c r="AG274" s="4"/>
      <c r="AL274" s="4"/>
      <c r="AQ274" s="4"/>
      <c r="AV274" s="4"/>
      <c r="BA274" s="4"/>
    </row>
    <row r="275" spans="8:53" s="1" customFormat="1" ht="53.45" customHeight="1">
      <c r="H275" s="4"/>
      <c r="M275" s="4"/>
      <c r="R275" s="4"/>
      <c r="W275" s="4"/>
      <c r="AB275" s="4"/>
      <c r="AG275" s="4"/>
      <c r="AL275" s="4"/>
      <c r="AQ275" s="4"/>
      <c r="AV275" s="4"/>
      <c r="BA275" s="4"/>
    </row>
    <row r="276" spans="8:53" s="1" customFormat="1" ht="53.45" customHeight="1">
      <c r="H276" s="4"/>
      <c r="M276" s="4"/>
      <c r="R276" s="4"/>
      <c r="W276" s="4"/>
      <c r="AB276" s="4"/>
      <c r="AG276" s="4"/>
      <c r="AL276" s="4"/>
      <c r="AQ276" s="4"/>
      <c r="AV276" s="4"/>
      <c r="BA276" s="4"/>
    </row>
    <row r="277" spans="8:53" s="1" customFormat="1" ht="53.45" customHeight="1">
      <c r="H277" s="4"/>
      <c r="M277" s="4"/>
      <c r="R277" s="4"/>
      <c r="W277" s="4"/>
      <c r="AB277" s="4"/>
      <c r="AG277" s="4"/>
      <c r="AL277" s="4"/>
      <c r="AQ277" s="4"/>
      <c r="AV277" s="4"/>
      <c r="BA277" s="4"/>
    </row>
    <row r="278" spans="8:53" s="1" customFormat="1" ht="53.45" customHeight="1">
      <c r="H278" s="4"/>
      <c r="M278" s="4"/>
      <c r="R278" s="4"/>
      <c r="W278" s="4"/>
      <c r="AB278" s="4"/>
      <c r="AG278" s="4"/>
      <c r="AL278" s="4"/>
      <c r="AQ278" s="4"/>
      <c r="AV278" s="4"/>
      <c r="BA278" s="4"/>
    </row>
    <row r="279" spans="8:53" s="1" customFormat="1" ht="53.45" customHeight="1">
      <c r="H279" s="4"/>
      <c r="M279" s="4"/>
      <c r="R279" s="4"/>
      <c r="W279" s="4"/>
      <c r="AB279" s="4"/>
      <c r="AG279" s="4"/>
      <c r="AL279" s="4"/>
      <c r="AQ279" s="4"/>
      <c r="AV279" s="4"/>
      <c r="BA279" s="4"/>
    </row>
    <row r="280" spans="8:53" s="1" customFormat="1" ht="53.45" customHeight="1">
      <c r="H280" s="4"/>
      <c r="M280" s="4"/>
      <c r="R280" s="4"/>
      <c r="W280" s="4"/>
      <c r="AB280" s="4"/>
      <c r="AG280" s="4"/>
      <c r="AL280" s="4"/>
      <c r="AQ280" s="4"/>
      <c r="AV280" s="4"/>
      <c r="BA280" s="4"/>
    </row>
    <row r="281" spans="8:53" s="1" customFormat="1" ht="53.45" customHeight="1">
      <c r="H281" s="4"/>
      <c r="M281" s="4"/>
      <c r="R281" s="4"/>
      <c r="W281" s="4"/>
      <c r="AB281" s="4"/>
      <c r="AG281" s="4"/>
      <c r="AL281" s="4"/>
      <c r="AQ281" s="4"/>
      <c r="AV281" s="4"/>
      <c r="BA281" s="4"/>
    </row>
    <row r="282" spans="8:53" s="1" customFormat="1" ht="53.45" customHeight="1">
      <c r="H282" s="4"/>
      <c r="M282" s="4"/>
      <c r="R282" s="4"/>
      <c r="W282" s="4"/>
      <c r="AB282" s="4"/>
      <c r="AG282" s="4"/>
      <c r="AL282" s="4"/>
      <c r="AQ282" s="4"/>
      <c r="AV282" s="4"/>
      <c r="BA282" s="4"/>
    </row>
    <row r="283" spans="8:53" s="1" customFormat="1" ht="53.45" customHeight="1">
      <c r="H283" s="4"/>
      <c r="M283" s="4"/>
      <c r="R283" s="4"/>
      <c r="W283" s="4"/>
      <c r="AB283" s="4"/>
      <c r="AG283" s="4"/>
      <c r="AL283" s="4"/>
      <c r="AQ283" s="4"/>
      <c r="AV283" s="4"/>
      <c r="BA283" s="4"/>
    </row>
    <row r="284" spans="8:53" s="1" customFormat="1" ht="53.45" customHeight="1">
      <c r="H284" s="4"/>
      <c r="M284" s="4"/>
      <c r="R284" s="4"/>
      <c r="W284" s="4"/>
      <c r="AB284" s="4"/>
      <c r="AG284" s="4"/>
      <c r="AL284" s="4"/>
      <c r="AQ284" s="4"/>
      <c r="AV284" s="4"/>
      <c r="BA284" s="4"/>
    </row>
    <row r="285" spans="8:53" s="1" customFormat="1" ht="53.45" customHeight="1">
      <c r="H285" s="4"/>
      <c r="M285" s="4"/>
      <c r="R285" s="4"/>
      <c r="W285" s="4"/>
      <c r="AB285" s="4"/>
      <c r="AG285" s="4"/>
      <c r="AL285" s="4"/>
      <c r="AQ285" s="4"/>
      <c r="AV285" s="4"/>
      <c r="BA285" s="4"/>
    </row>
    <row r="286" spans="8:53" s="1" customFormat="1" ht="53.45" customHeight="1">
      <c r="H286" s="4"/>
      <c r="M286" s="4"/>
      <c r="R286" s="4"/>
      <c r="W286" s="4"/>
      <c r="AB286" s="4"/>
      <c r="AG286" s="4"/>
      <c r="AL286" s="4"/>
      <c r="AQ286" s="4"/>
      <c r="AV286" s="4"/>
      <c r="BA286" s="4"/>
    </row>
    <row r="287" spans="8:53" s="1" customFormat="1" ht="53.45" customHeight="1">
      <c r="H287" s="4"/>
      <c r="M287" s="4"/>
      <c r="R287" s="4"/>
      <c r="W287" s="4"/>
      <c r="AB287" s="4"/>
      <c r="AG287" s="4"/>
      <c r="AL287" s="4"/>
      <c r="AQ287" s="4"/>
      <c r="AV287" s="4"/>
      <c r="BA287" s="4"/>
    </row>
    <row r="288" spans="8:53" s="1" customFormat="1" ht="53.45" customHeight="1">
      <c r="H288" s="4"/>
      <c r="M288" s="4"/>
      <c r="R288" s="4"/>
      <c r="W288" s="4"/>
      <c r="AB288" s="4"/>
      <c r="AG288" s="4"/>
      <c r="AL288" s="4"/>
      <c r="AQ288" s="4"/>
      <c r="AV288" s="4"/>
      <c r="BA288" s="4"/>
    </row>
    <row r="289" spans="8:53" s="1" customFormat="1" ht="53.45" customHeight="1">
      <c r="H289" s="4"/>
      <c r="M289" s="4"/>
      <c r="R289" s="4"/>
      <c r="W289" s="4"/>
      <c r="AB289" s="4"/>
      <c r="AG289" s="4"/>
      <c r="AL289" s="4"/>
      <c r="AQ289" s="4"/>
      <c r="AV289" s="4"/>
      <c r="BA289" s="4"/>
    </row>
    <row r="290" spans="8:53" s="1" customFormat="1" ht="53.45" customHeight="1">
      <c r="H290" s="4"/>
      <c r="M290" s="4"/>
      <c r="R290" s="4"/>
      <c r="W290" s="4"/>
      <c r="AB290" s="4"/>
      <c r="AG290" s="4"/>
      <c r="AL290" s="4"/>
      <c r="AQ290" s="4"/>
      <c r="AV290" s="4"/>
      <c r="BA290" s="4"/>
    </row>
    <row r="291" spans="8:53" s="1" customFormat="1" ht="53.45" customHeight="1">
      <c r="H291" s="4"/>
      <c r="M291" s="4"/>
      <c r="R291" s="4"/>
      <c r="W291" s="4"/>
      <c r="AB291" s="4"/>
      <c r="AG291" s="4"/>
      <c r="AL291" s="4"/>
      <c r="AQ291" s="4"/>
      <c r="AV291" s="4"/>
      <c r="BA291" s="4"/>
    </row>
    <row r="292" spans="8:53" s="1" customFormat="1" ht="53.45" customHeight="1">
      <c r="H292" s="4"/>
      <c r="M292" s="4"/>
      <c r="R292" s="4"/>
      <c r="W292" s="4"/>
      <c r="AB292" s="4"/>
      <c r="AG292" s="4"/>
      <c r="AL292" s="4"/>
      <c r="AQ292" s="4"/>
      <c r="AV292" s="4"/>
      <c r="BA292" s="4"/>
    </row>
    <row r="293" spans="8:53" s="1" customFormat="1" ht="53.45" customHeight="1">
      <c r="H293" s="4"/>
      <c r="M293" s="4"/>
      <c r="R293" s="4"/>
      <c r="W293" s="4"/>
      <c r="AB293" s="4"/>
      <c r="AG293" s="4"/>
      <c r="AL293" s="4"/>
      <c r="AQ293" s="4"/>
      <c r="AV293" s="4"/>
      <c r="BA293" s="4"/>
    </row>
    <row r="294" spans="8:53" s="1" customFormat="1" ht="53.45" customHeight="1">
      <c r="H294" s="4"/>
      <c r="M294" s="4"/>
      <c r="R294" s="4"/>
      <c r="W294" s="4"/>
      <c r="AB294" s="4"/>
      <c r="AG294" s="4"/>
      <c r="AL294" s="4"/>
      <c r="AQ294" s="4"/>
      <c r="AV294" s="4"/>
      <c r="BA294" s="4"/>
    </row>
    <row r="295" spans="8:53" s="1" customFormat="1" ht="53.45" customHeight="1">
      <c r="H295" s="4"/>
      <c r="M295" s="4"/>
      <c r="R295" s="4"/>
      <c r="W295" s="4"/>
      <c r="AB295" s="4"/>
      <c r="AG295" s="4"/>
      <c r="AL295" s="4"/>
      <c r="AQ295" s="4"/>
      <c r="AV295" s="4"/>
      <c r="BA295" s="4"/>
    </row>
    <row r="296" spans="8:53" s="1" customFormat="1" ht="53.45" customHeight="1">
      <c r="H296" s="4"/>
      <c r="M296" s="4"/>
      <c r="R296" s="4"/>
      <c r="W296" s="4"/>
      <c r="AB296" s="4"/>
      <c r="AG296" s="4"/>
      <c r="AL296" s="4"/>
      <c r="AQ296" s="4"/>
      <c r="AV296" s="4"/>
      <c r="BA296" s="4"/>
    </row>
    <row r="297" spans="8:53" s="1" customFormat="1" ht="53.45" customHeight="1">
      <c r="H297" s="4"/>
      <c r="M297" s="4"/>
      <c r="R297" s="4"/>
      <c r="W297" s="4"/>
      <c r="AB297" s="4"/>
      <c r="AG297" s="4"/>
      <c r="AL297" s="4"/>
      <c r="AQ297" s="4"/>
      <c r="AV297" s="4"/>
      <c r="BA297" s="4"/>
    </row>
    <row r="298" spans="8:53" s="1" customFormat="1" ht="53.45" customHeight="1">
      <c r="H298" s="4"/>
      <c r="M298" s="4"/>
      <c r="R298" s="4"/>
      <c r="W298" s="4"/>
      <c r="AB298" s="4"/>
      <c r="AG298" s="4"/>
      <c r="AL298" s="4"/>
      <c r="AQ298" s="4"/>
      <c r="AV298" s="4"/>
      <c r="BA298" s="4"/>
    </row>
    <row r="299" spans="8:53" s="1" customFormat="1" ht="53.45" customHeight="1">
      <c r="H299" s="4"/>
      <c r="M299" s="4"/>
      <c r="R299" s="4"/>
      <c r="W299" s="4"/>
      <c r="AB299" s="4"/>
      <c r="AG299" s="4"/>
      <c r="AL299" s="4"/>
      <c r="AQ299" s="4"/>
      <c r="AV299" s="4"/>
      <c r="BA299" s="4"/>
    </row>
    <row r="300" spans="8:53" s="1" customFormat="1" ht="53.45" customHeight="1">
      <c r="H300" s="4"/>
      <c r="M300" s="4"/>
      <c r="R300" s="4"/>
      <c r="W300" s="4"/>
      <c r="AB300" s="4"/>
      <c r="AG300" s="4"/>
      <c r="AL300" s="4"/>
      <c r="AQ300" s="4"/>
      <c r="AV300" s="4"/>
      <c r="BA300" s="4"/>
    </row>
    <row r="301" spans="8:53" s="1" customFormat="1" ht="53.45" customHeight="1">
      <c r="H301" s="4"/>
      <c r="M301" s="4"/>
      <c r="R301" s="4"/>
      <c r="W301" s="4"/>
      <c r="AB301" s="4"/>
      <c r="AG301" s="4"/>
      <c r="AL301" s="4"/>
      <c r="AQ301" s="4"/>
      <c r="AV301" s="4"/>
      <c r="BA301" s="4"/>
    </row>
    <row r="302" spans="8:53" s="1" customFormat="1" ht="53.45" customHeight="1">
      <c r="H302" s="4"/>
      <c r="M302" s="4"/>
      <c r="R302" s="4"/>
      <c r="W302" s="4"/>
      <c r="AB302" s="4"/>
      <c r="AG302" s="4"/>
      <c r="AL302" s="4"/>
      <c r="AQ302" s="4"/>
      <c r="AV302" s="4"/>
      <c r="BA302" s="4"/>
    </row>
    <row r="303" spans="8:53" s="1" customFormat="1" ht="53.45" customHeight="1">
      <c r="H303" s="4"/>
      <c r="M303" s="4"/>
      <c r="R303" s="4"/>
      <c r="W303" s="4"/>
      <c r="AB303" s="4"/>
      <c r="AG303" s="4"/>
      <c r="AL303" s="4"/>
      <c r="AQ303" s="4"/>
      <c r="AV303" s="4"/>
      <c r="BA303" s="4"/>
    </row>
    <row r="304" spans="8:53" s="1" customFormat="1" ht="53.45" customHeight="1">
      <c r="H304" s="4"/>
      <c r="M304" s="4"/>
      <c r="R304" s="4"/>
      <c r="W304" s="4"/>
      <c r="AB304" s="4"/>
      <c r="AG304" s="4"/>
      <c r="AL304" s="4"/>
      <c r="AQ304" s="4"/>
      <c r="AV304" s="4"/>
      <c r="BA304" s="4"/>
    </row>
    <row r="305" spans="8:53" s="1" customFormat="1" ht="53.45" customHeight="1">
      <c r="H305" s="4"/>
      <c r="M305" s="4"/>
      <c r="R305" s="4"/>
      <c r="W305" s="4"/>
      <c r="AB305" s="4"/>
      <c r="AG305" s="4"/>
      <c r="AL305" s="4"/>
      <c r="AQ305" s="4"/>
      <c r="AV305" s="4"/>
      <c r="BA305" s="4"/>
    </row>
    <row r="306" spans="8:53" s="1" customFormat="1" ht="53.45" customHeight="1">
      <c r="H306" s="4"/>
      <c r="M306" s="4"/>
      <c r="R306" s="4"/>
      <c r="W306" s="4"/>
      <c r="AB306" s="4"/>
      <c r="AG306" s="4"/>
      <c r="AL306" s="4"/>
      <c r="AQ306" s="4"/>
      <c r="AV306" s="4"/>
      <c r="BA306" s="4"/>
    </row>
    <row r="307" spans="8:53" s="1" customFormat="1" ht="53.45" customHeight="1">
      <c r="H307" s="4"/>
      <c r="M307" s="4"/>
      <c r="R307" s="4"/>
      <c r="W307" s="4"/>
      <c r="AB307" s="4"/>
      <c r="AG307" s="4"/>
      <c r="AL307" s="4"/>
      <c r="AQ307" s="4"/>
      <c r="AV307" s="4"/>
      <c r="BA307" s="4"/>
    </row>
    <row r="308" spans="8:53" s="1" customFormat="1" ht="53.45" customHeight="1">
      <c r="H308" s="4"/>
      <c r="M308" s="4"/>
      <c r="R308" s="4"/>
      <c r="W308" s="4"/>
      <c r="AB308" s="4"/>
      <c r="AG308" s="4"/>
      <c r="AL308" s="4"/>
      <c r="AQ308" s="4"/>
      <c r="AV308" s="4"/>
      <c r="BA308" s="4"/>
    </row>
    <row r="309" spans="8:53" s="1" customFormat="1" ht="53.45" customHeight="1">
      <c r="H309" s="4"/>
      <c r="M309" s="4"/>
      <c r="R309" s="4"/>
      <c r="W309" s="4"/>
      <c r="AB309" s="4"/>
      <c r="AG309" s="4"/>
      <c r="AL309" s="4"/>
      <c r="AQ309" s="4"/>
      <c r="AV309" s="4"/>
      <c r="BA309" s="4"/>
    </row>
    <row r="310" spans="8:53" s="1" customFormat="1" ht="53.45" customHeight="1">
      <c r="H310" s="4"/>
      <c r="M310" s="4"/>
      <c r="R310" s="4"/>
      <c r="W310" s="4"/>
      <c r="AB310" s="4"/>
      <c r="AG310" s="4"/>
      <c r="AL310" s="4"/>
      <c r="AQ310" s="4"/>
      <c r="AV310" s="4"/>
      <c r="BA310" s="4"/>
    </row>
    <row r="311" spans="8:53" s="1" customFormat="1" ht="53.45" customHeight="1">
      <c r="H311" s="4"/>
      <c r="M311" s="4"/>
      <c r="R311" s="4"/>
      <c r="W311" s="4"/>
      <c r="AB311" s="4"/>
      <c r="AG311" s="4"/>
      <c r="AL311" s="4"/>
      <c r="AQ311" s="4"/>
      <c r="AV311" s="4"/>
      <c r="BA311" s="4"/>
    </row>
    <row r="312" spans="8:53" s="1" customFormat="1" ht="53.45" customHeight="1">
      <c r="H312" s="4"/>
      <c r="M312" s="4"/>
      <c r="R312" s="4"/>
      <c r="W312" s="4"/>
      <c r="AB312" s="4"/>
      <c r="AG312" s="4"/>
      <c r="AL312" s="4"/>
      <c r="AQ312" s="4"/>
      <c r="AV312" s="4"/>
      <c r="BA312" s="4"/>
    </row>
    <row r="313" spans="8:53" s="1" customFormat="1" ht="53.45" customHeight="1">
      <c r="H313" s="4"/>
      <c r="M313" s="4"/>
      <c r="R313" s="4"/>
      <c r="W313" s="4"/>
      <c r="AB313" s="4"/>
      <c r="AG313" s="4"/>
      <c r="AL313" s="4"/>
      <c r="AQ313" s="4"/>
      <c r="AV313" s="4"/>
      <c r="BA313" s="4"/>
    </row>
    <row r="314" spans="8:53" s="1" customFormat="1" ht="53.45" customHeight="1">
      <c r="H314" s="4"/>
      <c r="M314" s="4"/>
      <c r="R314" s="4"/>
      <c r="W314" s="4"/>
      <c r="AB314" s="4"/>
      <c r="AG314" s="4"/>
      <c r="AL314" s="4"/>
      <c r="AQ314" s="4"/>
      <c r="AV314" s="4"/>
      <c r="BA314" s="4"/>
    </row>
    <row r="315" spans="8:53" s="1" customFormat="1" ht="53.45" customHeight="1">
      <c r="H315" s="4"/>
      <c r="M315" s="4"/>
      <c r="R315" s="4"/>
      <c r="W315" s="4"/>
      <c r="AB315" s="4"/>
      <c r="AG315" s="4"/>
      <c r="AL315" s="4"/>
      <c r="AQ315" s="4"/>
      <c r="AV315" s="4"/>
      <c r="BA315" s="4"/>
    </row>
    <row r="316" spans="8:53" s="1" customFormat="1" ht="53.45" customHeight="1">
      <c r="H316" s="4"/>
      <c r="M316" s="4"/>
      <c r="R316" s="4"/>
      <c r="W316" s="4"/>
      <c r="AB316" s="4"/>
      <c r="AG316" s="4"/>
      <c r="AL316" s="4"/>
      <c r="AQ316" s="4"/>
      <c r="AV316" s="4"/>
      <c r="BA316" s="4"/>
    </row>
    <row r="317" spans="8:53" s="1" customFormat="1" ht="53.45" customHeight="1">
      <c r="H317" s="4"/>
      <c r="M317" s="4"/>
      <c r="R317" s="4"/>
      <c r="W317" s="4"/>
      <c r="AB317" s="4"/>
      <c r="AG317" s="4"/>
      <c r="AL317" s="4"/>
      <c r="AQ317" s="4"/>
      <c r="AV317" s="4"/>
      <c r="BA317" s="4"/>
    </row>
    <row r="318" spans="8:53" s="1" customFormat="1" ht="53.45" customHeight="1">
      <c r="H318" s="4"/>
      <c r="M318" s="4"/>
      <c r="R318" s="4"/>
      <c r="W318" s="4"/>
      <c r="AB318" s="4"/>
      <c r="AG318" s="4"/>
      <c r="AL318" s="4"/>
      <c r="AQ318" s="4"/>
      <c r="AV318" s="4"/>
      <c r="BA318" s="4"/>
    </row>
    <row r="319" spans="8:53" s="1" customFormat="1" ht="53.45" customHeight="1">
      <c r="H319" s="4"/>
      <c r="M319" s="4"/>
      <c r="R319" s="4"/>
      <c r="W319" s="4"/>
      <c r="AB319" s="4"/>
      <c r="AG319" s="4"/>
      <c r="AL319" s="4"/>
      <c r="AQ319" s="4"/>
      <c r="AV319" s="4"/>
      <c r="BA319" s="4"/>
    </row>
    <row r="320" spans="8:53" s="1" customFormat="1" ht="53.45" customHeight="1">
      <c r="H320" s="4"/>
      <c r="M320" s="4"/>
      <c r="R320" s="4"/>
      <c r="W320" s="4"/>
      <c r="AB320" s="4"/>
      <c r="AG320" s="4"/>
      <c r="AL320" s="4"/>
      <c r="AQ320" s="4"/>
      <c r="AV320" s="4"/>
      <c r="BA320" s="4"/>
    </row>
    <row r="321" spans="8:53" s="1" customFormat="1" ht="53.45" customHeight="1">
      <c r="H321" s="4"/>
      <c r="M321" s="4"/>
      <c r="R321" s="4"/>
      <c r="W321" s="4"/>
      <c r="AB321" s="4"/>
      <c r="AG321" s="4"/>
      <c r="AL321" s="4"/>
      <c r="AQ321" s="4"/>
      <c r="AV321" s="4"/>
      <c r="BA321" s="4"/>
    </row>
    <row r="322" spans="8:53" s="1" customFormat="1" ht="53.45" customHeight="1">
      <c r="H322" s="4"/>
      <c r="M322" s="4"/>
      <c r="R322" s="4"/>
      <c r="W322" s="4"/>
      <c r="AB322" s="4"/>
      <c r="AG322" s="4"/>
      <c r="AL322" s="4"/>
      <c r="AQ322" s="4"/>
      <c r="AV322" s="4"/>
      <c r="BA322" s="4"/>
    </row>
    <row r="323" spans="8:53" s="1" customFormat="1" ht="53.45" customHeight="1">
      <c r="H323" s="4"/>
      <c r="M323" s="4"/>
      <c r="R323" s="4"/>
      <c r="W323" s="4"/>
      <c r="AB323" s="4"/>
      <c r="AG323" s="4"/>
      <c r="AL323" s="4"/>
      <c r="AQ323" s="4"/>
      <c r="AV323" s="4"/>
      <c r="BA323" s="4"/>
    </row>
    <row r="324" spans="8:53" s="1" customFormat="1" ht="53.45" customHeight="1">
      <c r="H324" s="4"/>
      <c r="M324" s="4"/>
      <c r="R324" s="4"/>
      <c r="W324" s="4"/>
      <c r="AB324" s="4"/>
      <c r="AG324" s="4"/>
      <c r="AL324" s="4"/>
      <c r="AQ324" s="4"/>
      <c r="AV324" s="4"/>
      <c r="BA324" s="4"/>
    </row>
    <row r="325" spans="8:53" s="1" customFormat="1" ht="53.45" customHeight="1">
      <c r="H325" s="4"/>
      <c r="M325" s="4"/>
      <c r="R325" s="4"/>
      <c r="W325" s="4"/>
      <c r="AB325" s="4"/>
      <c r="AG325" s="4"/>
      <c r="AL325" s="4"/>
      <c r="AQ325" s="4"/>
      <c r="AV325" s="4"/>
      <c r="BA325" s="4"/>
    </row>
    <row r="326" spans="8:53" s="1" customFormat="1" ht="53.45" customHeight="1">
      <c r="H326" s="4"/>
      <c r="M326" s="4"/>
      <c r="R326" s="4"/>
      <c r="W326" s="4"/>
      <c r="AB326" s="4"/>
      <c r="AG326" s="4"/>
      <c r="AL326" s="4"/>
      <c r="AQ326" s="4"/>
      <c r="AV326" s="4"/>
      <c r="BA326" s="4"/>
    </row>
    <row r="327" spans="8:53" s="1" customFormat="1" ht="53.45" customHeight="1">
      <c r="H327" s="4"/>
      <c r="M327" s="4"/>
      <c r="R327" s="4"/>
      <c r="W327" s="4"/>
      <c r="AB327" s="4"/>
      <c r="AG327" s="4"/>
      <c r="AL327" s="4"/>
      <c r="AQ327" s="4"/>
      <c r="AV327" s="4"/>
      <c r="BA327" s="4"/>
    </row>
    <row r="328" spans="8:53" s="1" customFormat="1" ht="53.45" customHeight="1">
      <c r="H328" s="4"/>
      <c r="M328" s="4"/>
      <c r="R328" s="4"/>
      <c r="W328" s="4"/>
      <c r="AB328" s="4"/>
      <c r="AG328" s="4"/>
      <c r="AL328" s="4"/>
      <c r="AQ328" s="4"/>
      <c r="AV328" s="4"/>
      <c r="BA328" s="4"/>
    </row>
    <row r="329" spans="8:53" s="1" customFormat="1" ht="53.45" customHeight="1">
      <c r="H329" s="4"/>
      <c r="M329" s="4"/>
      <c r="R329" s="4"/>
      <c r="W329" s="4"/>
      <c r="AB329" s="4"/>
      <c r="AG329" s="4"/>
      <c r="AL329" s="4"/>
      <c r="AQ329" s="4"/>
      <c r="AV329" s="4"/>
      <c r="BA329" s="4"/>
    </row>
    <row r="330" spans="8:53" s="1" customFormat="1" ht="53.45" customHeight="1">
      <c r="H330" s="4"/>
      <c r="M330" s="4"/>
      <c r="R330" s="4"/>
      <c r="W330" s="4"/>
      <c r="AB330" s="4"/>
      <c r="AG330" s="4"/>
      <c r="AL330" s="4"/>
      <c r="AQ330" s="4"/>
      <c r="AV330" s="4"/>
      <c r="BA330" s="4"/>
    </row>
    <row r="331" spans="8:53" s="1" customFormat="1" ht="53.45" customHeight="1">
      <c r="H331" s="4"/>
      <c r="M331" s="4"/>
      <c r="R331" s="4"/>
      <c r="W331" s="4"/>
      <c r="AB331" s="4"/>
      <c r="AG331" s="4"/>
      <c r="AL331" s="4"/>
      <c r="AQ331" s="4"/>
      <c r="AV331" s="4"/>
      <c r="BA331" s="4"/>
    </row>
    <row r="332" spans="8:53" s="1" customFormat="1" ht="53.45" customHeight="1">
      <c r="H332" s="4"/>
      <c r="M332" s="4"/>
      <c r="R332" s="4"/>
      <c r="W332" s="4"/>
      <c r="AB332" s="4"/>
      <c r="AG332" s="4"/>
      <c r="AL332" s="4"/>
      <c r="AQ332" s="4"/>
      <c r="AV332" s="4"/>
      <c r="BA332" s="4"/>
    </row>
    <row r="333" spans="8:53" s="1" customFormat="1" ht="53.45" customHeight="1">
      <c r="H333" s="4"/>
      <c r="M333" s="4"/>
      <c r="R333" s="4"/>
      <c r="W333" s="4"/>
      <c r="AB333" s="4"/>
      <c r="AG333" s="4"/>
      <c r="AL333" s="4"/>
      <c r="AQ333" s="4"/>
      <c r="AV333" s="4"/>
      <c r="BA333" s="4"/>
    </row>
    <row r="334" spans="8:53" s="1" customFormat="1" ht="53.45" customHeight="1">
      <c r="H334" s="4"/>
      <c r="M334" s="4"/>
      <c r="R334" s="4"/>
      <c r="W334" s="4"/>
      <c r="AB334" s="4"/>
      <c r="AG334" s="4"/>
      <c r="AL334" s="4"/>
      <c r="AQ334" s="4"/>
      <c r="AV334" s="4"/>
      <c r="BA334" s="4"/>
    </row>
    <row r="335" spans="8:53" s="1" customFormat="1" ht="53.45" customHeight="1">
      <c r="H335" s="4"/>
      <c r="M335" s="4"/>
      <c r="R335" s="4"/>
      <c r="W335" s="4"/>
      <c r="AB335" s="4"/>
      <c r="AG335" s="4"/>
      <c r="AL335" s="4"/>
      <c r="AQ335" s="4"/>
      <c r="AV335" s="4"/>
      <c r="BA335" s="4"/>
    </row>
    <row r="336" spans="8:53" s="1" customFormat="1" ht="53.45" customHeight="1">
      <c r="H336" s="4"/>
      <c r="M336" s="4"/>
      <c r="R336" s="4"/>
      <c r="W336" s="4"/>
      <c r="AB336" s="4"/>
      <c r="AG336" s="4"/>
      <c r="AL336" s="4"/>
      <c r="AQ336" s="4"/>
      <c r="AV336" s="4"/>
      <c r="BA336" s="4"/>
    </row>
    <row r="337" spans="8:53" s="1" customFormat="1" ht="53.45" customHeight="1">
      <c r="H337" s="4"/>
      <c r="M337" s="4"/>
      <c r="R337" s="4"/>
      <c r="W337" s="4"/>
      <c r="AB337" s="4"/>
      <c r="AG337" s="4"/>
      <c r="AL337" s="4"/>
      <c r="AQ337" s="4"/>
      <c r="AV337" s="4"/>
      <c r="BA337" s="4"/>
    </row>
    <row r="338" spans="8:53" s="1" customFormat="1" ht="53.45" customHeight="1">
      <c r="H338" s="4"/>
      <c r="M338" s="4"/>
      <c r="R338" s="4"/>
      <c r="W338" s="4"/>
      <c r="AB338" s="4"/>
      <c r="AG338" s="4"/>
      <c r="AL338" s="4"/>
      <c r="AQ338" s="4"/>
      <c r="AV338" s="4"/>
      <c r="BA338" s="4"/>
    </row>
    <row r="339" spans="8:53" s="1" customFormat="1" ht="53.45" customHeight="1">
      <c r="H339" s="4"/>
      <c r="M339" s="4"/>
      <c r="R339" s="4"/>
      <c r="W339" s="4"/>
      <c r="AB339" s="4"/>
      <c r="AG339" s="4"/>
      <c r="AL339" s="4"/>
      <c r="AQ339" s="4"/>
      <c r="AV339" s="4"/>
      <c r="BA339" s="4"/>
    </row>
    <row r="340" spans="8:53" s="1" customFormat="1" ht="53.45" customHeight="1">
      <c r="H340" s="4"/>
      <c r="M340" s="4"/>
      <c r="R340" s="4"/>
      <c r="W340" s="4"/>
      <c r="AB340" s="4"/>
      <c r="AG340" s="4"/>
      <c r="AL340" s="4"/>
      <c r="AQ340" s="4"/>
      <c r="AV340" s="4"/>
      <c r="BA340" s="4"/>
    </row>
    <row r="341" spans="8:53" s="1" customFormat="1" ht="53.45" customHeight="1">
      <c r="H341" s="4"/>
      <c r="M341" s="4"/>
      <c r="R341" s="4"/>
      <c r="W341" s="4"/>
      <c r="AB341" s="4"/>
      <c r="AG341" s="4"/>
      <c r="AL341" s="4"/>
      <c r="AQ341" s="4"/>
      <c r="AV341" s="4"/>
      <c r="BA341" s="4"/>
    </row>
    <row r="342" spans="8:53" s="1" customFormat="1" ht="53.45" customHeight="1">
      <c r="H342" s="4"/>
      <c r="M342" s="4"/>
      <c r="R342" s="4"/>
      <c r="W342" s="4"/>
      <c r="AB342" s="4"/>
      <c r="AG342" s="4"/>
      <c r="AL342" s="4"/>
      <c r="AQ342" s="4"/>
      <c r="AV342" s="4"/>
      <c r="BA342" s="4"/>
    </row>
    <row r="343" spans="8:53" s="1" customFormat="1" ht="53.45" customHeight="1">
      <c r="H343" s="4"/>
      <c r="M343" s="4"/>
      <c r="R343" s="4"/>
      <c r="W343" s="4"/>
      <c r="AB343" s="4"/>
      <c r="AG343" s="4"/>
      <c r="AL343" s="4"/>
      <c r="AQ343" s="4"/>
      <c r="AV343" s="4"/>
      <c r="BA343" s="4"/>
    </row>
    <row r="344" spans="8:53" s="1" customFormat="1" ht="53.45" customHeight="1">
      <c r="H344" s="4"/>
      <c r="M344" s="4"/>
      <c r="R344" s="4"/>
      <c r="W344" s="4"/>
      <c r="AB344" s="4"/>
      <c r="AG344" s="4"/>
      <c r="AL344" s="4"/>
      <c r="AQ344" s="4"/>
      <c r="AV344" s="4"/>
      <c r="BA344" s="4"/>
    </row>
    <row r="345" spans="8:53" s="1" customFormat="1" ht="53.45" customHeight="1">
      <c r="H345" s="4"/>
      <c r="M345" s="4"/>
      <c r="R345" s="4"/>
      <c r="W345" s="4"/>
      <c r="AB345" s="4"/>
      <c r="AG345" s="4"/>
      <c r="AL345" s="4"/>
      <c r="AQ345" s="4"/>
      <c r="AV345" s="4"/>
      <c r="BA345" s="4"/>
    </row>
    <row r="346" spans="8:53" s="1" customFormat="1" ht="53.45" customHeight="1">
      <c r="H346" s="4"/>
      <c r="M346" s="4"/>
      <c r="R346" s="4"/>
      <c r="W346" s="4"/>
      <c r="AB346" s="4"/>
      <c r="AG346" s="4"/>
      <c r="AL346" s="4"/>
      <c r="AQ346" s="4"/>
      <c r="AV346" s="4"/>
      <c r="BA346" s="4"/>
    </row>
    <row r="347" spans="8:53" s="1" customFormat="1" ht="53.45" customHeight="1">
      <c r="H347" s="4"/>
      <c r="M347" s="4"/>
      <c r="R347" s="4"/>
      <c r="W347" s="4"/>
      <c r="AB347" s="4"/>
      <c r="AG347" s="4"/>
      <c r="AL347" s="4"/>
      <c r="AQ347" s="4"/>
      <c r="AV347" s="4"/>
      <c r="BA347" s="4"/>
    </row>
    <row r="348" spans="8:53" s="1" customFormat="1" ht="53.45" customHeight="1">
      <c r="H348" s="4"/>
      <c r="M348" s="4"/>
      <c r="R348" s="4"/>
      <c r="W348" s="4"/>
      <c r="AB348" s="4"/>
      <c r="AG348" s="4"/>
      <c r="AL348" s="4"/>
      <c r="AQ348" s="4"/>
      <c r="AV348" s="4"/>
      <c r="BA348" s="4"/>
    </row>
    <row r="349" spans="8:53" s="1" customFormat="1" ht="53.45" customHeight="1">
      <c r="H349" s="4"/>
      <c r="M349" s="4"/>
      <c r="R349" s="4"/>
      <c r="W349" s="4"/>
      <c r="AB349" s="4"/>
      <c r="AG349" s="4"/>
      <c r="AL349" s="4"/>
      <c r="AQ349" s="4"/>
      <c r="AV349" s="4"/>
      <c r="BA349" s="4"/>
    </row>
    <row r="350" spans="8:53" s="1" customFormat="1" ht="53.45" customHeight="1">
      <c r="H350" s="4"/>
      <c r="M350" s="4"/>
      <c r="R350" s="4"/>
      <c r="W350" s="4"/>
      <c r="AB350" s="4"/>
      <c r="AG350" s="4"/>
      <c r="AL350" s="4"/>
      <c r="AQ350" s="4"/>
      <c r="AV350" s="4"/>
      <c r="BA350" s="4"/>
    </row>
    <row r="351" spans="8:53" s="1" customFormat="1" ht="53.45" customHeight="1">
      <c r="H351" s="4"/>
      <c r="M351" s="4"/>
      <c r="R351" s="4"/>
      <c r="W351" s="4"/>
      <c r="AB351" s="4"/>
      <c r="AG351" s="4"/>
      <c r="AL351" s="4"/>
      <c r="AQ351" s="4"/>
      <c r="AV351" s="4"/>
      <c r="BA351" s="4"/>
    </row>
    <row r="352" spans="8:53" s="1" customFormat="1" ht="53.45" customHeight="1">
      <c r="H352" s="4"/>
      <c r="M352" s="4"/>
      <c r="R352" s="4"/>
      <c r="W352" s="4"/>
      <c r="AB352" s="4"/>
      <c r="AG352" s="4"/>
      <c r="AL352" s="4"/>
      <c r="AQ352" s="4"/>
      <c r="AV352" s="4"/>
      <c r="BA352" s="4"/>
    </row>
    <row r="353" spans="8:53" s="1" customFormat="1" ht="53.45" customHeight="1">
      <c r="H353" s="4"/>
      <c r="M353" s="4"/>
      <c r="R353" s="4"/>
      <c r="W353" s="4"/>
      <c r="AB353" s="4"/>
      <c r="AG353" s="4"/>
      <c r="AL353" s="4"/>
      <c r="AQ353" s="4"/>
      <c r="AV353" s="4"/>
      <c r="BA353" s="4"/>
    </row>
    <row r="354" spans="8:53" s="1" customFormat="1" ht="53.45" customHeight="1">
      <c r="H354" s="4"/>
      <c r="M354" s="4"/>
      <c r="R354" s="4"/>
      <c r="W354" s="4"/>
      <c r="AB354" s="4"/>
      <c r="AG354" s="4"/>
      <c r="AL354" s="4"/>
      <c r="AQ354" s="4"/>
      <c r="AV354" s="4"/>
      <c r="BA354" s="4"/>
    </row>
    <row r="355" spans="8:53" s="1" customFormat="1" ht="53.45" customHeight="1">
      <c r="H355" s="4"/>
      <c r="M355" s="4"/>
      <c r="R355" s="4"/>
      <c r="W355" s="4"/>
      <c r="AB355" s="4"/>
      <c r="AG355" s="4"/>
      <c r="AL355" s="4"/>
      <c r="AQ355" s="4"/>
      <c r="AV355" s="4"/>
      <c r="BA355" s="4"/>
    </row>
    <row r="356" spans="8:53" s="1" customFormat="1" ht="53.45" customHeight="1">
      <c r="H356" s="4"/>
      <c r="M356" s="4"/>
      <c r="R356" s="4"/>
      <c r="W356" s="4"/>
      <c r="AB356" s="4"/>
      <c r="AG356" s="4"/>
      <c r="AL356" s="4"/>
      <c r="AQ356" s="4"/>
      <c r="AV356" s="4"/>
      <c r="BA356" s="4"/>
    </row>
    <row r="357" spans="8:53" s="1" customFormat="1" ht="53.45" customHeight="1">
      <c r="H357" s="4"/>
      <c r="M357" s="4"/>
      <c r="R357" s="4"/>
      <c r="W357" s="4"/>
      <c r="AB357" s="4"/>
      <c r="AG357" s="4"/>
      <c r="AL357" s="4"/>
      <c r="AQ357" s="4"/>
      <c r="AV357" s="4"/>
      <c r="BA357" s="4"/>
    </row>
    <row r="358" spans="8:53" s="1" customFormat="1" ht="53.45" customHeight="1">
      <c r="H358" s="4"/>
      <c r="M358" s="4"/>
      <c r="R358" s="4"/>
      <c r="W358" s="4"/>
      <c r="AB358" s="4"/>
      <c r="AG358" s="4"/>
      <c r="AL358" s="4"/>
      <c r="AQ358" s="4"/>
      <c r="AV358" s="4"/>
      <c r="BA358" s="4"/>
    </row>
    <row r="359" spans="8:53" s="1" customFormat="1" ht="53.45" customHeight="1">
      <c r="H359" s="4"/>
      <c r="M359" s="4"/>
      <c r="R359" s="4"/>
      <c r="W359" s="4"/>
      <c r="AB359" s="4"/>
      <c r="AG359" s="4"/>
      <c r="AL359" s="4"/>
      <c r="AQ359" s="4"/>
      <c r="AV359" s="4"/>
      <c r="BA359" s="4"/>
    </row>
    <row r="360" spans="8:53" s="1" customFormat="1" ht="53.45" customHeight="1">
      <c r="H360" s="4"/>
      <c r="M360" s="4"/>
      <c r="R360" s="4"/>
      <c r="W360" s="4"/>
      <c r="AB360" s="4"/>
      <c r="AG360" s="4"/>
      <c r="AL360" s="4"/>
      <c r="AQ360" s="4"/>
      <c r="AV360" s="4"/>
      <c r="BA360" s="4"/>
    </row>
    <row r="361" spans="8:53" s="1" customFormat="1" ht="53.45" customHeight="1">
      <c r="H361" s="4"/>
      <c r="M361" s="4"/>
      <c r="R361" s="4"/>
      <c r="W361" s="4"/>
      <c r="AB361" s="4"/>
      <c r="AG361" s="4"/>
      <c r="AL361" s="4"/>
      <c r="AQ361" s="4"/>
      <c r="AV361" s="4"/>
      <c r="BA361" s="4"/>
    </row>
    <row r="362" spans="8:53" s="1" customFormat="1" ht="53.45" customHeight="1">
      <c r="H362" s="4"/>
      <c r="M362" s="4"/>
      <c r="R362" s="4"/>
      <c r="W362" s="4"/>
      <c r="AB362" s="4"/>
      <c r="AG362" s="4"/>
      <c r="AL362" s="4"/>
      <c r="AQ362" s="4"/>
      <c r="AV362" s="4"/>
      <c r="BA362" s="4"/>
    </row>
    <row r="363" spans="8:53" s="1" customFormat="1" ht="53.45" customHeight="1">
      <c r="H363" s="4"/>
      <c r="M363" s="4"/>
      <c r="R363" s="4"/>
      <c r="W363" s="4"/>
      <c r="AB363" s="4"/>
      <c r="AG363" s="4"/>
      <c r="AL363" s="4"/>
      <c r="AQ363" s="4"/>
      <c r="AV363" s="4"/>
      <c r="BA363" s="4"/>
    </row>
    <row r="364" spans="8:53" s="1" customFormat="1" ht="53.45" customHeight="1">
      <c r="H364" s="4"/>
      <c r="M364" s="4"/>
      <c r="R364" s="4"/>
      <c r="W364" s="4"/>
      <c r="AB364" s="4"/>
      <c r="AG364" s="4"/>
      <c r="AL364" s="4"/>
      <c r="AQ364" s="4"/>
      <c r="AV364" s="4"/>
      <c r="BA364" s="4"/>
    </row>
    <row r="365" spans="8:53" s="1" customFormat="1" ht="53.45" customHeight="1">
      <c r="H365" s="4"/>
      <c r="M365" s="4"/>
      <c r="R365" s="4"/>
      <c r="W365" s="4"/>
      <c r="AB365" s="4"/>
      <c r="AG365" s="4"/>
      <c r="AL365" s="4"/>
      <c r="AQ365" s="4"/>
      <c r="AV365" s="4"/>
      <c r="BA365" s="4"/>
    </row>
    <row r="366" spans="8:53" s="1" customFormat="1" ht="53.45" customHeight="1">
      <c r="H366" s="4"/>
      <c r="M366" s="4"/>
      <c r="R366" s="4"/>
      <c r="W366" s="4"/>
      <c r="AB366" s="4"/>
      <c r="AG366" s="4"/>
      <c r="AL366" s="4"/>
      <c r="AQ366" s="4"/>
      <c r="AV366" s="4"/>
      <c r="BA366" s="4"/>
    </row>
    <row r="367" spans="8:53" s="1" customFormat="1" ht="53.45" customHeight="1">
      <c r="H367" s="4"/>
      <c r="M367" s="4"/>
      <c r="R367" s="4"/>
      <c r="W367" s="4"/>
      <c r="AB367" s="4"/>
      <c r="AG367" s="4"/>
      <c r="AL367" s="4"/>
      <c r="AQ367" s="4"/>
      <c r="AV367" s="4"/>
      <c r="BA367" s="4"/>
    </row>
    <row r="368" spans="8:53" s="1" customFormat="1" ht="53.45" customHeight="1">
      <c r="H368" s="4"/>
      <c r="M368" s="4"/>
      <c r="R368" s="4"/>
      <c r="W368" s="4"/>
      <c r="AB368" s="4"/>
      <c r="AG368" s="4"/>
      <c r="AL368" s="4"/>
      <c r="AQ368" s="4"/>
      <c r="AV368" s="4"/>
      <c r="BA368" s="4"/>
    </row>
    <row r="369" spans="8:53" s="1" customFormat="1" ht="53.45" customHeight="1">
      <c r="H369" s="4"/>
      <c r="M369" s="4"/>
      <c r="R369" s="4"/>
      <c r="W369" s="4"/>
      <c r="AB369" s="4"/>
      <c r="AG369" s="4"/>
      <c r="AL369" s="4"/>
      <c r="AQ369" s="4"/>
      <c r="AV369" s="4"/>
      <c r="BA369" s="4"/>
    </row>
    <row r="370" spans="8:53" s="1" customFormat="1" ht="53.45" customHeight="1">
      <c r="H370" s="4"/>
      <c r="M370" s="4"/>
      <c r="R370" s="4"/>
      <c r="W370" s="4"/>
      <c r="AB370" s="4"/>
      <c r="AG370" s="4"/>
      <c r="AL370" s="4"/>
      <c r="AQ370" s="4"/>
      <c r="AV370" s="4"/>
      <c r="BA370" s="4"/>
    </row>
    <row r="371" spans="8:53" s="1" customFormat="1" ht="53.45" customHeight="1">
      <c r="H371" s="4"/>
      <c r="M371" s="4"/>
      <c r="R371" s="4"/>
      <c r="W371" s="4"/>
      <c r="AB371" s="4"/>
      <c r="AG371" s="4"/>
      <c r="AL371" s="4"/>
      <c r="AQ371" s="4"/>
      <c r="AV371" s="4"/>
      <c r="BA371" s="4"/>
    </row>
    <row r="372" spans="8:53" s="1" customFormat="1" ht="53.45" customHeight="1">
      <c r="H372" s="4"/>
      <c r="M372" s="4"/>
      <c r="R372" s="4"/>
      <c r="W372" s="4"/>
      <c r="AB372" s="4"/>
      <c r="AG372" s="4"/>
      <c r="AL372" s="4"/>
      <c r="AQ372" s="4"/>
      <c r="AV372" s="4"/>
      <c r="BA372" s="4"/>
    </row>
    <row r="373" spans="8:53" s="1" customFormat="1" ht="53.45" customHeight="1">
      <c r="H373" s="4"/>
      <c r="M373" s="4"/>
      <c r="R373" s="4"/>
      <c r="W373" s="4"/>
      <c r="AB373" s="4"/>
      <c r="AG373" s="4"/>
      <c r="AL373" s="4"/>
      <c r="AQ373" s="4"/>
      <c r="AV373" s="4"/>
      <c r="BA373" s="4"/>
    </row>
    <row r="374" spans="8:53" s="1" customFormat="1" ht="53.45" customHeight="1">
      <c r="H374" s="4"/>
      <c r="M374" s="4"/>
      <c r="R374" s="4"/>
      <c r="W374" s="4"/>
      <c r="AB374" s="4"/>
      <c r="AG374" s="4"/>
      <c r="AL374" s="4"/>
      <c r="AQ374" s="4"/>
      <c r="AV374" s="4"/>
      <c r="BA374" s="4"/>
    </row>
    <row r="375" spans="8:53" s="1" customFormat="1" ht="53.45" customHeight="1">
      <c r="H375" s="4"/>
      <c r="M375" s="4"/>
      <c r="R375" s="4"/>
      <c r="W375" s="4"/>
      <c r="AB375" s="4"/>
      <c r="AG375" s="4"/>
      <c r="AL375" s="4"/>
      <c r="AQ375" s="4"/>
      <c r="AV375" s="4"/>
      <c r="BA375" s="4"/>
    </row>
    <row r="376" spans="8:53" s="1" customFormat="1" ht="53.45" customHeight="1">
      <c r="H376" s="4"/>
      <c r="M376" s="4"/>
      <c r="R376" s="4"/>
      <c r="W376" s="4"/>
      <c r="AB376" s="4"/>
      <c r="AG376" s="4"/>
      <c r="AL376" s="4"/>
      <c r="AQ376" s="4"/>
      <c r="AV376" s="4"/>
      <c r="BA376" s="4"/>
    </row>
    <row r="377" spans="8:53" s="1" customFormat="1" ht="53.45" customHeight="1">
      <c r="H377" s="4"/>
      <c r="M377" s="4"/>
      <c r="R377" s="4"/>
      <c r="W377" s="4"/>
      <c r="AB377" s="4"/>
      <c r="AG377" s="4"/>
      <c r="AL377" s="4"/>
      <c r="AQ377" s="4"/>
      <c r="AV377" s="4"/>
      <c r="BA377" s="4"/>
    </row>
    <row r="378" spans="8:53" s="1" customFormat="1" ht="53.45" customHeight="1">
      <c r="H378" s="4"/>
      <c r="M378" s="4"/>
      <c r="R378" s="4"/>
      <c r="W378" s="4"/>
      <c r="AB378" s="4"/>
      <c r="AG378" s="4"/>
      <c r="AL378" s="4"/>
      <c r="AQ378" s="4"/>
      <c r="AV378" s="4"/>
      <c r="BA378" s="4"/>
    </row>
    <row r="379" spans="8:53" s="1" customFormat="1" ht="53.45" customHeight="1">
      <c r="H379" s="4"/>
      <c r="M379" s="4"/>
      <c r="R379" s="4"/>
      <c r="W379" s="4"/>
      <c r="AB379" s="4"/>
      <c r="AG379" s="4"/>
      <c r="AL379" s="4"/>
      <c r="AQ379" s="4"/>
      <c r="AV379" s="4"/>
      <c r="BA379" s="4"/>
    </row>
    <row r="380" spans="8:53" s="1" customFormat="1" ht="53.45" customHeight="1">
      <c r="H380" s="4"/>
      <c r="M380" s="4"/>
      <c r="R380" s="4"/>
      <c r="W380" s="4"/>
      <c r="AB380" s="4"/>
      <c r="AG380" s="4"/>
      <c r="AL380" s="4"/>
      <c r="AQ380" s="4"/>
      <c r="AV380" s="4"/>
      <c r="BA380" s="4"/>
    </row>
    <row r="381" spans="8:53" s="1" customFormat="1" ht="53.45" customHeight="1">
      <c r="H381" s="4"/>
      <c r="M381" s="4"/>
      <c r="R381" s="4"/>
      <c r="W381" s="4"/>
      <c r="AB381" s="4"/>
      <c r="AG381" s="4"/>
      <c r="AL381" s="4"/>
      <c r="AQ381" s="4"/>
      <c r="AV381" s="4"/>
      <c r="BA381" s="4"/>
    </row>
    <row r="382" spans="8:53" s="1" customFormat="1" ht="53.45" customHeight="1">
      <c r="H382" s="4"/>
      <c r="M382" s="4"/>
      <c r="R382" s="4"/>
      <c r="W382" s="4"/>
      <c r="AB382" s="4"/>
      <c r="AG382" s="4"/>
      <c r="AL382" s="4"/>
      <c r="AQ382" s="4"/>
      <c r="AV382" s="4"/>
      <c r="BA382" s="4"/>
    </row>
    <row r="383" spans="8:53" s="1" customFormat="1" ht="53.45" customHeight="1">
      <c r="H383" s="4"/>
      <c r="M383" s="4"/>
      <c r="R383" s="4"/>
      <c r="W383" s="4"/>
      <c r="AB383" s="4"/>
      <c r="AG383" s="4"/>
      <c r="AL383" s="4"/>
      <c r="AQ383" s="4"/>
      <c r="AV383" s="4"/>
      <c r="BA383" s="4"/>
    </row>
    <row r="384" spans="8:53" s="1" customFormat="1" ht="53.45" customHeight="1">
      <c r="H384" s="4"/>
      <c r="M384" s="4"/>
      <c r="R384" s="4"/>
      <c r="W384" s="4"/>
      <c r="AB384" s="4"/>
      <c r="AG384" s="4"/>
      <c r="AL384" s="4"/>
      <c r="AQ384" s="4"/>
      <c r="AV384" s="4"/>
      <c r="BA384" s="4"/>
    </row>
    <row r="385" spans="8:53" s="1" customFormat="1" ht="53.45" customHeight="1">
      <c r="H385" s="4"/>
      <c r="M385" s="4"/>
      <c r="R385" s="4"/>
      <c r="W385" s="4"/>
      <c r="AB385" s="4"/>
      <c r="AG385" s="4"/>
      <c r="AL385" s="4"/>
      <c r="AQ385" s="4"/>
      <c r="AV385" s="4"/>
      <c r="BA385" s="4"/>
    </row>
    <row r="386" spans="8:53" s="1" customFormat="1" ht="53.45" customHeight="1">
      <c r="H386" s="4"/>
      <c r="M386" s="4"/>
      <c r="R386" s="4"/>
      <c r="W386" s="4"/>
      <c r="AB386" s="4"/>
      <c r="AG386" s="4"/>
      <c r="AL386" s="4"/>
      <c r="AQ386" s="4"/>
      <c r="AV386" s="4"/>
      <c r="BA386" s="4"/>
    </row>
    <row r="387" spans="8:53" s="1" customFormat="1" ht="53.45" customHeight="1">
      <c r="H387" s="4"/>
      <c r="M387" s="4"/>
      <c r="R387" s="4"/>
      <c r="W387" s="4"/>
      <c r="AB387" s="4"/>
      <c r="AG387" s="4"/>
      <c r="AL387" s="4"/>
      <c r="AQ387" s="4"/>
      <c r="AV387" s="4"/>
      <c r="BA387" s="4"/>
    </row>
    <row r="388" spans="8:53" s="1" customFormat="1" ht="53.45" customHeight="1">
      <c r="H388" s="4"/>
      <c r="M388" s="4"/>
      <c r="R388" s="4"/>
      <c r="W388" s="4"/>
      <c r="AB388" s="4"/>
      <c r="AG388" s="4"/>
      <c r="AL388" s="4"/>
      <c r="AQ388" s="4"/>
      <c r="AV388" s="4"/>
      <c r="BA388" s="4"/>
    </row>
    <row r="389" spans="8:53" s="1" customFormat="1" ht="53.45" customHeight="1">
      <c r="H389" s="4"/>
      <c r="M389" s="4"/>
      <c r="R389" s="4"/>
      <c r="W389" s="4"/>
      <c r="AB389" s="4"/>
      <c r="AG389" s="4"/>
      <c r="AL389" s="4"/>
      <c r="AQ389" s="4"/>
      <c r="AV389" s="4"/>
      <c r="BA389" s="4"/>
    </row>
    <row r="390" spans="8:53" s="1" customFormat="1" ht="53.45" customHeight="1">
      <c r="H390" s="4"/>
      <c r="M390" s="4"/>
      <c r="R390" s="4"/>
      <c r="W390" s="4"/>
      <c r="AB390" s="4"/>
      <c r="AG390" s="4"/>
      <c r="AL390" s="4"/>
      <c r="AQ390" s="4"/>
      <c r="AV390" s="4"/>
      <c r="BA390" s="4"/>
    </row>
    <row r="391" spans="8:53" s="1" customFormat="1" ht="53.45" customHeight="1">
      <c r="H391" s="4"/>
      <c r="M391" s="4"/>
      <c r="R391" s="4"/>
      <c r="W391" s="4"/>
      <c r="AB391" s="4"/>
      <c r="AG391" s="4"/>
      <c r="AL391" s="4"/>
      <c r="AQ391" s="4"/>
      <c r="AV391" s="4"/>
      <c r="BA391" s="4"/>
    </row>
    <row r="392" spans="8:53" s="1" customFormat="1" ht="53.45" customHeight="1">
      <c r="H392" s="4"/>
      <c r="M392" s="4"/>
      <c r="R392" s="4"/>
      <c r="W392" s="4"/>
      <c r="AB392" s="4"/>
      <c r="AG392" s="4"/>
      <c r="AL392" s="4"/>
      <c r="AQ392" s="4"/>
      <c r="AV392" s="4"/>
      <c r="BA392" s="4"/>
    </row>
    <row r="393" spans="8:53" s="1" customFormat="1" ht="53.45" customHeight="1">
      <c r="H393" s="4"/>
      <c r="M393" s="4"/>
      <c r="R393" s="4"/>
      <c r="W393" s="4"/>
      <c r="AB393" s="4"/>
      <c r="AG393" s="4"/>
      <c r="AL393" s="4"/>
      <c r="AQ393" s="4"/>
      <c r="AV393" s="4"/>
      <c r="BA393" s="4"/>
    </row>
    <row r="394" spans="8:53" s="1" customFormat="1" ht="53.45" customHeight="1">
      <c r="H394" s="4"/>
      <c r="M394" s="4"/>
      <c r="R394" s="4"/>
      <c r="W394" s="4"/>
      <c r="AB394" s="4"/>
      <c r="AG394" s="4"/>
      <c r="AL394" s="4"/>
      <c r="AQ394" s="4"/>
      <c r="AV394" s="4"/>
      <c r="BA394" s="4"/>
    </row>
    <row r="395" spans="8:53" s="1" customFormat="1" ht="53.45" customHeight="1">
      <c r="H395" s="4"/>
      <c r="M395" s="4"/>
      <c r="R395" s="4"/>
      <c r="W395" s="4"/>
      <c r="AB395" s="4"/>
      <c r="AG395" s="4"/>
      <c r="AL395" s="4"/>
      <c r="AQ395" s="4"/>
      <c r="AV395" s="4"/>
      <c r="BA395" s="4"/>
    </row>
    <row r="396" spans="8:53" s="1" customFormat="1" ht="53.45" customHeight="1">
      <c r="H396" s="4"/>
      <c r="M396" s="4"/>
      <c r="R396" s="4"/>
      <c r="W396" s="4"/>
      <c r="AB396" s="4"/>
      <c r="AG396" s="4"/>
      <c r="AL396" s="4"/>
      <c r="AQ396" s="4"/>
      <c r="AV396" s="4"/>
      <c r="BA396" s="4"/>
    </row>
    <row r="397" spans="8:53" s="1" customFormat="1" ht="53.45" customHeight="1">
      <c r="H397" s="4"/>
      <c r="M397" s="4"/>
      <c r="R397" s="4"/>
      <c r="W397" s="4"/>
      <c r="AB397" s="4"/>
      <c r="AG397" s="4"/>
      <c r="AL397" s="4"/>
      <c r="AQ397" s="4"/>
      <c r="AV397" s="4"/>
      <c r="BA397" s="4"/>
    </row>
    <row r="398" spans="8:53" s="1" customFormat="1" ht="53.45" customHeight="1">
      <c r="H398" s="4"/>
      <c r="M398" s="4"/>
      <c r="R398" s="4"/>
      <c r="W398" s="4"/>
      <c r="AB398" s="4"/>
      <c r="AG398" s="4"/>
      <c r="AL398" s="4"/>
      <c r="AQ398" s="4"/>
      <c r="AV398" s="4"/>
      <c r="BA398" s="4"/>
    </row>
    <row r="399" spans="8:53" s="1" customFormat="1" ht="53.45" customHeight="1">
      <c r="H399" s="4"/>
      <c r="M399" s="4"/>
      <c r="R399" s="4"/>
      <c r="W399" s="4"/>
      <c r="AB399" s="4"/>
      <c r="AG399" s="4"/>
      <c r="AL399" s="4"/>
      <c r="AQ399" s="4"/>
      <c r="AV399" s="4"/>
      <c r="BA399" s="4"/>
    </row>
    <row r="400" spans="8:53" s="1" customFormat="1" ht="53.45" customHeight="1">
      <c r="H400" s="4"/>
      <c r="M400" s="4"/>
      <c r="R400" s="4"/>
      <c r="W400" s="4"/>
      <c r="AB400" s="4"/>
      <c r="AG400" s="4"/>
      <c r="AL400" s="4"/>
      <c r="AQ400" s="4"/>
      <c r="AV400" s="4"/>
      <c r="BA400" s="4"/>
    </row>
    <row r="401" spans="8:53" s="1" customFormat="1" ht="53.45" customHeight="1">
      <c r="H401" s="4"/>
      <c r="M401" s="4"/>
      <c r="R401" s="4"/>
      <c r="W401" s="4"/>
      <c r="AB401" s="4"/>
      <c r="AG401" s="4"/>
      <c r="AL401" s="4"/>
      <c r="AQ401" s="4"/>
      <c r="AV401" s="4"/>
      <c r="BA401" s="4"/>
    </row>
    <row r="402" spans="8:53" s="1" customFormat="1" ht="53.45" customHeight="1">
      <c r="H402" s="4"/>
      <c r="M402" s="4"/>
      <c r="R402" s="4"/>
      <c r="W402" s="4"/>
      <c r="AB402" s="4"/>
      <c r="AG402" s="4"/>
      <c r="AL402" s="4"/>
      <c r="AQ402" s="4"/>
      <c r="AV402" s="4"/>
      <c r="BA402" s="4"/>
    </row>
    <row r="403" spans="8:53" s="1" customFormat="1" ht="53.45" customHeight="1">
      <c r="H403" s="4"/>
      <c r="M403" s="4"/>
      <c r="R403" s="4"/>
      <c r="W403" s="4"/>
      <c r="AB403" s="4"/>
      <c r="AG403" s="4"/>
      <c r="AL403" s="4"/>
      <c r="AQ403" s="4"/>
      <c r="AV403" s="4"/>
      <c r="BA403" s="4"/>
    </row>
    <row r="404" spans="8:53" s="1" customFormat="1" ht="53.45" customHeight="1">
      <c r="H404" s="4"/>
      <c r="M404" s="4"/>
      <c r="R404" s="4"/>
      <c r="W404" s="4"/>
      <c r="AB404" s="4"/>
      <c r="AG404" s="4"/>
      <c r="AL404" s="4"/>
      <c r="AQ404" s="4"/>
      <c r="AV404" s="4"/>
      <c r="BA404" s="4"/>
    </row>
    <row r="405" spans="8:53" s="1" customFormat="1" ht="53.45" customHeight="1">
      <c r="H405" s="4"/>
      <c r="M405" s="4"/>
      <c r="R405" s="4"/>
      <c r="W405" s="4"/>
      <c r="AB405" s="4"/>
      <c r="AG405" s="4"/>
      <c r="AL405" s="4"/>
      <c r="AQ405" s="4"/>
      <c r="AV405" s="4"/>
      <c r="BA405" s="4"/>
    </row>
    <row r="406" spans="8:53" s="1" customFormat="1" ht="53.45" customHeight="1">
      <c r="H406" s="4"/>
      <c r="M406" s="4"/>
      <c r="R406" s="4"/>
      <c r="W406" s="4"/>
      <c r="AB406" s="4"/>
      <c r="AG406" s="4"/>
      <c r="AL406" s="4"/>
      <c r="AQ406" s="4"/>
      <c r="AV406" s="4"/>
      <c r="BA406" s="4"/>
    </row>
    <row r="407" spans="8:53" s="1" customFormat="1" ht="53.45" customHeight="1">
      <c r="H407" s="4"/>
      <c r="M407" s="4"/>
      <c r="R407" s="4"/>
      <c r="W407" s="4"/>
      <c r="AB407" s="4"/>
      <c r="AG407" s="4"/>
      <c r="AL407" s="4"/>
      <c r="AQ407" s="4"/>
      <c r="AV407" s="4"/>
      <c r="BA407" s="4"/>
    </row>
    <row r="408" spans="8:53" s="1" customFormat="1" ht="53.45" customHeight="1">
      <c r="H408" s="4"/>
      <c r="M408" s="4"/>
      <c r="R408" s="4"/>
      <c r="W408" s="4"/>
      <c r="AB408" s="4"/>
      <c r="AG408" s="4"/>
      <c r="AL408" s="4"/>
      <c r="AQ408" s="4"/>
      <c r="AV408" s="4"/>
      <c r="BA408" s="4"/>
    </row>
    <row r="409" spans="8:53" s="1" customFormat="1" ht="53.45" customHeight="1">
      <c r="H409" s="4"/>
      <c r="M409" s="4"/>
      <c r="R409" s="4"/>
      <c r="W409" s="4"/>
      <c r="AB409" s="4"/>
      <c r="AG409" s="4"/>
      <c r="AL409" s="4"/>
      <c r="AQ409" s="4"/>
      <c r="AV409" s="4"/>
      <c r="BA409" s="4"/>
    </row>
    <row r="410" spans="8:53" s="1" customFormat="1" ht="53.45" customHeight="1">
      <c r="H410" s="4"/>
      <c r="M410" s="4"/>
      <c r="R410" s="4"/>
      <c r="W410" s="4"/>
      <c r="AB410" s="4"/>
      <c r="AG410" s="4"/>
      <c r="AL410" s="4"/>
      <c r="AQ410" s="4"/>
      <c r="AV410" s="4"/>
      <c r="BA410" s="4"/>
    </row>
    <row r="411" spans="8:53" s="1" customFormat="1" ht="53.45" customHeight="1">
      <c r="H411" s="4"/>
      <c r="M411" s="4"/>
      <c r="R411" s="4"/>
      <c r="W411" s="4"/>
      <c r="AB411" s="4"/>
      <c r="AG411" s="4"/>
      <c r="AL411" s="4"/>
      <c r="AQ411" s="4"/>
      <c r="AV411" s="4"/>
      <c r="BA411" s="4"/>
    </row>
    <row r="412" spans="8:53" s="1" customFormat="1" ht="53.45" customHeight="1">
      <c r="H412" s="4"/>
      <c r="M412" s="4"/>
      <c r="R412" s="4"/>
      <c r="W412" s="4"/>
      <c r="AB412" s="4"/>
      <c r="AG412" s="4"/>
      <c r="AL412" s="4"/>
      <c r="AQ412" s="4"/>
      <c r="AV412" s="4"/>
      <c r="BA412" s="4"/>
    </row>
    <row r="413" spans="8:53" s="1" customFormat="1" ht="53.45" customHeight="1">
      <c r="H413" s="4"/>
      <c r="M413" s="4"/>
      <c r="R413" s="4"/>
      <c r="W413" s="4"/>
      <c r="AB413" s="4"/>
      <c r="AG413" s="4"/>
      <c r="AL413" s="4"/>
      <c r="AQ413" s="4"/>
      <c r="AV413" s="4"/>
      <c r="BA413" s="4"/>
    </row>
    <row r="414" spans="8:53" s="1" customFormat="1" ht="53.45" customHeight="1">
      <c r="H414" s="4"/>
      <c r="M414" s="4"/>
      <c r="R414" s="4"/>
      <c r="W414" s="4"/>
      <c r="AB414" s="4"/>
      <c r="AG414" s="4"/>
      <c r="AL414" s="4"/>
      <c r="AQ414" s="4"/>
      <c r="AV414" s="4"/>
      <c r="BA414" s="4"/>
    </row>
    <row r="415" spans="8:53" s="1" customFormat="1" ht="53.45" customHeight="1">
      <c r="H415" s="4"/>
      <c r="M415" s="4"/>
      <c r="R415" s="4"/>
      <c r="W415" s="4"/>
      <c r="AB415" s="4"/>
      <c r="AG415" s="4"/>
      <c r="AL415" s="4"/>
      <c r="AQ415" s="4"/>
      <c r="AV415" s="4"/>
      <c r="BA415" s="4"/>
    </row>
    <row r="416" spans="8:53" s="1" customFormat="1" ht="53.45" customHeight="1">
      <c r="H416" s="4"/>
      <c r="M416" s="4"/>
      <c r="R416" s="4"/>
      <c r="W416" s="4"/>
      <c r="AB416" s="4"/>
      <c r="AG416" s="4"/>
      <c r="AL416" s="4"/>
      <c r="AQ416" s="4"/>
      <c r="AV416" s="4"/>
      <c r="BA416" s="4"/>
    </row>
    <row r="417" spans="8:53" s="1" customFormat="1" ht="53.45" customHeight="1">
      <c r="H417" s="4"/>
      <c r="M417" s="4"/>
      <c r="R417" s="4"/>
      <c r="W417" s="4"/>
      <c r="AB417" s="4"/>
      <c r="AG417" s="4"/>
      <c r="AL417" s="4"/>
      <c r="AQ417" s="4"/>
      <c r="AV417" s="4"/>
      <c r="BA417" s="4"/>
    </row>
    <row r="418" spans="8:53" s="1" customFormat="1" ht="53.45" customHeight="1">
      <c r="H418" s="4"/>
      <c r="M418" s="4"/>
      <c r="R418" s="4"/>
      <c r="W418" s="4"/>
      <c r="AB418" s="4"/>
      <c r="AG418" s="4"/>
      <c r="AL418" s="4"/>
      <c r="AQ418" s="4"/>
      <c r="AV418" s="4"/>
      <c r="BA418" s="4"/>
    </row>
    <row r="419" spans="8:53" s="1" customFormat="1" ht="53.45" customHeight="1">
      <c r="H419" s="4"/>
      <c r="M419" s="4"/>
      <c r="R419" s="4"/>
      <c r="W419" s="4"/>
      <c r="AB419" s="4"/>
      <c r="AG419" s="4"/>
      <c r="AL419" s="4"/>
      <c r="AQ419" s="4"/>
      <c r="AV419" s="4"/>
      <c r="BA419" s="4"/>
    </row>
    <row r="420" spans="8:53" s="1" customFormat="1" ht="53.45" customHeight="1">
      <c r="H420" s="4"/>
      <c r="M420" s="4"/>
      <c r="R420" s="4"/>
      <c r="W420" s="4"/>
      <c r="AB420" s="4"/>
      <c r="AG420" s="4"/>
      <c r="AL420" s="4"/>
      <c r="AQ420" s="4"/>
      <c r="AV420" s="4"/>
      <c r="BA420" s="4"/>
    </row>
    <row r="421" spans="8:53" s="1" customFormat="1" ht="53.45" customHeight="1">
      <c r="H421" s="4"/>
      <c r="M421" s="4"/>
      <c r="R421" s="4"/>
      <c r="W421" s="4"/>
      <c r="AB421" s="4"/>
      <c r="AG421" s="4"/>
      <c r="AL421" s="4"/>
      <c r="AQ421" s="4"/>
      <c r="AV421" s="4"/>
      <c r="BA421" s="4"/>
    </row>
    <row r="422" spans="8:53" s="1" customFormat="1" ht="53.45" customHeight="1">
      <c r="H422" s="4"/>
      <c r="M422" s="4"/>
      <c r="R422" s="4"/>
      <c r="W422" s="4"/>
      <c r="AB422" s="4"/>
      <c r="AG422" s="4"/>
      <c r="AL422" s="4"/>
      <c r="AQ422" s="4"/>
      <c r="AV422" s="4"/>
      <c r="BA422" s="4"/>
    </row>
    <row r="423" spans="8:53" s="1" customFormat="1" ht="53.45" customHeight="1">
      <c r="H423" s="4"/>
      <c r="M423" s="4"/>
      <c r="R423" s="4"/>
      <c r="W423" s="4"/>
      <c r="AB423" s="4"/>
      <c r="AG423" s="4"/>
      <c r="AL423" s="4"/>
      <c r="AQ423" s="4"/>
      <c r="AV423" s="4"/>
      <c r="BA423" s="4"/>
    </row>
    <row r="424" spans="8:53" s="1" customFormat="1" ht="53.45" customHeight="1">
      <c r="H424" s="4"/>
      <c r="M424" s="4"/>
      <c r="R424" s="4"/>
      <c r="W424" s="4"/>
      <c r="AB424" s="4"/>
      <c r="AG424" s="4"/>
      <c r="AL424" s="4"/>
      <c r="AQ424" s="4"/>
      <c r="AV424" s="4"/>
      <c r="BA424" s="4"/>
    </row>
    <row r="425" spans="8:53" s="1" customFormat="1" ht="53.45" customHeight="1">
      <c r="H425" s="4"/>
      <c r="M425" s="4"/>
      <c r="R425" s="4"/>
      <c r="W425" s="4"/>
      <c r="AB425" s="4"/>
      <c r="AG425" s="4"/>
      <c r="AL425" s="4"/>
      <c r="AQ425" s="4"/>
      <c r="AV425" s="4"/>
      <c r="BA425" s="4"/>
    </row>
    <row r="426" spans="8:53" s="1" customFormat="1" ht="53.45" customHeight="1">
      <c r="H426" s="4"/>
      <c r="M426" s="4"/>
      <c r="R426" s="4"/>
      <c r="W426" s="4"/>
      <c r="AB426" s="4"/>
      <c r="AG426" s="4"/>
      <c r="AL426" s="4"/>
      <c r="AQ426" s="4"/>
      <c r="AV426" s="4"/>
      <c r="BA426" s="4"/>
    </row>
    <row r="427" spans="8:53" s="1" customFormat="1" ht="53.45" customHeight="1">
      <c r="H427" s="4"/>
      <c r="M427" s="4"/>
      <c r="R427" s="4"/>
      <c r="W427" s="4"/>
      <c r="AB427" s="4"/>
      <c r="AG427" s="4"/>
      <c r="AL427" s="4"/>
      <c r="AQ427" s="4"/>
      <c r="AV427" s="4"/>
      <c r="BA427" s="4"/>
    </row>
    <row r="428" spans="8:53" s="1" customFormat="1" ht="53.45" customHeight="1">
      <c r="H428" s="4"/>
      <c r="M428" s="4"/>
      <c r="R428" s="4"/>
      <c r="W428" s="4"/>
      <c r="AB428" s="4"/>
      <c r="AG428" s="4"/>
      <c r="AL428" s="4"/>
      <c r="AQ428" s="4"/>
      <c r="AV428" s="4"/>
      <c r="BA428" s="4"/>
    </row>
    <row r="429" spans="8:53" s="1" customFormat="1" ht="53.45" customHeight="1">
      <c r="H429" s="4"/>
      <c r="M429" s="4"/>
      <c r="R429" s="4"/>
      <c r="W429" s="4"/>
      <c r="AB429" s="4"/>
      <c r="AG429" s="4"/>
      <c r="AL429" s="4"/>
      <c r="AQ429" s="4"/>
      <c r="AV429" s="4"/>
      <c r="BA429" s="4"/>
    </row>
    <row r="430" spans="8:53" s="1" customFormat="1" ht="53.45" customHeight="1">
      <c r="H430" s="4"/>
      <c r="M430" s="4"/>
      <c r="R430" s="4"/>
      <c r="W430" s="4"/>
      <c r="AB430" s="4"/>
      <c r="AG430" s="4"/>
      <c r="AL430" s="4"/>
      <c r="AQ430" s="4"/>
      <c r="AV430" s="4"/>
      <c r="BA430" s="4"/>
    </row>
    <row r="431" spans="8:53" s="1" customFormat="1" ht="53.45" customHeight="1">
      <c r="H431" s="4"/>
      <c r="M431" s="4"/>
      <c r="R431" s="4"/>
      <c r="W431" s="4"/>
      <c r="AB431" s="4"/>
      <c r="AG431" s="4"/>
      <c r="AL431" s="4"/>
      <c r="AQ431" s="4"/>
      <c r="AV431" s="4"/>
      <c r="BA431" s="4"/>
    </row>
    <row r="432" spans="8:53" s="1" customFormat="1" ht="53.45" customHeight="1">
      <c r="H432" s="4"/>
      <c r="M432" s="4"/>
      <c r="R432" s="4"/>
      <c r="W432" s="4"/>
      <c r="AB432" s="4"/>
      <c r="AG432" s="4"/>
      <c r="AL432" s="4"/>
      <c r="AQ432" s="4"/>
      <c r="AV432" s="4"/>
      <c r="BA432" s="4"/>
    </row>
    <row r="433" spans="8:53" s="1" customFormat="1" ht="53.45" customHeight="1">
      <c r="H433" s="4"/>
      <c r="M433" s="4"/>
      <c r="R433" s="4"/>
      <c r="W433" s="4"/>
      <c r="AB433" s="4"/>
      <c r="AG433" s="4"/>
      <c r="AL433" s="4"/>
      <c r="AQ433" s="4"/>
      <c r="AV433" s="4"/>
      <c r="BA433" s="4"/>
    </row>
    <row r="434" spans="8:53" s="1" customFormat="1" ht="53.45" customHeight="1">
      <c r="H434" s="4"/>
      <c r="M434" s="4"/>
      <c r="R434" s="4"/>
      <c r="W434" s="4"/>
      <c r="AB434" s="4"/>
      <c r="AG434" s="4"/>
      <c r="AL434" s="4"/>
      <c r="AQ434" s="4"/>
      <c r="AV434" s="4"/>
      <c r="BA434" s="4"/>
    </row>
    <row r="435" spans="8:53" s="1" customFormat="1" ht="53.45" customHeight="1">
      <c r="H435" s="4"/>
      <c r="M435" s="4"/>
      <c r="R435" s="4"/>
      <c r="W435" s="4"/>
      <c r="AB435" s="4"/>
      <c r="AG435" s="4"/>
      <c r="AL435" s="4"/>
      <c r="AQ435" s="4"/>
      <c r="AV435" s="4"/>
      <c r="BA435" s="4"/>
    </row>
    <row r="436" spans="8:53" s="1" customFormat="1" ht="53.45" customHeight="1">
      <c r="H436" s="4"/>
      <c r="M436" s="4"/>
      <c r="R436" s="4"/>
      <c r="W436" s="4"/>
      <c r="AB436" s="4"/>
      <c r="AG436" s="4"/>
      <c r="AL436" s="4"/>
      <c r="AQ436" s="4"/>
      <c r="AV436" s="4"/>
      <c r="BA436" s="4"/>
    </row>
    <row r="437" spans="8:53" s="1" customFormat="1" ht="53.45" customHeight="1">
      <c r="H437" s="4"/>
      <c r="M437" s="4"/>
      <c r="R437" s="4"/>
      <c r="W437" s="4"/>
      <c r="AB437" s="4"/>
      <c r="AG437" s="4"/>
      <c r="AL437" s="4"/>
      <c r="AQ437" s="4"/>
      <c r="AV437" s="4"/>
      <c r="BA437" s="4"/>
    </row>
    <row r="438" spans="8:53" s="1" customFormat="1" ht="53.45" customHeight="1">
      <c r="H438" s="4"/>
      <c r="M438" s="4"/>
      <c r="R438" s="4"/>
      <c r="W438" s="4"/>
      <c r="AB438" s="4"/>
      <c r="AG438" s="4"/>
      <c r="AL438" s="4"/>
      <c r="AQ438" s="4"/>
      <c r="AV438" s="4"/>
      <c r="BA438" s="4"/>
    </row>
    <row r="439" spans="8:53" s="1" customFormat="1" ht="53.45" customHeight="1">
      <c r="H439" s="4"/>
      <c r="M439" s="4"/>
      <c r="R439" s="4"/>
      <c r="W439" s="4"/>
      <c r="AB439" s="4"/>
      <c r="AG439" s="4"/>
      <c r="AL439" s="4"/>
      <c r="AQ439" s="4"/>
      <c r="AV439" s="4"/>
      <c r="BA439" s="4"/>
    </row>
    <row r="440" spans="8:53" s="1" customFormat="1" ht="53.45" customHeight="1">
      <c r="H440" s="4"/>
      <c r="M440" s="4"/>
      <c r="R440" s="4"/>
      <c r="W440" s="4"/>
      <c r="AB440" s="4"/>
      <c r="AG440" s="4"/>
      <c r="AL440" s="4"/>
      <c r="AQ440" s="4"/>
      <c r="AV440" s="4"/>
      <c r="BA440" s="4"/>
    </row>
    <row r="441" spans="8:53" s="1" customFormat="1" ht="53.45" customHeight="1">
      <c r="H441" s="4"/>
      <c r="M441" s="4"/>
      <c r="R441" s="4"/>
      <c r="W441" s="4"/>
      <c r="AB441" s="4"/>
      <c r="AG441" s="4"/>
      <c r="AL441" s="4"/>
      <c r="AQ441" s="4"/>
      <c r="AV441" s="4"/>
      <c r="BA441" s="4"/>
    </row>
    <row r="442" spans="8:53" s="1" customFormat="1" ht="53.45" customHeight="1">
      <c r="H442" s="4"/>
      <c r="M442" s="4"/>
      <c r="R442" s="4"/>
      <c r="W442" s="4"/>
      <c r="AB442" s="4"/>
      <c r="AG442" s="4"/>
      <c r="AL442" s="4"/>
      <c r="AQ442" s="4"/>
      <c r="AV442" s="4"/>
      <c r="BA442" s="4"/>
    </row>
    <row r="443" spans="8:53" s="1" customFormat="1" ht="53.45" customHeight="1">
      <c r="H443" s="4"/>
      <c r="M443" s="4"/>
      <c r="R443" s="4"/>
      <c r="W443" s="4"/>
      <c r="AB443" s="4"/>
      <c r="AG443" s="4"/>
      <c r="AL443" s="4"/>
      <c r="AQ443" s="4"/>
      <c r="AV443" s="4"/>
      <c r="BA443" s="4"/>
    </row>
    <row r="444" spans="8:53" s="1" customFormat="1" ht="53.45" customHeight="1">
      <c r="H444" s="4"/>
      <c r="M444" s="4"/>
      <c r="R444" s="4"/>
      <c r="W444" s="4"/>
      <c r="AB444" s="4"/>
      <c r="AG444" s="4"/>
      <c r="AL444" s="4"/>
      <c r="AQ444" s="4"/>
      <c r="AV444" s="4"/>
      <c r="BA444" s="4"/>
    </row>
    <row r="445" spans="8:53" s="1" customFormat="1" ht="53.45" customHeight="1">
      <c r="H445" s="4"/>
      <c r="M445" s="4"/>
      <c r="R445" s="4"/>
      <c r="W445" s="4"/>
      <c r="AB445" s="4"/>
      <c r="AG445" s="4"/>
      <c r="AL445" s="4"/>
      <c r="AQ445" s="4"/>
      <c r="AV445" s="4"/>
      <c r="BA445" s="4"/>
    </row>
    <row r="446" spans="8:53" s="1" customFormat="1" ht="53.45" customHeight="1">
      <c r="H446" s="4"/>
      <c r="M446" s="4"/>
      <c r="R446" s="4"/>
      <c r="W446" s="4"/>
      <c r="AB446" s="4"/>
      <c r="AG446" s="4"/>
      <c r="AL446" s="4"/>
      <c r="AQ446" s="4"/>
      <c r="AV446" s="4"/>
      <c r="BA446" s="4"/>
    </row>
    <row r="447" spans="8:53" s="1" customFormat="1" ht="53.45" customHeight="1">
      <c r="H447" s="4"/>
      <c r="M447" s="4"/>
      <c r="R447" s="4"/>
      <c r="W447" s="4"/>
      <c r="AB447" s="4"/>
      <c r="AG447" s="4"/>
      <c r="AL447" s="4"/>
      <c r="AQ447" s="4"/>
      <c r="AV447" s="4"/>
      <c r="BA447" s="4"/>
    </row>
    <row r="448" spans="8:53" s="1" customFormat="1" ht="53.45" customHeight="1">
      <c r="H448" s="4"/>
      <c r="M448" s="4"/>
      <c r="R448" s="4"/>
      <c r="W448" s="4"/>
      <c r="AB448" s="4"/>
      <c r="AG448" s="4"/>
      <c r="AL448" s="4"/>
      <c r="AQ448" s="4"/>
      <c r="AV448" s="4"/>
      <c r="BA448" s="4"/>
    </row>
    <row r="449" spans="8:53" s="1" customFormat="1" ht="53.45" customHeight="1">
      <c r="H449" s="4"/>
      <c r="M449" s="4"/>
      <c r="R449" s="4"/>
      <c r="W449" s="4"/>
      <c r="AB449" s="4"/>
      <c r="AG449" s="4"/>
      <c r="AL449" s="4"/>
      <c r="AQ449" s="4"/>
      <c r="AV449" s="4"/>
      <c r="BA449" s="4"/>
    </row>
    <row r="450" spans="8:53" s="1" customFormat="1" ht="53.45" customHeight="1">
      <c r="H450" s="4"/>
      <c r="M450" s="4"/>
      <c r="R450" s="4"/>
      <c r="W450" s="4"/>
      <c r="AB450" s="4"/>
      <c r="AG450" s="4"/>
      <c r="AL450" s="4"/>
      <c r="AQ450" s="4"/>
      <c r="AV450" s="4"/>
      <c r="BA450" s="4"/>
    </row>
    <row r="451" spans="8:53" s="1" customFormat="1" ht="53.45" customHeight="1">
      <c r="H451" s="4"/>
      <c r="M451" s="4"/>
      <c r="R451" s="4"/>
      <c r="W451" s="4"/>
      <c r="AB451" s="4"/>
      <c r="AG451" s="4"/>
      <c r="AL451" s="4"/>
      <c r="AQ451" s="4"/>
      <c r="AV451" s="4"/>
      <c r="BA451" s="4"/>
    </row>
    <row r="452" spans="8:53" s="1" customFormat="1" ht="53.45" customHeight="1">
      <c r="H452" s="4"/>
      <c r="M452" s="4"/>
      <c r="R452" s="4"/>
      <c r="W452" s="4"/>
      <c r="AB452" s="4"/>
      <c r="AG452" s="4"/>
      <c r="AL452" s="4"/>
      <c r="AQ452" s="4"/>
      <c r="AV452" s="4"/>
      <c r="BA452" s="4"/>
    </row>
    <row r="453" spans="8:53" s="1" customFormat="1" ht="53.45" customHeight="1">
      <c r="H453" s="4"/>
      <c r="M453" s="4"/>
      <c r="R453" s="4"/>
      <c r="W453" s="4"/>
      <c r="AB453" s="4"/>
      <c r="AG453" s="4"/>
      <c r="AL453" s="4"/>
      <c r="AQ453" s="4"/>
      <c r="AV453" s="4"/>
      <c r="BA453" s="4"/>
    </row>
    <row r="454" spans="8:53" s="1" customFormat="1" ht="53.45" customHeight="1">
      <c r="H454" s="4"/>
      <c r="M454" s="4"/>
      <c r="R454" s="4"/>
      <c r="W454" s="4"/>
      <c r="AB454" s="4"/>
      <c r="AG454" s="4"/>
      <c r="AL454" s="4"/>
      <c r="AQ454" s="4"/>
      <c r="AV454" s="4"/>
      <c r="BA454" s="4"/>
    </row>
    <row r="455" spans="8:53" s="1" customFormat="1" ht="53.45" customHeight="1">
      <c r="H455" s="4"/>
      <c r="M455" s="4"/>
      <c r="R455" s="4"/>
      <c r="W455" s="4"/>
      <c r="AB455" s="4"/>
      <c r="AG455" s="4"/>
      <c r="AL455" s="4"/>
      <c r="AQ455" s="4"/>
      <c r="AV455" s="4"/>
      <c r="BA455" s="4"/>
    </row>
    <row r="456" spans="8:53" s="1" customFormat="1" ht="53.45" customHeight="1">
      <c r="H456" s="4"/>
      <c r="M456" s="4"/>
      <c r="R456" s="4"/>
      <c r="W456" s="4"/>
      <c r="AB456" s="4"/>
      <c r="AG456" s="4"/>
      <c r="AL456" s="4"/>
      <c r="AQ456" s="4"/>
      <c r="AV456" s="4"/>
      <c r="BA456" s="4"/>
    </row>
    <row r="457" spans="8:53" s="1" customFormat="1" ht="53.45" customHeight="1">
      <c r="H457" s="4"/>
      <c r="M457" s="4"/>
      <c r="R457" s="4"/>
      <c r="W457" s="4"/>
      <c r="AB457" s="4"/>
      <c r="AG457" s="4"/>
      <c r="AL457" s="4"/>
      <c r="AQ457" s="4"/>
      <c r="AV457" s="4"/>
      <c r="BA457" s="4"/>
    </row>
    <row r="458" spans="8:53" s="1" customFormat="1" ht="53.45" customHeight="1">
      <c r="H458" s="4"/>
      <c r="M458" s="4"/>
      <c r="R458" s="4"/>
      <c r="W458" s="4"/>
      <c r="AB458" s="4"/>
      <c r="AG458" s="4"/>
      <c r="AL458" s="4"/>
      <c r="AQ458" s="4"/>
      <c r="AV458" s="4"/>
      <c r="BA458" s="4"/>
    </row>
    <row r="459" spans="8:53" s="1" customFormat="1" ht="53.45" customHeight="1">
      <c r="H459" s="4"/>
      <c r="M459" s="4"/>
      <c r="R459" s="4"/>
      <c r="W459" s="4"/>
      <c r="AB459" s="4"/>
      <c r="AG459" s="4"/>
      <c r="AL459" s="4"/>
      <c r="AQ459" s="4"/>
      <c r="AV459" s="4"/>
      <c r="BA459" s="4"/>
    </row>
    <row r="460" spans="8:53" s="1" customFormat="1" ht="53.45" customHeight="1">
      <c r="H460" s="4"/>
      <c r="M460" s="4"/>
      <c r="R460" s="4"/>
      <c r="W460" s="4"/>
      <c r="AB460" s="4"/>
      <c r="AG460" s="4"/>
      <c r="AL460" s="4"/>
      <c r="AQ460" s="4"/>
      <c r="AV460" s="4"/>
      <c r="BA460" s="4"/>
    </row>
    <row r="461" spans="8:53" s="1" customFormat="1" ht="53.45" customHeight="1">
      <c r="H461" s="4"/>
      <c r="M461" s="4"/>
      <c r="R461" s="4"/>
      <c r="W461" s="4"/>
      <c r="AB461" s="4"/>
      <c r="AG461" s="4"/>
      <c r="AL461" s="4"/>
      <c r="AQ461" s="4"/>
      <c r="AV461" s="4"/>
      <c r="BA461" s="4"/>
    </row>
    <row r="462" spans="8:53" s="1" customFormat="1" ht="53.45" customHeight="1">
      <c r="H462" s="4"/>
      <c r="M462" s="4"/>
      <c r="R462" s="4"/>
      <c r="W462" s="4"/>
      <c r="AB462" s="4"/>
      <c r="AG462" s="4"/>
      <c r="AL462" s="4"/>
      <c r="AQ462" s="4"/>
      <c r="AV462" s="4"/>
      <c r="BA462" s="4"/>
    </row>
    <row r="463" spans="8:53" s="1" customFormat="1" ht="53.45" customHeight="1">
      <c r="H463" s="4"/>
      <c r="M463" s="4"/>
      <c r="R463" s="4"/>
      <c r="W463" s="4"/>
      <c r="AB463" s="4"/>
      <c r="AG463" s="4"/>
      <c r="AL463" s="4"/>
      <c r="AQ463" s="4"/>
      <c r="AV463" s="4"/>
      <c r="BA463" s="4"/>
    </row>
    <row r="464" spans="8:53" s="1" customFormat="1" ht="53.45" customHeight="1">
      <c r="H464" s="4"/>
      <c r="M464" s="4"/>
      <c r="R464" s="4"/>
      <c r="W464" s="4"/>
      <c r="AB464" s="4"/>
      <c r="AG464" s="4"/>
      <c r="AL464" s="4"/>
      <c r="AQ464" s="4"/>
      <c r="AV464" s="4"/>
      <c r="BA464" s="4"/>
    </row>
    <row r="465" spans="8:53" s="1" customFormat="1" ht="53.45" customHeight="1">
      <c r="H465" s="4"/>
      <c r="M465" s="4"/>
      <c r="R465" s="4"/>
      <c r="W465" s="4"/>
      <c r="AB465" s="4"/>
      <c r="AG465" s="4"/>
      <c r="AL465" s="4"/>
      <c r="AQ465" s="4"/>
      <c r="AV465" s="4"/>
      <c r="BA465" s="4"/>
    </row>
    <row r="466" spans="8:53" s="1" customFormat="1" ht="53.45" customHeight="1">
      <c r="H466" s="4"/>
      <c r="M466" s="4"/>
      <c r="R466" s="4"/>
      <c r="W466" s="4"/>
      <c r="AB466" s="4"/>
      <c r="AG466" s="4"/>
      <c r="AL466" s="4"/>
      <c r="AQ466" s="4"/>
      <c r="AV466" s="4"/>
      <c r="BA466" s="4"/>
    </row>
    <row r="467" spans="8:53" s="1" customFormat="1" ht="53.45" customHeight="1">
      <c r="H467" s="4"/>
      <c r="M467" s="4"/>
      <c r="R467" s="4"/>
      <c r="W467" s="4"/>
      <c r="AB467" s="4"/>
      <c r="AG467" s="4"/>
      <c r="AL467" s="4"/>
      <c r="AQ467" s="4"/>
      <c r="AV467" s="4"/>
      <c r="BA467" s="4"/>
    </row>
    <row r="468" spans="8:53" s="1" customFormat="1" ht="53.45" customHeight="1">
      <c r="H468" s="4"/>
      <c r="M468" s="4"/>
      <c r="R468" s="4"/>
      <c r="W468" s="4"/>
      <c r="AB468" s="4"/>
      <c r="AG468" s="4"/>
      <c r="AL468" s="4"/>
      <c r="AQ468" s="4"/>
      <c r="AV468" s="4"/>
      <c r="BA468" s="4"/>
    </row>
    <row r="469" spans="8:53" s="1" customFormat="1" ht="53.45" customHeight="1">
      <c r="H469" s="4"/>
      <c r="M469" s="4"/>
      <c r="R469" s="4"/>
      <c r="W469" s="4"/>
      <c r="AB469" s="4"/>
      <c r="AG469" s="4"/>
      <c r="AL469" s="4"/>
      <c r="AQ469" s="4"/>
      <c r="AV469" s="4"/>
      <c r="BA469" s="4"/>
    </row>
    <row r="470" spans="8:53" s="1" customFormat="1" ht="53.45" customHeight="1">
      <c r="H470" s="4"/>
      <c r="M470" s="4"/>
      <c r="R470" s="4"/>
      <c r="W470" s="4"/>
      <c r="AB470" s="4"/>
      <c r="AG470" s="4"/>
      <c r="AL470" s="4"/>
      <c r="AQ470" s="4"/>
      <c r="AV470" s="4"/>
      <c r="BA470" s="4"/>
    </row>
    <row r="471" spans="8:53" s="1" customFormat="1" ht="53.45" customHeight="1">
      <c r="H471" s="4"/>
      <c r="M471" s="4"/>
      <c r="R471" s="4"/>
      <c r="W471" s="4"/>
      <c r="AB471" s="4"/>
      <c r="AG471" s="4"/>
      <c r="AL471" s="4"/>
      <c r="AQ471" s="4"/>
      <c r="AV471" s="4"/>
      <c r="BA471" s="4"/>
    </row>
    <row r="472" spans="8:53" s="1" customFormat="1" ht="53.45" customHeight="1">
      <c r="H472" s="4"/>
      <c r="M472" s="4"/>
      <c r="R472" s="4"/>
      <c r="W472" s="4"/>
      <c r="AB472" s="4"/>
      <c r="AG472" s="4"/>
      <c r="AL472" s="4"/>
      <c r="AQ472" s="4"/>
      <c r="AV472" s="4"/>
      <c r="BA472" s="4"/>
    </row>
    <row r="473" spans="8:53" s="1" customFormat="1" ht="53.45" customHeight="1">
      <c r="H473" s="4"/>
      <c r="M473" s="4"/>
      <c r="R473" s="4"/>
      <c r="W473" s="4"/>
      <c r="AB473" s="4"/>
      <c r="AG473" s="4"/>
      <c r="AL473" s="4"/>
      <c r="AQ473" s="4"/>
      <c r="AV473" s="4"/>
      <c r="BA473" s="4"/>
    </row>
    <row r="474" spans="8:53" s="1" customFormat="1" ht="53.45" customHeight="1">
      <c r="H474" s="4"/>
      <c r="M474" s="4"/>
      <c r="R474" s="4"/>
      <c r="W474" s="4"/>
      <c r="AB474" s="4"/>
      <c r="AG474" s="4"/>
      <c r="AL474" s="4"/>
      <c r="AQ474" s="4"/>
      <c r="AV474" s="4"/>
      <c r="BA474" s="4"/>
    </row>
    <row r="475" spans="8:53" s="1" customFormat="1" ht="53.45" customHeight="1">
      <c r="H475" s="4"/>
      <c r="M475" s="4"/>
      <c r="R475" s="4"/>
      <c r="W475" s="4"/>
      <c r="AB475" s="4"/>
      <c r="AG475" s="4"/>
      <c r="AL475" s="4"/>
      <c r="AQ475" s="4"/>
      <c r="AV475" s="4"/>
      <c r="BA475" s="4"/>
    </row>
    <row r="476" spans="8:53" s="1" customFormat="1" ht="53.45" customHeight="1">
      <c r="H476" s="4"/>
      <c r="M476" s="4"/>
      <c r="R476" s="4"/>
      <c r="W476" s="4"/>
      <c r="AB476" s="4"/>
      <c r="AG476" s="4"/>
      <c r="AL476" s="4"/>
      <c r="AQ476" s="4"/>
      <c r="AV476" s="4"/>
      <c r="BA476" s="4"/>
    </row>
    <row r="477" spans="8:53" s="1" customFormat="1" ht="53.45" customHeight="1">
      <c r="H477" s="4"/>
      <c r="M477" s="4"/>
      <c r="R477" s="4"/>
      <c r="W477" s="4"/>
      <c r="AB477" s="4"/>
      <c r="AG477" s="4"/>
      <c r="AL477" s="4"/>
      <c r="AQ477" s="4"/>
      <c r="AV477" s="4"/>
      <c r="BA477" s="4"/>
    </row>
    <row r="478" spans="8:53" s="1" customFormat="1" ht="53.45" customHeight="1">
      <c r="H478" s="4"/>
      <c r="M478" s="4"/>
      <c r="R478" s="4"/>
      <c r="W478" s="4"/>
      <c r="AB478" s="4"/>
      <c r="AG478" s="4"/>
      <c r="AL478" s="4"/>
      <c r="AQ478" s="4"/>
      <c r="AV478" s="4"/>
      <c r="BA478" s="4"/>
    </row>
    <row r="479" spans="8:53" s="1" customFormat="1" ht="53.45" customHeight="1">
      <c r="H479" s="4"/>
      <c r="M479" s="4"/>
      <c r="R479" s="4"/>
      <c r="W479" s="4"/>
      <c r="AB479" s="4"/>
      <c r="AG479" s="4"/>
      <c r="AL479" s="4"/>
      <c r="AQ479" s="4"/>
      <c r="AV479" s="4"/>
      <c r="BA479" s="4"/>
    </row>
    <row r="480" spans="8:53" s="1" customFormat="1" ht="53.45" customHeight="1">
      <c r="H480" s="4"/>
      <c r="M480" s="4"/>
      <c r="R480" s="4"/>
      <c r="W480" s="4"/>
      <c r="AB480" s="4"/>
      <c r="AG480" s="4"/>
      <c r="AL480" s="4"/>
      <c r="AQ480" s="4"/>
      <c r="AV480" s="4"/>
      <c r="BA480" s="4"/>
    </row>
    <row r="481" spans="8:53" s="1" customFormat="1" ht="53.45" customHeight="1">
      <c r="H481" s="4"/>
      <c r="M481" s="4"/>
      <c r="R481" s="4"/>
      <c r="W481" s="4"/>
      <c r="AB481" s="4"/>
      <c r="AG481" s="4"/>
      <c r="AL481" s="4"/>
      <c r="AQ481" s="4"/>
      <c r="AV481" s="4"/>
      <c r="BA481" s="4"/>
    </row>
  </sheetData>
  <mergeCells count="23">
    <mergeCell ref="AE3:AF3"/>
    <mergeCell ref="H1:AF1"/>
    <mergeCell ref="H2:K2"/>
    <mergeCell ref="M2:P2"/>
    <mergeCell ref="R2:T2"/>
    <mergeCell ref="V2:X2"/>
    <mergeCell ref="Z2:AB2"/>
    <mergeCell ref="AE2:AF2"/>
    <mergeCell ref="H3:K3"/>
    <mergeCell ref="M3:P3"/>
    <mergeCell ref="R3:T3"/>
    <mergeCell ref="V3:X3"/>
    <mergeCell ref="Z3:AB3"/>
    <mergeCell ref="AL16:AL17"/>
    <mergeCell ref="AQ16:AQ17"/>
    <mergeCell ref="AV16:AV17"/>
    <mergeCell ref="BA16:BA17"/>
    <mergeCell ref="H16:H17"/>
    <mergeCell ref="M16:M17"/>
    <mergeCell ref="R16:R17"/>
    <mergeCell ref="W16:W17"/>
    <mergeCell ref="AB16:AB17"/>
    <mergeCell ref="AG16:AG17"/>
  </mergeCells>
  <printOptions horizontalCentered="1" verticalCentered="1"/>
  <pageMargins left="0" right="0" top="0" bottom="0" header="0" footer="0"/>
  <pageSetup paperSize="9" scale="2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481"/>
  <sheetViews>
    <sheetView view="pageBreakPreview" zoomScale="40" zoomScaleNormal="20" zoomScaleSheetLayoutView="40" workbookViewId="0">
      <selection activeCell="V4" sqref="V4"/>
    </sheetView>
  </sheetViews>
  <sheetFormatPr defaultRowHeight="15"/>
  <cols>
    <col min="1" max="1" width="2.42578125" customWidth="1"/>
    <col min="2" max="2" width="36.42578125" customWidth="1"/>
    <col min="4" max="4" width="8.85546875" customWidth="1"/>
    <col min="7" max="7" width="2.42578125" customWidth="1"/>
    <col min="8" max="8" width="6.5703125" style="15" bestFit="1" customWidth="1"/>
    <col min="9" max="9" width="60.7109375" customWidth="1"/>
    <col min="10" max="12" width="11.28515625" customWidth="1"/>
    <col min="13" max="13" width="6.5703125" style="15" bestFit="1" customWidth="1"/>
    <col min="14" max="14" width="60.7109375" customWidth="1"/>
    <col min="15" max="17" width="11.28515625" customWidth="1"/>
    <col min="18" max="18" width="6.5703125" style="15" bestFit="1" customWidth="1"/>
    <col min="19" max="19" width="60.7109375" customWidth="1"/>
    <col min="20" max="22" width="11.28515625" customWidth="1"/>
    <col min="23" max="23" width="6.5703125" style="15" bestFit="1" customWidth="1"/>
    <col min="24" max="24" width="60.7109375" customWidth="1"/>
    <col min="25" max="27" width="11.28515625" customWidth="1"/>
    <col min="28" max="28" width="6.5703125" style="15" bestFit="1" customWidth="1"/>
    <col min="29" max="29" width="60.7109375" customWidth="1"/>
    <col min="30" max="32" width="11.28515625" customWidth="1"/>
    <col min="33" max="33" width="6.5703125" style="15" bestFit="1" customWidth="1"/>
    <col min="34" max="34" width="60.7109375" customWidth="1"/>
    <col min="35" max="37" width="11.28515625" customWidth="1"/>
    <col min="38" max="38" width="5.7109375" style="15" customWidth="1"/>
    <col min="39" max="39" width="60.7109375" customWidth="1"/>
    <col min="40" max="42" width="11.28515625" customWidth="1"/>
    <col min="43" max="43" width="5.7109375" style="15" customWidth="1"/>
    <col min="44" max="44" width="60.7109375" customWidth="1"/>
    <col min="45" max="47" width="11.28515625" customWidth="1"/>
    <col min="48" max="48" width="5.7109375" style="15" customWidth="1"/>
    <col min="49" max="49" width="60.7109375" customWidth="1"/>
    <col min="50" max="52" width="11.28515625" customWidth="1"/>
    <col min="53" max="53" width="5.7109375" style="15" customWidth="1"/>
    <col min="54" max="54" width="60.7109375" customWidth="1"/>
    <col min="55" max="57" width="11.28515625" customWidth="1"/>
  </cols>
  <sheetData>
    <row r="1" spans="2:57" s="1" customFormat="1" ht="47.45" customHeight="1">
      <c r="C1" s="16"/>
      <c r="D1" s="16"/>
      <c r="E1" s="16"/>
      <c r="F1" s="16"/>
      <c r="G1" s="16"/>
      <c r="H1" s="46" t="str">
        <f>'YAMAZUMI цеха'!H1</f>
        <v>YAMAZUMI ""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</row>
    <row r="2" spans="2:57" s="1" customFormat="1" ht="51.6" customHeight="1">
      <c r="H2" s="47" t="s">
        <v>12</v>
      </c>
      <c r="I2" s="47"/>
      <c r="J2" s="47"/>
      <c r="K2" s="47"/>
      <c r="L2" s="2"/>
      <c r="M2" s="47" t="s">
        <v>6</v>
      </c>
      <c r="N2" s="47"/>
      <c r="O2" s="47"/>
      <c r="P2" s="47"/>
      <c r="Q2" s="2"/>
      <c r="R2" s="47" t="s">
        <v>7</v>
      </c>
      <c r="S2" s="47"/>
      <c r="T2" s="47"/>
      <c r="U2" s="2"/>
      <c r="V2" s="47" t="s">
        <v>0</v>
      </c>
      <c r="W2" s="47"/>
      <c r="X2" s="47"/>
      <c r="Y2" s="2"/>
      <c r="Z2" s="47" t="s">
        <v>13</v>
      </c>
      <c r="AA2" s="47"/>
      <c r="AB2" s="47"/>
      <c r="AC2" s="30">
        <f>MAX(E5:E14)*1.1</f>
        <v>0</v>
      </c>
      <c r="AE2" s="41" t="s">
        <v>30</v>
      </c>
      <c r="AF2" s="41"/>
      <c r="AG2" s="4"/>
      <c r="AL2" s="4"/>
      <c r="AQ2" s="4"/>
      <c r="AV2" s="4"/>
      <c r="BA2" s="4"/>
    </row>
    <row r="3" spans="2:57" s="1" customFormat="1" ht="51.6" customHeight="1">
      <c r="H3" s="47">
        <f>COUNTA(I18:I153,N18:N153,S18:S153,X18:X153,AC18:AC153)</f>
        <v>0</v>
      </c>
      <c r="I3" s="47"/>
      <c r="J3" s="47"/>
      <c r="K3" s="47"/>
      <c r="L3" s="2"/>
      <c r="M3" s="47">
        <f>COUNTA(I18,N18,S18,X18,AC18)</f>
        <v>0</v>
      </c>
      <c r="N3" s="47"/>
      <c r="O3" s="47"/>
      <c r="P3" s="47"/>
      <c r="Q3" s="2"/>
      <c r="R3" s="48">
        <f>'YAMAZUMI цеха'!R3</f>
        <v>0</v>
      </c>
      <c r="S3" s="47"/>
      <c r="T3" s="47"/>
      <c r="U3" s="2"/>
      <c r="V3" s="47"/>
      <c r="W3" s="47"/>
      <c r="X3" s="47"/>
      <c r="Y3" s="2"/>
      <c r="Z3" s="47" t="s">
        <v>8</v>
      </c>
      <c r="AA3" s="47"/>
      <c r="AB3" s="47"/>
      <c r="AC3" s="30">
        <f>MAX(E5:E14)</f>
        <v>0</v>
      </c>
      <c r="AE3" s="42" t="e">
        <f>26700/AC2</f>
        <v>#DIV/0!</v>
      </c>
      <c r="AF3" s="42"/>
      <c r="AG3" s="4"/>
      <c r="AL3" s="4"/>
      <c r="AQ3" s="4"/>
      <c r="AV3" s="4"/>
      <c r="BA3" s="4"/>
    </row>
    <row r="4" spans="2:57" s="1" customFormat="1" ht="81.599999999999994" customHeight="1">
      <c r="B4" s="28" t="s">
        <v>9</v>
      </c>
      <c r="C4" s="6" t="s">
        <v>2</v>
      </c>
      <c r="D4" s="6" t="s">
        <v>3</v>
      </c>
      <c r="E4" s="6" t="s">
        <v>10</v>
      </c>
      <c r="F4" s="6" t="s">
        <v>5</v>
      </c>
      <c r="H4" s="4"/>
      <c r="M4" s="4"/>
      <c r="R4" s="4"/>
      <c r="W4" s="4"/>
      <c r="AB4" s="4"/>
      <c r="AG4" s="4"/>
      <c r="AL4" s="4"/>
      <c r="AQ4" s="4"/>
      <c r="AV4" s="4"/>
      <c r="BA4" s="4"/>
    </row>
    <row r="5" spans="2:57" s="1" customFormat="1" ht="51.6" customHeight="1">
      <c r="B5" s="7" t="s">
        <v>20</v>
      </c>
      <c r="C5" s="30">
        <f>J17</f>
        <v>0</v>
      </c>
      <c r="D5" s="30">
        <f>K17</f>
        <v>0</v>
      </c>
      <c r="E5" s="30">
        <f>L17</f>
        <v>0</v>
      </c>
      <c r="F5" s="30">
        <f>AC2</f>
        <v>0</v>
      </c>
      <c r="H5" s="4"/>
      <c r="M5" s="4"/>
      <c r="R5" s="4"/>
      <c r="W5" s="4"/>
      <c r="AB5" s="4"/>
      <c r="AG5" s="4"/>
      <c r="AL5" s="4"/>
      <c r="AQ5" s="4"/>
      <c r="AV5" s="4"/>
      <c r="BA5" s="4"/>
    </row>
    <row r="6" spans="2:57" s="1" customFormat="1" ht="51.6" customHeight="1">
      <c r="B6" s="7" t="s">
        <v>21</v>
      </c>
      <c r="C6" s="30">
        <f>O17</f>
        <v>0</v>
      </c>
      <c r="D6" s="30">
        <f>P17</f>
        <v>0</v>
      </c>
      <c r="E6" s="30">
        <f>Q17</f>
        <v>0</v>
      </c>
      <c r="F6" s="30">
        <f>AC2</f>
        <v>0</v>
      </c>
      <c r="H6" s="4"/>
      <c r="M6" s="4"/>
      <c r="R6" s="4"/>
      <c r="W6" s="4"/>
      <c r="AB6" s="4"/>
      <c r="AG6" s="4"/>
      <c r="AL6" s="4"/>
      <c r="AQ6" s="4"/>
      <c r="AV6" s="4"/>
      <c r="BA6" s="4"/>
    </row>
    <row r="7" spans="2:57" s="1" customFormat="1" ht="51.6" customHeight="1">
      <c r="B7" s="7" t="s">
        <v>22</v>
      </c>
      <c r="C7" s="30">
        <f>T17</f>
        <v>0</v>
      </c>
      <c r="D7" s="30">
        <f>U17</f>
        <v>0</v>
      </c>
      <c r="E7" s="30">
        <f>V17</f>
        <v>0</v>
      </c>
      <c r="F7" s="30">
        <f>AC2</f>
        <v>0</v>
      </c>
      <c r="H7" s="4"/>
      <c r="M7" s="4"/>
      <c r="R7" s="4"/>
      <c r="W7" s="4"/>
      <c r="AB7" s="4"/>
      <c r="AG7" s="4"/>
      <c r="AL7" s="4"/>
      <c r="AQ7" s="4"/>
      <c r="AV7" s="4"/>
      <c r="BA7" s="4"/>
    </row>
    <row r="8" spans="2:57" s="1" customFormat="1" ht="51.6" customHeight="1">
      <c r="B8" s="7" t="s">
        <v>23</v>
      </c>
      <c r="C8" s="30">
        <f>Y17</f>
        <v>0</v>
      </c>
      <c r="D8" s="30">
        <f>Z17</f>
        <v>0</v>
      </c>
      <c r="E8" s="30">
        <f>AA17</f>
        <v>0</v>
      </c>
      <c r="F8" s="30">
        <f>AC2</f>
        <v>0</v>
      </c>
      <c r="H8" s="4"/>
      <c r="M8" s="4"/>
      <c r="R8" s="4"/>
      <c r="W8" s="4"/>
      <c r="AB8" s="4"/>
      <c r="AG8" s="4"/>
      <c r="AL8" s="4"/>
      <c r="AQ8" s="4"/>
      <c r="AV8" s="4"/>
      <c r="BA8" s="4"/>
    </row>
    <row r="9" spans="2:57" s="1" customFormat="1" ht="51.6" customHeight="1">
      <c r="B9" s="7" t="s">
        <v>24</v>
      </c>
      <c r="C9" s="30">
        <f>AD17</f>
        <v>0</v>
      </c>
      <c r="D9" s="30">
        <f>AE17</f>
        <v>0</v>
      </c>
      <c r="E9" s="30">
        <f>AF17</f>
        <v>0</v>
      </c>
      <c r="F9" s="30">
        <f>AC2</f>
        <v>0</v>
      </c>
      <c r="H9" s="4"/>
      <c r="M9" s="4"/>
      <c r="R9" s="4"/>
      <c r="W9" s="4"/>
      <c r="AB9" s="4"/>
      <c r="AG9" s="4"/>
      <c r="AL9" s="4"/>
      <c r="AQ9" s="4"/>
      <c r="AV9" s="4"/>
      <c r="BA9" s="4"/>
    </row>
    <row r="10" spans="2:57" s="1" customFormat="1" ht="51.6" customHeight="1">
      <c r="B10" s="7" t="s">
        <v>25</v>
      </c>
      <c r="C10" s="30">
        <f>AI17</f>
        <v>0</v>
      </c>
      <c r="D10" s="30">
        <f>AJ17</f>
        <v>0</v>
      </c>
      <c r="E10" s="30">
        <f>AK17</f>
        <v>0</v>
      </c>
      <c r="F10" s="30">
        <f>AC2</f>
        <v>0</v>
      </c>
      <c r="H10" s="4"/>
      <c r="M10" s="4"/>
      <c r="R10" s="4"/>
      <c r="W10" s="4"/>
      <c r="AB10" s="4"/>
      <c r="AG10" s="4"/>
      <c r="AL10" s="4"/>
      <c r="AQ10" s="4"/>
      <c r="AV10" s="4"/>
      <c r="BA10" s="4"/>
    </row>
    <row r="11" spans="2:57" s="1" customFormat="1" ht="51.6" customHeight="1">
      <c r="B11" s="7" t="s">
        <v>26</v>
      </c>
      <c r="C11" s="30">
        <f>AN17</f>
        <v>0</v>
      </c>
      <c r="D11" s="30">
        <f>AO17</f>
        <v>0</v>
      </c>
      <c r="E11" s="30">
        <f>AP17</f>
        <v>0</v>
      </c>
      <c r="F11" s="30">
        <f>AC2</f>
        <v>0</v>
      </c>
      <c r="H11" s="4"/>
      <c r="M11" s="4"/>
      <c r="R11" s="4"/>
      <c r="W11" s="4"/>
      <c r="AB11" s="4"/>
      <c r="AG11" s="4"/>
      <c r="AL11" s="4"/>
      <c r="AQ11" s="4"/>
      <c r="AV11" s="4"/>
      <c r="BA11" s="4"/>
    </row>
    <row r="12" spans="2:57" s="1" customFormat="1" ht="51.6" customHeight="1">
      <c r="B12" s="7" t="s">
        <v>27</v>
      </c>
      <c r="C12" s="30">
        <f>AS17</f>
        <v>0</v>
      </c>
      <c r="D12" s="30">
        <f>AT17</f>
        <v>0</v>
      </c>
      <c r="E12" s="30">
        <f>AU17</f>
        <v>0</v>
      </c>
      <c r="F12" s="30">
        <f>AC2</f>
        <v>0</v>
      </c>
      <c r="H12" s="4"/>
      <c r="M12" s="4"/>
      <c r="R12" s="4"/>
      <c r="W12" s="4"/>
      <c r="AB12" s="4"/>
      <c r="AG12" s="4"/>
      <c r="AL12" s="4"/>
      <c r="AQ12" s="4"/>
      <c r="AV12" s="4"/>
      <c r="BA12" s="4"/>
    </row>
    <row r="13" spans="2:57" s="1" customFormat="1" ht="51.6" customHeight="1">
      <c r="B13" s="7" t="s">
        <v>28</v>
      </c>
      <c r="C13" s="30">
        <f>AX17</f>
        <v>0</v>
      </c>
      <c r="D13" s="30">
        <f>AY17</f>
        <v>0</v>
      </c>
      <c r="E13" s="30">
        <f>AZ17</f>
        <v>0</v>
      </c>
      <c r="F13" s="30">
        <f>AC2</f>
        <v>0</v>
      </c>
      <c r="H13" s="4"/>
      <c r="M13" s="4"/>
      <c r="R13" s="4"/>
      <c r="W13" s="4"/>
      <c r="AB13" s="4"/>
      <c r="AG13" s="4"/>
      <c r="AL13" s="4"/>
      <c r="AQ13" s="4"/>
      <c r="AV13" s="4"/>
      <c r="BA13" s="4"/>
    </row>
    <row r="14" spans="2:57" s="1" customFormat="1" ht="51.6" customHeight="1">
      <c r="B14" s="7" t="s">
        <v>29</v>
      </c>
      <c r="C14" s="30">
        <f>BC17</f>
        <v>0</v>
      </c>
      <c r="D14" s="30">
        <f>BD17</f>
        <v>0</v>
      </c>
      <c r="E14" s="30">
        <f>BE17</f>
        <v>0</v>
      </c>
      <c r="F14" s="30">
        <f>AC2</f>
        <v>0</v>
      </c>
      <c r="H14" s="4"/>
      <c r="M14" s="4"/>
      <c r="R14" s="4"/>
      <c r="W14" s="4"/>
      <c r="AB14" s="4"/>
      <c r="AG14" s="4"/>
      <c r="AL14" s="4"/>
      <c r="AQ14" s="4"/>
      <c r="AV14" s="4"/>
      <c r="BA14" s="4"/>
    </row>
    <row r="15" spans="2:57" s="1" customFormat="1" ht="15.75">
      <c r="H15" s="4"/>
      <c r="M15" s="4"/>
      <c r="R15" s="4"/>
      <c r="W15" s="4"/>
      <c r="AB15" s="4"/>
      <c r="AG15" s="4"/>
      <c r="AL15" s="4"/>
      <c r="AQ15" s="4"/>
      <c r="AV15" s="4"/>
      <c r="BA15" s="4"/>
    </row>
    <row r="16" spans="2:57" s="2" customFormat="1" ht="94.15" customHeight="1">
      <c r="H16" s="43" t="s">
        <v>1</v>
      </c>
      <c r="I16" s="30" t="s">
        <v>20</v>
      </c>
      <c r="J16" s="8" t="s">
        <v>2</v>
      </c>
      <c r="K16" s="8" t="s">
        <v>3</v>
      </c>
      <c r="L16" s="8" t="s">
        <v>10</v>
      </c>
      <c r="M16" s="43" t="s">
        <v>1</v>
      </c>
      <c r="N16" s="30" t="s">
        <v>21</v>
      </c>
      <c r="O16" s="8" t="s">
        <v>2</v>
      </c>
      <c r="P16" s="8" t="s">
        <v>3</v>
      </c>
      <c r="Q16" s="8" t="s">
        <v>10</v>
      </c>
      <c r="R16" s="43" t="s">
        <v>1</v>
      </c>
      <c r="S16" s="30" t="s">
        <v>22</v>
      </c>
      <c r="T16" s="8" t="s">
        <v>2</v>
      </c>
      <c r="U16" s="8" t="s">
        <v>3</v>
      </c>
      <c r="V16" s="8" t="s">
        <v>10</v>
      </c>
      <c r="W16" s="43" t="s">
        <v>1</v>
      </c>
      <c r="X16" s="30" t="s">
        <v>23</v>
      </c>
      <c r="Y16" s="8" t="s">
        <v>2</v>
      </c>
      <c r="Z16" s="8" t="s">
        <v>3</v>
      </c>
      <c r="AA16" s="8" t="s">
        <v>10</v>
      </c>
      <c r="AB16" s="43" t="s">
        <v>1</v>
      </c>
      <c r="AC16" s="30" t="s">
        <v>24</v>
      </c>
      <c r="AD16" s="8" t="s">
        <v>2</v>
      </c>
      <c r="AE16" s="8" t="s">
        <v>3</v>
      </c>
      <c r="AF16" s="8" t="s">
        <v>10</v>
      </c>
      <c r="AG16" s="43" t="s">
        <v>1</v>
      </c>
      <c r="AH16" s="30" t="s">
        <v>25</v>
      </c>
      <c r="AI16" s="8" t="s">
        <v>2</v>
      </c>
      <c r="AJ16" s="8" t="s">
        <v>3</v>
      </c>
      <c r="AK16" s="8" t="s">
        <v>10</v>
      </c>
      <c r="AL16" s="43" t="s">
        <v>1</v>
      </c>
      <c r="AM16" s="30" t="s">
        <v>26</v>
      </c>
      <c r="AN16" s="8" t="s">
        <v>2</v>
      </c>
      <c r="AO16" s="8" t="s">
        <v>3</v>
      </c>
      <c r="AP16" s="8" t="s">
        <v>10</v>
      </c>
      <c r="AQ16" s="43" t="s">
        <v>1</v>
      </c>
      <c r="AR16" s="30" t="s">
        <v>27</v>
      </c>
      <c r="AS16" s="8" t="s">
        <v>2</v>
      </c>
      <c r="AT16" s="8" t="s">
        <v>3</v>
      </c>
      <c r="AU16" s="8" t="s">
        <v>10</v>
      </c>
      <c r="AV16" s="43" t="s">
        <v>1</v>
      </c>
      <c r="AW16" s="30" t="s">
        <v>28</v>
      </c>
      <c r="AX16" s="8" t="s">
        <v>2</v>
      </c>
      <c r="AY16" s="8" t="s">
        <v>3</v>
      </c>
      <c r="AZ16" s="8" t="s">
        <v>10</v>
      </c>
      <c r="BA16" s="43" t="s">
        <v>1</v>
      </c>
      <c r="BB16" s="30" t="s">
        <v>29</v>
      </c>
      <c r="BC16" s="8" t="s">
        <v>2</v>
      </c>
      <c r="BD16" s="8" t="s">
        <v>3</v>
      </c>
      <c r="BE16" s="8" t="s">
        <v>10</v>
      </c>
    </row>
    <row r="17" spans="1:57" s="2" customFormat="1" ht="63.6" customHeight="1">
      <c r="H17" s="43"/>
      <c r="I17" s="28" t="s">
        <v>4</v>
      </c>
      <c r="J17" s="9">
        <f>SUM(J18:J73)</f>
        <v>0</v>
      </c>
      <c r="K17" s="9">
        <f>SUM(K18:K73)</f>
        <v>0</v>
      </c>
      <c r="L17" s="9">
        <f>SUM(L18:L73)</f>
        <v>0</v>
      </c>
      <c r="M17" s="43"/>
      <c r="N17" s="28" t="s">
        <v>4</v>
      </c>
      <c r="O17" s="9">
        <f>SUM(O18:O73)</f>
        <v>0</v>
      </c>
      <c r="P17" s="9">
        <f>SUM(P18:P73)</f>
        <v>0</v>
      </c>
      <c r="Q17" s="9">
        <f>SUM(Q18:Q73)</f>
        <v>0</v>
      </c>
      <c r="R17" s="43"/>
      <c r="S17" s="28" t="s">
        <v>4</v>
      </c>
      <c r="T17" s="9">
        <f>SUM(T18:T73)</f>
        <v>0</v>
      </c>
      <c r="U17" s="9">
        <f>SUM(U18:U73)</f>
        <v>0</v>
      </c>
      <c r="V17" s="9">
        <f>SUM(V18:V73)</f>
        <v>0</v>
      </c>
      <c r="W17" s="43"/>
      <c r="X17" s="28" t="s">
        <v>4</v>
      </c>
      <c r="Y17" s="9">
        <f>SUM(Y18:Y73)</f>
        <v>0</v>
      </c>
      <c r="Z17" s="9">
        <f>SUM(Z18:Z73)</f>
        <v>0</v>
      </c>
      <c r="AA17" s="9">
        <f>SUM(AA18:AA73)</f>
        <v>0</v>
      </c>
      <c r="AB17" s="43"/>
      <c r="AC17" s="28" t="s">
        <v>4</v>
      </c>
      <c r="AD17" s="9">
        <f>SUM(AD18:AD73)</f>
        <v>0</v>
      </c>
      <c r="AE17" s="9">
        <f>SUM(AE18:AE73)</f>
        <v>0</v>
      </c>
      <c r="AF17" s="9">
        <f>SUM(AF18:AF73)</f>
        <v>0</v>
      </c>
      <c r="AG17" s="43"/>
      <c r="AH17" s="28" t="s">
        <v>4</v>
      </c>
      <c r="AI17" s="9">
        <f>SUM(AI18:AI73)</f>
        <v>0</v>
      </c>
      <c r="AJ17" s="9">
        <f>SUM(AJ18:AJ73)</f>
        <v>0</v>
      </c>
      <c r="AK17" s="9">
        <f>SUM(AK18:AK73)</f>
        <v>0</v>
      </c>
      <c r="AL17" s="43"/>
      <c r="AM17" s="28" t="s">
        <v>4</v>
      </c>
      <c r="AN17" s="9">
        <f>SUM(AN18:AN73)</f>
        <v>0</v>
      </c>
      <c r="AO17" s="9">
        <f>SUM(AO18:AO73)</f>
        <v>0</v>
      </c>
      <c r="AP17" s="9">
        <f>SUM(AP18:AP73)</f>
        <v>0</v>
      </c>
      <c r="AQ17" s="43"/>
      <c r="AR17" s="28" t="s">
        <v>4</v>
      </c>
      <c r="AS17" s="9">
        <f>SUM(AS18:AS73)</f>
        <v>0</v>
      </c>
      <c r="AT17" s="9">
        <f>SUM(AT18:AT73)</f>
        <v>0</v>
      </c>
      <c r="AU17" s="9">
        <f>SUM(AU18:AU73)</f>
        <v>0</v>
      </c>
      <c r="AV17" s="43"/>
      <c r="AW17" s="28" t="s">
        <v>4</v>
      </c>
      <c r="AX17" s="9">
        <f>SUM(AX18:AX73)</f>
        <v>0</v>
      </c>
      <c r="AY17" s="9">
        <f>SUM(AY18:AY73)</f>
        <v>0</v>
      </c>
      <c r="AZ17" s="9">
        <f>SUM(AZ18:AZ73)</f>
        <v>0</v>
      </c>
      <c r="BA17" s="43"/>
      <c r="BB17" s="28" t="s">
        <v>4</v>
      </c>
      <c r="BC17" s="9">
        <f>SUM(BC18:BC73)</f>
        <v>0</v>
      </c>
      <c r="BD17" s="9">
        <f>SUM(BD18:BD73)</f>
        <v>0</v>
      </c>
      <c r="BE17" s="9">
        <f>SUM(BE18:BE73)</f>
        <v>0</v>
      </c>
    </row>
    <row r="18" spans="1:57" s="2" customFormat="1" ht="90" customHeight="1">
      <c r="H18" s="29">
        <v>1</v>
      </c>
      <c r="I18" s="11"/>
      <c r="J18" s="12"/>
      <c r="K18" s="12"/>
      <c r="L18" s="12">
        <f>SUM(J18:K18)</f>
        <v>0</v>
      </c>
      <c r="M18" s="29">
        <v>1</v>
      </c>
      <c r="N18" s="11"/>
      <c r="O18" s="12"/>
      <c r="P18" s="12"/>
      <c r="Q18" s="12">
        <f>SUM(O18:P18)</f>
        <v>0</v>
      </c>
      <c r="R18" s="29">
        <v>1</v>
      </c>
      <c r="S18" s="13"/>
      <c r="T18" s="14"/>
      <c r="U18" s="14"/>
      <c r="V18" s="12">
        <f>SUM(T18:U18)</f>
        <v>0</v>
      </c>
      <c r="W18" s="29">
        <v>1</v>
      </c>
      <c r="X18" s="13"/>
      <c r="Y18" s="14"/>
      <c r="Z18" s="14"/>
      <c r="AA18" s="12">
        <f>SUM(Y18:Z18)</f>
        <v>0</v>
      </c>
      <c r="AB18" s="29">
        <v>1</v>
      </c>
      <c r="AC18" s="11"/>
      <c r="AD18" s="12"/>
      <c r="AE18" s="12"/>
      <c r="AF18" s="12">
        <f>SUM(AD18:AE18)</f>
        <v>0</v>
      </c>
      <c r="AG18" s="29">
        <v>1</v>
      </c>
      <c r="AH18" s="11"/>
      <c r="AI18" s="12"/>
      <c r="AJ18" s="12"/>
      <c r="AK18" s="12">
        <f>SUM(AI18:AJ18)</f>
        <v>0</v>
      </c>
      <c r="AL18" s="29">
        <v>1</v>
      </c>
      <c r="AM18" s="11"/>
      <c r="AN18" s="12"/>
      <c r="AO18" s="12"/>
      <c r="AP18" s="12">
        <f>SUM(AN18:AO18)</f>
        <v>0</v>
      </c>
      <c r="AQ18" s="29">
        <v>1</v>
      </c>
      <c r="AR18" s="11"/>
      <c r="AS18" s="12"/>
      <c r="AT18" s="12"/>
      <c r="AU18" s="12">
        <f>SUM(AS18:AT18)</f>
        <v>0</v>
      </c>
      <c r="AV18" s="29">
        <v>1</v>
      </c>
      <c r="AW18" s="11"/>
      <c r="AX18" s="12"/>
      <c r="AY18" s="12"/>
      <c r="AZ18" s="12">
        <f>SUM(AX18:AY18)</f>
        <v>0</v>
      </c>
      <c r="BA18" s="29">
        <v>1</v>
      </c>
      <c r="BB18" s="11"/>
      <c r="BC18" s="12"/>
      <c r="BD18" s="12"/>
      <c r="BE18" s="12">
        <f>SUM(BC18:BD18)</f>
        <v>0</v>
      </c>
    </row>
    <row r="19" spans="1:57" s="2" customFormat="1" ht="90" customHeight="1">
      <c r="H19" s="28">
        <v>2</v>
      </c>
      <c r="I19" s="13"/>
      <c r="J19" s="14"/>
      <c r="K19" s="14"/>
      <c r="L19" s="14">
        <f t="shared" ref="L19:L73" si="0">SUM(J19:K19)</f>
        <v>0</v>
      </c>
      <c r="M19" s="28">
        <v>2</v>
      </c>
      <c r="N19" s="13"/>
      <c r="O19" s="14"/>
      <c r="P19" s="14"/>
      <c r="Q19" s="14">
        <f t="shared" ref="Q19:Q73" si="1">SUM(O19:P19)</f>
        <v>0</v>
      </c>
      <c r="R19" s="28">
        <v>2</v>
      </c>
      <c r="S19" s="11"/>
      <c r="T19" s="12"/>
      <c r="U19" s="12"/>
      <c r="V19" s="14">
        <f t="shared" ref="V19:V73" si="2">SUM(T19:U19)</f>
        <v>0</v>
      </c>
      <c r="W19" s="28">
        <v>2</v>
      </c>
      <c r="X19" s="11"/>
      <c r="Y19" s="12"/>
      <c r="Z19" s="12"/>
      <c r="AA19" s="14">
        <f t="shared" ref="AA19:AA73" si="3">SUM(Y19:Z19)</f>
        <v>0</v>
      </c>
      <c r="AB19" s="28">
        <v>2</v>
      </c>
      <c r="AC19" s="13"/>
      <c r="AD19" s="14"/>
      <c r="AE19" s="14"/>
      <c r="AF19" s="14">
        <f t="shared" ref="AF19:AF73" si="4">SUM(AD19:AE19)</f>
        <v>0</v>
      </c>
      <c r="AG19" s="28">
        <v>2</v>
      </c>
      <c r="AH19" s="13"/>
      <c r="AI19" s="14"/>
      <c r="AJ19" s="14"/>
      <c r="AK19" s="14">
        <f t="shared" ref="AK19:AK73" si="5">SUM(AI19:AJ19)</f>
        <v>0</v>
      </c>
      <c r="AL19" s="28">
        <v>2</v>
      </c>
      <c r="AM19" s="13"/>
      <c r="AN19" s="14"/>
      <c r="AO19" s="14"/>
      <c r="AP19" s="14">
        <f t="shared" ref="AP19:AP73" si="6">SUM(AN19:AO19)</f>
        <v>0</v>
      </c>
      <c r="AQ19" s="28">
        <v>2</v>
      </c>
      <c r="AR19" s="13"/>
      <c r="AS19" s="14"/>
      <c r="AT19" s="14"/>
      <c r="AU19" s="14">
        <f t="shared" ref="AU19:AU73" si="7">SUM(AS19:AT19)</f>
        <v>0</v>
      </c>
      <c r="AV19" s="28">
        <v>2</v>
      </c>
      <c r="AW19" s="13"/>
      <c r="AX19" s="14"/>
      <c r="AY19" s="14"/>
      <c r="AZ19" s="14">
        <f t="shared" ref="AZ19:AZ73" si="8">SUM(AX19:AY19)</f>
        <v>0</v>
      </c>
      <c r="BA19" s="28">
        <v>2</v>
      </c>
      <c r="BB19" s="13"/>
      <c r="BC19" s="14"/>
      <c r="BD19" s="14"/>
      <c r="BE19" s="14">
        <f t="shared" ref="BE19:BE73" si="9">SUM(BC19:BD19)</f>
        <v>0</v>
      </c>
    </row>
    <row r="20" spans="1:57" s="2" customFormat="1" ht="90" customHeight="1">
      <c r="A20" s="18"/>
      <c r="H20" s="28">
        <v>3</v>
      </c>
      <c r="I20" s="13"/>
      <c r="J20" s="14"/>
      <c r="K20" s="14"/>
      <c r="L20" s="14">
        <f t="shared" si="0"/>
        <v>0</v>
      </c>
      <c r="M20" s="28">
        <v>3</v>
      </c>
      <c r="N20" s="13"/>
      <c r="O20" s="14"/>
      <c r="P20" s="14"/>
      <c r="Q20" s="14">
        <f t="shared" si="1"/>
        <v>0</v>
      </c>
      <c r="R20" s="28">
        <v>3</v>
      </c>
      <c r="S20" s="13"/>
      <c r="T20" s="14"/>
      <c r="U20" s="14"/>
      <c r="V20" s="14">
        <f t="shared" si="2"/>
        <v>0</v>
      </c>
      <c r="W20" s="28">
        <v>3</v>
      </c>
      <c r="X20" s="13"/>
      <c r="Y20" s="14"/>
      <c r="Z20" s="14"/>
      <c r="AA20" s="14">
        <f t="shared" si="3"/>
        <v>0</v>
      </c>
      <c r="AB20" s="28">
        <v>3</v>
      </c>
      <c r="AC20" s="13"/>
      <c r="AD20" s="14"/>
      <c r="AE20" s="14"/>
      <c r="AF20" s="14">
        <f t="shared" si="4"/>
        <v>0</v>
      </c>
      <c r="AG20" s="28">
        <v>3</v>
      </c>
      <c r="AH20" s="13"/>
      <c r="AI20" s="14"/>
      <c r="AJ20" s="14"/>
      <c r="AK20" s="14">
        <f t="shared" si="5"/>
        <v>0</v>
      </c>
      <c r="AL20" s="28">
        <v>3</v>
      </c>
      <c r="AM20" s="13"/>
      <c r="AN20" s="14"/>
      <c r="AO20" s="14"/>
      <c r="AP20" s="14">
        <f t="shared" si="6"/>
        <v>0</v>
      </c>
      <c r="AQ20" s="28">
        <v>3</v>
      </c>
      <c r="AR20" s="13"/>
      <c r="AS20" s="14"/>
      <c r="AT20" s="14"/>
      <c r="AU20" s="14">
        <f t="shared" si="7"/>
        <v>0</v>
      </c>
      <c r="AV20" s="28">
        <v>3</v>
      </c>
      <c r="AW20" s="13"/>
      <c r="AX20" s="14"/>
      <c r="AY20" s="14"/>
      <c r="AZ20" s="14">
        <f t="shared" si="8"/>
        <v>0</v>
      </c>
      <c r="BA20" s="28">
        <v>3</v>
      </c>
      <c r="BB20" s="13"/>
      <c r="BC20" s="14"/>
      <c r="BD20" s="14"/>
      <c r="BE20" s="14">
        <f t="shared" si="9"/>
        <v>0</v>
      </c>
    </row>
    <row r="21" spans="1:57" s="2" customFormat="1" ht="90" customHeight="1">
      <c r="H21" s="28">
        <v>4</v>
      </c>
      <c r="I21" s="13"/>
      <c r="J21" s="14"/>
      <c r="K21" s="14"/>
      <c r="L21" s="14">
        <f t="shared" si="0"/>
        <v>0</v>
      </c>
      <c r="M21" s="28">
        <v>4</v>
      </c>
      <c r="N21" s="13"/>
      <c r="O21" s="14"/>
      <c r="P21" s="14"/>
      <c r="Q21" s="14">
        <f t="shared" si="1"/>
        <v>0</v>
      </c>
      <c r="R21" s="28">
        <v>4</v>
      </c>
      <c r="S21" s="13"/>
      <c r="T21" s="14"/>
      <c r="U21" s="14"/>
      <c r="V21" s="14">
        <f t="shared" si="2"/>
        <v>0</v>
      </c>
      <c r="W21" s="28">
        <v>4</v>
      </c>
      <c r="X21" s="13"/>
      <c r="Y21" s="14"/>
      <c r="Z21" s="14"/>
      <c r="AA21" s="14">
        <f t="shared" si="3"/>
        <v>0</v>
      </c>
      <c r="AB21" s="28">
        <v>4</v>
      </c>
      <c r="AC21" s="13"/>
      <c r="AD21" s="14"/>
      <c r="AE21" s="14"/>
      <c r="AF21" s="14">
        <f t="shared" si="4"/>
        <v>0</v>
      </c>
      <c r="AG21" s="28">
        <v>4</v>
      </c>
      <c r="AH21" s="13"/>
      <c r="AI21" s="14"/>
      <c r="AJ21" s="14"/>
      <c r="AK21" s="14">
        <f t="shared" si="5"/>
        <v>0</v>
      </c>
      <c r="AL21" s="28">
        <v>4</v>
      </c>
      <c r="AM21" s="13"/>
      <c r="AN21" s="14"/>
      <c r="AO21" s="14"/>
      <c r="AP21" s="14">
        <f t="shared" si="6"/>
        <v>0</v>
      </c>
      <c r="AQ21" s="28">
        <v>4</v>
      </c>
      <c r="AR21" s="13"/>
      <c r="AS21" s="14"/>
      <c r="AT21" s="14"/>
      <c r="AU21" s="14">
        <f t="shared" si="7"/>
        <v>0</v>
      </c>
      <c r="AV21" s="28">
        <v>4</v>
      </c>
      <c r="AW21" s="13"/>
      <c r="AX21" s="14"/>
      <c r="AY21" s="14"/>
      <c r="AZ21" s="14">
        <f t="shared" si="8"/>
        <v>0</v>
      </c>
      <c r="BA21" s="28">
        <v>4</v>
      </c>
      <c r="BB21" s="13"/>
      <c r="BC21" s="14"/>
      <c r="BD21" s="14"/>
      <c r="BE21" s="14">
        <f t="shared" si="9"/>
        <v>0</v>
      </c>
    </row>
    <row r="22" spans="1:57" s="2" customFormat="1" ht="90" customHeight="1">
      <c r="H22" s="28">
        <v>5</v>
      </c>
      <c r="I22" s="13"/>
      <c r="J22" s="14"/>
      <c r="K22" s="14"/>
      <c r="L22" s="14">
        <f t="shared" si="0"/>
        <v>0</v>
      </c>
      <c r="M22" s="28">
        <v>5</v>
      </c>
      <c r="N22" s="13"/>
      <c r="O22" s="14"/>
      <c r="P22" s="14"/>
      <c r="Q22" s="14">
        <f t="shared" si="1"/>
        <v>0</v>
      </c>
      <c r="R22" s="28">
        <v>5</v>
      </c>
      <c r="S22" s="26"/>
      <c r="T22" s="14"/>
      <c r="U22" s="14"/>
      <c r="V22" s="14">
        <f t="shared" si="2"/>
        <v>0</v>
      </c>
      <c r="W22" s="28">
        <v>5</v>
      </c>
      <c r="X22" s="13"/>
      <c r="Y22" s="14"/>
      <c r="Z22" s="14"/>
      <c r="AA22" s="14">
        <f t="shared" si="3"/>
        <v>0</v>
      </c>
      <c r="AB22" s="28">
        <v>5</v>
      </c>
      <c r="AC22" s="13"/>
      <c r="AD22" s="14"/>
      <c r="AE22" s="14"/>
      <c r="AF22" s="14">
        <f t="shared" si="4"/>
        <v>0</v>
      </c>
      <c r="AG22" s="28">
        <v>5</v>
      </c>
      <c r="AH22" s="13"/>
      <c r="AI22" s="14"/>
      <c r="AJ22" s="14"/>
      <c r="AK22" s="14">
        <f t="shared" si="5"/>
        <v>0</v>
      </c>
      <c r="AL22" s="28">
        <v>5</v>
      </c>
      <c r="AM22" s="13"/>
      <c r="AN22" s="14"/>
      <c r="AO22" s="14"/>
      <c r="AP22" s="14">
        <f t="shared" si="6"/>
        <v>0</v>
      </c>
      <c r="AQ22" s="28">
        <v>5</v>
      </c>
      <c r="AR22" s="13"/>
      <c r="AS22" s="14"/>
      <c r="AT22" s="14"/>
      <c r="AU22" s="14">
        <f t="shared" si="7"/>
        <v>0</v>
      </c>
      <c r="AV22" s="28">
        <v>5</v>
      </c>
      <c r="AW22" s="13"/>
      <c r="AX22" s="14"/>
      <c r="AY22" s="14"/>
      <c r="AZ22" s="14">
        <f t="shared" si="8"/>
        <v>0</v>
      </c>
      <c r="BA22" s="28">
        <v>5</v>
      </c>
      <c r="BB22" s="13"/>
      <c r="BC22" s="14"/>
      <c r="BD22" s="14"/>
      <c r="BE22" s="14">
        <f t="shared" si="9"/>
        <v>0</v>
      </c>
    </row>
    <row r="23" spans="1:57" s="2" customFormat="1" ht="90" customHeight="1">
      <c r="H23" s="28">
        <v>6</v>
      </c>
      <c r="I23" s="13"/>
      <c r="J23" s="14"/>
      <c r="K23" s="14"/>
      <c r="L23" s="14">
        <f t="shared" si="0"/>
        <v>0</v>
      </c>
      <c r="M23" s="28">
        <v>6</v>
      </c>
      <c r="N23" s="13"/>
      <c r="O23" s="14"/>
      <c r="P23" s="14"/>
      <c r="Q23" s="14">
        <f t="shared" si="1"/>
        <v>0</v>
      </c>
      <c r="R23" s="28">
        <v>6</v>
      </c>
      <c r="S23" s="13"/>
      <c r="T23" s="14"/>
      <c r="U23" s="14"/>
      <c r="V23" s="14">
        <f t="shared" si="2"/>
        <v>0</v>
      </c>
      <c r="W23" s="28">
        <v>6</v>
      </c>
      <c r="X23" s="13"/>
      <c r="Y23" s="14"/>
      <c r="Z23" s="14"/>
      <c r="AA23" s="14">
        <f t="shared" si="3"/>
        <v>0</v>
      </c>
      <c r="AB23" s="28">
        <v>6</v>
      </c>
      <c r="AC23" s="13"/>
      <c r="AD23" s="14"/>
      <c r="AE23" s="14"/>
      <c r="AF23" s="14">
        <f t="shared" si="4"/>
        <v>0</v>
      </c>
      <c r="AG23" s="28">
        <v>6</v>
      </c>
      <c r="AH23" s="13"/>
      <c r="AI23" s="14"/>
      <c r="AJ23" s="14"/>
      <c r="AK23" s="14">
        <f t="shared" si="5"/>
        <v>0</v>
      </c>
      <c r="AL23" s="28">
        <v>6</v>
      </c>
      <c r="AM23" s="13"/>
      <c r="AN23" s="14"/>
      <c r="AO23" s="14"/>
      <c r="AP23" s="14">
        <f t="shared" si="6"/>
        <v>0</v>
      </c>
      <c r="AQ23" s="28">
        <v>6</v>
      </c>
      <c r="AR23" s="13"/>
      <c r="AS23" s="14"/>
      <c r="AT23" s="14"/>
      <c r="AU23" s="14">
        <f t="shared" si="7"/>
        <v>0</v>
      </c>
      <c r="AV23" s="28">
        <v>6</v>
      </c>
      <c r="AW23" s="13"/>
      <c r="AX23" s="14"/>
      <c r="AY23" s="14"/>
      <c r="AZ23" s="14">
        <f t="shared" si="8"/>
        <v>0</v>
      </c>
      <c r="BA23" s="28">
        <v>6</v>
      </c>
      <c r="BB23" s="13"/>
      <c r="BC23" s="14"/>
      <c r="BD23" s="14"/>
      <c r="BE23" s="14">
        <f t="shared" si="9"/>
        <v>0</v>
      </c>
    </row>
    <row r="24" spans="1:57" s="2" customFormat="1" ht="90" customHeight="1">
      <c r="H24" s="28">
        <v>7</v>
      </c>
      <c r="I24" s="11"/>
      <c r="J24" s="12"/>
      <c r="K24" s="12"/>
      <c r="L24" s="14">
        <f t="shared" si="0"/>
        <v>0</v>
      </c>
      <c r="M24" s="28">
        <v>7</v>
      </c>
      <c r="N24" s="13"/>
      <c r="O24" s="14"/>
      <c r="P24" s="14"/>
      <c r="Q24" s="14">
        <f t="shared" si="1"/>
        <v>0</v>
      </c>
      <c r="R24" s="28">
        <v>7</v>
      </c>
      <c r="S24" s="13"/>
      <c r="T24" s="14"/>
      <c r="U24" s="14"/>
      <c r="V24" s="14">
        <f t="shared" si="2"/>
        <v>0</v>
      </c>
      <c r="W24" s="28">
        <v>7</v>
      </c>
      <c r="X24" s="13"/>
      <c r="Y24" s="14"/>
      <c r="Z24" s="14"/>
      <c r="AA24" s="14">
        <f t="shared" si="3"/>
        <v>0</v>
      </c>
      <c r="AB24" s="28">
        <v>7</v>
      </c>
      <c r="AC24" s="13"/>
      <c r="AD24" s="14"/>
      <c r="AE24" s="14"/>
      <c r="AF24" s="14">
        <f t="shared" si="4"/>
        <v>0</v>
      </c>
      <c r="AG24" s="28">
        <v>7</v>
      </c>
      <c r="AH24" s="13"/>
      <c r="AI24" s="14"/>
      <c r="AJ24" s="14"/>
      <c r="AK24" s="14">
        <f t="shared" si="5"/>
        <v>0</v>
      </c>
      <c r="AL24" s="28">
        <v>7</v>
      </c>
      <c r="AM24" s="13"/>
      <c r="AN24" s="14"/>
      <c r="AO24" s="14"/>
      <c r="AP24" s="14">
        <f t="shared" si="6"/>
        <v>0</v>
      </c>
      <c r="AQ24" s="28">
        <v>7</v>
      </c>
      <c r="AR24" s="13"/>
      <c r="AS24" s="14"/>
      <c r="AT24" s="14"/>
      <c r="AU24" s="14">
        <f t="shared" si="7"/>
        <v>0</v>
      </c>
      <c r="AV24" s="28">
        <v>7</v>
      </c>
      <c r="AW24" s="13"/>
      <c r="AX24" s="14"/>
      <c r="AY24" s="14"/>
      <c r="AZ24" s="14">
        <f t="shared" si="8"/>
        <v>0</v>
      </c>
      <c r="BA24" s="28">
        <v>7</v>
      </c>
      <c r="BB24" s="13"/>
      <c r="BC24" s="14"/>
      <c r="BD24" s="14"/>
      <c r="BE24" s="14">
        <f t="shared" si="9"/>
        <v>0</v>
      </c>
    </row>
    <row r="25" spans="1:57" s="2" customFormat="1" ht="90" customHeight="1">
      <c r="H25" s="28">
        <v>8</v>
      </c>
      <c r="I25" s="13"/>
      <c r="J25" s="14"/>
      <c r="K25" s="14"/>
      <c r="L25" s="14">
        <f t="shared" si="0"/>
        <v>0</v>
      </c>
      <c r="M25" s="28">
        <v>8</v>
      </c>
      <c r="N25" s="13"/>
      <c r="O25" s="14"/>
      <c r="P25" s="14"/>
      <c r="Q25" s="14">
        <f t="shared" si="1"/>
        <v>0</v>
      </c>
      <c r="R25" s="28">
        <v>8</v>
      </c>
      <c r="S25" s="13"/>
      <c r="T25" s="14"/>
      <c r="U25" s="14"/>
      <c r="V25" s="14">
        <f t="shared" si="2"/>
        <v>0</v>
      </c>
      <c r="W25" s="28">
        <v>8</v>
      </c>
      <c r="X25" s="13"/>
      <c r="Y25" s="14"/>
      <c r="Z25" s="14"/>
      <c r="AA25" s="14">
        <f t="shared" si="3"/>
        <v>0</v>
      </c>
      <c r="AB25" s="28">
        <v>8</v>
      </c>
      <c r="AC25" s="13"/>
      <c r="AD25" s="14"/>
      <c r="AE25" s="14"/>
      <c r="AF25" s="14">
        <f t="shared" si="4"/>
        <v>0</v>
      </c>
      <c r="AG25" s="28">
        <v>8</v>
      </c>
      <c r="AH25" s="13"/>
      <c r="AI25" s="14"/>
      <c r="AJ25" s="14"/>
      <c r="AK25" s="14">
        <f t="shared" si="5"/>
        <v>0</v>
      </c>
      <c r="AL25" s="28">
        <v>8</v>
      </c>
      <c r="AM25" s="13"/>
      <c r="AN25" s="14"/>
      <c r="AO25" s="14"/>
      <c r="AP25" s="14">
        <f t="shared" si="6"/>
        <v>0</v>
      </c>
      <c r="AQ25" s="28">
        <v>8</v>
      </c>
      <c r="AR25" s="13"/>
      <c r="AS25" s="14"/>
      <c r="AT25" s="14"/>
      <c r="AU25" s="14">
        <f t="shared" si="7"/>
        <v>0</v>
      </c>
      <c r="AV25" s="28">
        <v>8</v>
      </c>
      <c r="AW25" s="13"/>
      <c r="AX25" s="14"/>
      <c r="AY25" s="14"/>
      <c r="AZ25" s="14">
        <f t="shared" si="8"/>
        <v>0</v>
      </c>
      <c r="BA25" s="28">
        <v>8</v>
      </c>
      <c r="BB25" s="13"/>
      <c r="BC25" s="14"/>
      <c r="BD25" s="14"/>
      <c r="BE25" s="14">
        <f t="shared" si="9"/>
        <v>0</v>
      </c>
    </row>
    <row r="26" spans="1:57" s="2" customFormat="1" ht="90" customHeight="1">
      <c r="H26" s="28">
        <v>9</v>
      </c>
      <c r="I26" s="13"/>
      <c r="J26" s="14"/>
      <c r="K26" s="14"/>
      <c r="L26" s="14">
        <f t="shared" si="0"/>
        <v>0</v>
      </c>
      <c r="M26" s="28">
        <v>9</v>
      </c>
      <c r="N26" s="13"/>
      <c r="O26" s="14"/>
      <c r="P26" s="14"/>
      <c r="Q26" s="14">
        <f t="shared" si="1"/>
        <v>0</v>
      </c>
      <c r="R26" s="28">
        <v>9</v>
      </c>
      <c r="S26" s="13"/>
      <c r="T26" s="14"/>
      <c r="U26" s="14"/>
      <c r="V26" s="14">
        <f t="shared" si="2"/>
        <v>0</v>
      </c>
      <c r="W26" s="28">
        <v>9</v>
      </c>
      <c r="X26" s="13"/>
      <c r="Y26" s="14"/>
      <c r="Z26" s="14"/>
      <c r="AA26" s="14">
        <f t="shared" si="3"/>
        <v>0</v>
      </c>
      <c r="AB26" s="28">
        <v>9</v>
      </c>
      <c r="AC26" s="13"/>
      <c r="AD26" s="14"/>
      <c r="AE26" s="14"/>
      <c r="AF26" s="14">
        <f t="shared" si="4"/>
        <v>0</v>
      </c>
      <c r="AG26" s="28">
        <v>9</v>
      </c>
      <c r="AH26" s="13"/>
      <c r="AI26" s="14"/>
      <c r="AJ26" s="14"/>
      <c r="AK26" s="14">
        <f t="shared" si="5"/>
        <v>0</v>
      </c>
      <c r="AL26" s="28">
        <v>9</v>
      </c>
      <c r="AM26" s="13"/>
      <c r="AN26" s="14"/>
      <c r="AO26" s="14"/>
      <c r="AP26" s="14">
        <f t="shared" si="6"/>
        <v>0</v>
      </c>
      <c r="AQ26" s="28">
        <v>9</v>
      </c>
      <c r="AR26" s="13"/>
      <c r="AS26" s="14"/>
      <c r="AT26" s="14"/>
      <c r="AU26" s="14">
        <f t="shared" si="7"/>
        <v>0</v>
      </c>
      <c r="AV26" s="28">
        <v>9</v>
      </c>
      <c r="AW26" s="13"/>
      <c r="AX26" s="14"/>
      <c r="AY26" s="14"/>
      <c r="AZ26" s="14">
        <f t="shared" si="8"/>
        <v>0</v>
      </c>
      <c r="BA26" s="28">
        <v>9</v>
      </c>
      <c r="BB26" s="13"/>
      <c r="BC26" s="14"/>
      <c r="BD26" s="14"/>
      <c r="BE26" s="14">
        <f t="shared" si="9"/>
        <v>0</v>
      </c>
    </row>
    <row r="27" spans="1:57" s="2" customFormat="1" ht="85.15" customHeight="1">
      <c r="H27" s="28">
        <v>10</v>
      </c>
      <c r="I27" s="13"/>
      <c r="J27" s="14"/>
      <c r="K27" s="14"/>
      <c r="L27" s="14">
        <f t="shared" si="0"/>
        <v>0</v>
      </c>
      <c r="M27" s="28">
        <v>10</v>
      </c>
      <c r="N27" s="13"/>
      <c r="O27" s="14"/>
      <c r="P27" s="14"/>
      <c r="Q27" s="14">
        <f t="shared" si="1"/>
        <v>0</v>
      </c>
      <c r="R27" s="28">
        <v>10</v>
      </c>
      <c r="S27" s="13"/>
      <c r="T27" s="14"/>
      <c r="U27" s="14"/>
      <c r="V27" s="14">
        <f t="shared" si="2"/>
        <v>0</v>
      </c>
      <c r="W27" s="28">
        <v>10</v>
      </c>
      <c r="X27" s="13"/>
      <c r="Y27" s="14"/>
      <c r="Z27" s="14"/>
      <c r="AA27" s="14">
        <f t="shared" si="3"/>
        <v>0</v>
      </c>
      <c r="AB27" s="28">
        <v>10</v>
      </c>
      <c r="AC27" s="13"/>
      <c r="AD27" s="14"/>
      <c r="AE27" s="14"/>
      <c r="AF27" s="14">
        <f t="shared" si="4"/>
        <v>0</v>
      </c>
      <c r="AG27" s="28">
        <v>10</v>
      </c>
      <c r="AH27" s="13"/>
      <c r="AI27" s="14"/>
      <c r="AJ27" s="14"/>
      <c r="AK27" s="14">
        <f t="shared" si="5"/>
        <v>0</v>
      </c>
      <c r="AL27" s="28">
        <v>10</v>
      </c>
      <c r="AM27" s="13"/>
      <c r="AN27" s="14"/>
      <c r="AO27" s="14"/>
      <c r="AP27" s="14">
        <f t="shared" si="6"/>
        <v>0</v>
      </c>
      <c r="AQ27" s="28">
        <v>10</v>
      </c>
      <c r="AR27" s="13"/>
      <c r="AS27" s="14"/>
      <c r="AT27" s="14"/>
      <c r="AU27" s="14">
        <f t="shared" si="7"/>
        <v>0</v>
      </c>
      <c r="AV27" s="28">
        <v>10</v>
      </c>
      <c r="AW27" s="13"/>
      <c r="AX27" s="14"/>
      <c r="AY27" s="14"/>
      <c r="AZ27" s="14">
        <f t="shared" si="8"/>
        <v>0</v>
      </c>
      <c r="BA27" s="28">
        <v>10</v>
      </c>
      <c r="BB27" s="13"/>
      <c r="BC27" s="14"/>
      <c r="BD27" s="14"/>
      <c r="BE27" s="14">
        <f t="shared" si="9"/>
        <v>0</v>
      </c>
    </row>
    <row r="28" spans="1:57" s="2" customFormat="1" ht="85.15" customHeight="1">
      <c r="H28" s="28">
        <v>11</v>
      </c>
      <c r="I28" s="13"/>
      <c r="J28" s="14"/>
      <c r="K28" s="14"/>
      <c r="L28" s="14">
        <f t="shared" si="0"/>
        <v>0</v>
      </c>
      <c r="M28" s="28">
        <v>11</v>
      </c>
      <c r="N28" s="13"/>
      <c r="O28" s="14"/>
      <c r="P28" s="14"/>
      <c r="Q28" s="14">
        <f t="shared" si="1"/>
        <v>0</v>
      </c>
      <c r="R28" s="28">
        <v>11</v>
      </c>
      <c r="S28" s="13"/>
      <c r="T28" s="14"/>
      <c r="U28" s="14"/>
      <c r="V28" s="14">
        <f t="shared" si="2"/>
        <v>0</v>
      </c>
      <c r="W28" s="28">
        <v>11</v>
      </c>
      <c r="X28" s="13"/>
      <c r="Y28" s="14"/>
      <c r="Z28" s="14"/>
      <c r="AA28" s="14">
        <f t="shared" si="3"/>
        <v>0</v>
      </c>
      <c r="AB28" s="28">
        <v>11</v>
      </c>
      <c r="AC28" s="13"/>
      <c r="AD28" s="14"/>
      <c r="AE28" s="14"/>
      <c r="AF28" s="14">
        <f t="shared" si="4"/>
        <v>0</v>
      </c>
      <c r="AG28" s="28">
        <v>11</v>
      </c>
      <c r="AH28" s="13"/>
      <c r="AI28" s="14"/>
      <c r="AJ28" s="14"/>
      <c r="AK28" s="14">
        <f t="shared" si="5"/>
        <v>0</v>
      </c>
      <c r="AL28" s="28">
        <v>11</v>
      </c>
      <c r="AM28" s="13"/>
      <c r="AN28" s="14"/>
      <c r="AO28" s="14"/>
      <c r="AP28" s="14">
        <f t="shared" si="6"/>
        <v>0</v>
      </c>
      <c r="AQ28" s="28">
        <v>11</v>
      </c>
      <c r="AR28" s="13"/>
      <c r="AS28" s="14"/>
      <c r="AT28" s="14"/>
      <c r="AU28" s="14">
        <f t="shared" si="7"/>
        <v>0</v>
      </c>
      <c r="AV28" s="28">
        <v>11</v>
      </c>
      <c r="AW28" s="13"/>
      <c r="AX28" s="14"/>
      <c r="AY28" s="14"/>
      <c r="AZ28" s="14">
        <f t="shared" si="8"/>
        <v>0</v>
      </c>
      <c r="BA28" s="28">
        <v>11</v>
      </c>
      <c r="BB28" s="13"/>
      <c r="BC28" s="14"/>
      <c r="BD28" s="14"/>
      <c r="BE28" s="14">
        <f t="shared" si="9"/>
        <v>0</v>
      </c>
    </row>
    <row r="29" spans="1:57" s="2" customFormat="1" ht="85.15" customHeight="1">
      <c r="H29" s="28">
        <v>12</v>
      </c>
      <c r="I29" s="13"/>
      <c r="J29" s="14"/>
      <c r="K29" s="14"/>
      <c r="L29" s="14">
        <f t="shared" si="0"/>
        <v>0</v>
      </c>
      <c r="M29" s="28">
        <v>12</v>
      </c>
      <c r="N29" s="13"/>
      <c r="O29" s="14"/>
      <c r="P29" s="14"/>
      <c r="Q29" s="14">
        <f t="shared" si="1"/>
        <v>0</v>
      </c>
      <c r="R29" s="28">
        <v>12</v>
      </c>
      <c r="S29" s="13"/>
      <c r="T29" s="14"/>
      <c r="U29" s="14"/>
      <c r="V29" s="14">
        <f t="shared" si="2"/>
        <v>0</v>
      </c>
      <c r="W29" s="28">
        <v>12</v>
      </c>
      <c r="X29" s="13"/>
      <c r="Y29" s="14"/>
      <c r="Z29" s="14"/>
      <c r="AA29" s="14">
        <f t="shared" si="3"/>
        <v>0</v>
      </c>
      <c r="AB29" s="28">
        <v>12</v>
      </c>
      <c r="AC29" s="13"/>
      <c r="AD29" s="14"/>
      <c r="AE29" s="14"/>
      <c r="AF29" s="14">
        <f t="shared" si="4"/>
        <v>0</v>
      </c>
      <c r="AG29" s="28">
        <v>12</v>
      </c>
      <c r="AH29" s="13"/>
      <c r="AI29" s="14"/>
      <c r="AJ29" s="14"/>
      <c r="AK29" s="14">
        <f t="shared" si="5"/>
        <v>0</v>
      </c>
      <c r="AL29" s="28">
        <v>12</v>
      </c>
      <c r="AM29" s="13"/>
      <c r="AN29" s="14"/>
      <c r="AO29" s="14"/>
      <c r="AP29" s="14">
        <f t="shared" si="6"/>
        <v>0</v>
      </c>
      <c r="AQ29" s="28">
        <v>12</v>
      </c>
      <c r="AR29" s="13"/>
      <c r="AS29" s="14"/>
      <c r="AT29" s="14"/>
      <c r="AU29" s="14">
        <f t="shared" si="7"/>
        <v>0</v>
      </c>
      <c r="AV29" s="28">
        <v>12</v>
      </c>
      <c r="AW29" s="13"/>
      <c r="AX29" s="14"/>
      <c r="AY29" s="14"/>
      <c r="AZ29" s="14">
        <f t="shared" si="8"/>
        <v>0</v>
      </c>
      <c r="BA29" s="28">
        <v>12</v>
      </c>
      <c r="BB29" s="13"/>
      <c r="BC29" s="14"/>
      <c r="BD29" s="14"/>
      <c r="BE29" s="14">
        <f t="shared" si="9"/>
        <v>0</v>
      </c>
    </row>
    <row r="30" spans="1:57" s="2" customFormat="1" ht="85.15" customHeight="1">
      <c r="H30" s="28">
        <v>13</v>
      </c>
      <c r="I30" s="13"/>
      <c r="J30" s="14"/>
      <c r="K30" s="14"/>
      <c r="L30" s="14">
        <f t="shared" si="0"/>
        <v>0</v>
      </c>
      <c r="M30" s="28">
        <v>13</v>
      </c>
      <c r="N30" s="13"/>
      <c r="O30" s="14"/>
      <c r="P30" s="14"/>
      <c r="Q30" s="14">
        <f t="shared" si="1"/>
        <v>0</v>
      </c>
      <c r="R30" s="28">
        <v>13</v>
      </c>
      <c r="S30" s="13"/>
      <c r="T30" s="14"/>
      <c r="U30" s="14"/>
      <c r="V30" s="14">
        <f t="shared" si="2"/>
        <v>0</v>
      </c>
      <c r="W30" s="28">
        <v>13</v>
      </c>
      <c r="X30" s="13"/>
      <c r="Y30" s="14"/>
      <c r="Z30" s="14"/>
      <c r="AA30" s="14">
        <f t="shared" si="3"/>
        <v>0</v>
      </c>
      <c r="AB30" s="28">
        <v>13</v>
      </c>
      <c r="AC30" s="13"/>
      <c r="AD30" s="14"/>
      <c r="AE30" s="14"/>
      <c r="AF30" s="14">
        <f t="shared" si="4"/>
        <v>0</v>
      </c>
      <c r="AG30" s="28">
        <v>13</v>
      </c>
      <c r="AH30" s="13"/>
      <c r="AI30" s="14"/>
      <c r="AJ30" s="14"/>
      <c r="AK30" s="14">
        <f t="shared" si="5"/>
        <v>0</v>
      </c>
      <c r="AL30" s="28">
        <v>13</v>
      </c>
      <c r="AM30" s="13"/>
      <c r="AN30" s="14"/>
      <c r="AO30" s="14"/>
      <c r="AP30" s="14">
        <f t="shared" si="6"/>
        <v>0</v>
      </c>
      <c r="AQ30" s="28">
        <v>13</v>
      </c>
      <c r="AR30" s="13"/>
      <c r="AS30" s="14"/>
      <c r="AT30" s="14"/>
      <c r="AU30" s="14">
        <f t="shared" si="7"/>
        <v>0</v>
      </c>
      <c r="AV30" s="28">
        <v>13</v>
      </c>
      <c r="AW30" s="13"/>
      <c r="AX30" s="14"/>
      <c r="AY30" s="14"/>
      <c r="AZ30" s="14">
        <f t="shared" si="8"/>
        <v>0</v>
      </c>
      <c r="BA30" s="28">
        <v>13</v>
      </c>
      <c r="BB30" s="13"/>
      <c r="BC30" s="14"/>
      <c r="BD30" s="14"/>
      <c r="BE30" s="14">
        <f t="shared" si="9"/>
        <v>0</v>
      </c>
    </row>
    <row r="31" spans="1:57" s="2" customFormat="1" ht="85.15" customHeight="1">
      <c r="H31" s="28">
        <v>14</v>
      </c>
      <c r="I31" s="13"/>
      <c r="J31" s="14"/>
      <c r="K31" s="14"/>
      <c r="L31" s="14">
        <f t="shared" si="0"/>
        <v>0</v>
      </c>
      <c r="M31" s="28">
        <v>14</v>
      </c>
      <c r="N31" s="13"/>
      <c r="O31" s="14"/>
      <c r="P31" s="14"/>
      <c r="Q31" s="14">
        <f t="shared" si="1"/>
        <v>0</v>
      </c>
      <c r="R31" s="28">
        <v>14</v>
      </c>
      <c r="S31" s="13"/>
      <c r="T31" s="14"/>
      <c r="U31" s="14"/>
      <c r="V31" s="14">
        <f t="shared" si="2"/>
        <v>0</v>
      </c>
      <c r="W31" s="28">
        <v>14</v>
      </c>
      <c r="X31" s="13"/>
      <c r="Y31" s="14"/>
      <c r="Z31" s="14"/>
      <c r="AA31" s="14">
        <f t="shared" si="3"/>
        <v>0</v>
      </c>
      <c r="AB31" s="28">
        <v>14</v>
      </c>
      <c r="AC31" s="13"/>
      <c r="AD31" s="14"/>
      <c r="AE31" s="14"/>
      <c r="AF31" s="14">
        <f t="shared" si="4"/>
        <v>0</v>
      </c>
      <c r="AG31" s="28">
        <v>14</v>
      </c>
      <c r="AH31" s="13"/>
      <c r="AI31" s="14"/>
      <c r="AJ31" s="14"/>
      <c r="AK31" s="14">
        <f t="shared" si="5"/>
        <v>0</v>
      </c>
      <c r="AL31" s="28">
        <v>14</v>
      </c>
      <c r="AM31" s="13"/>
      <c r="AN31" s="14"/>
      <c r="AO31" s="14"/>
      <c r="AP31" s="14">
        <f t="shared" si="6"/>
        <v>0</v>
      </c>
      <c r="AQ31" s="28">
        <v>14</v>
      </c>
      <c r="AR31" s="13"/>
      <c r="AS31" s="14"/>
      <c r="AT31" s="14"/>
      <c r="AU31" s="14">
        <f t="shared" si="7"/>
        <v>0</v>
      </c>
      <c r="AV31" s="28">
        <v>14</v>
      </c>
      <c r="AW31" s="13"/>
      <c r="AX31" s="14"/>
      <c r="AY31" s="14"/>
      <c r="AZ31" s="14">
        <f t="shared" si="8"/>
        <v>0</v>
      </c>
      <c r="BA31" s="28">
        <v>14</v>
      </c>
      <c r="BB31" s="13"/>
      <c r="BC31" s="14"/>
      <c r="BD31" s="14"/>
      <c r="BE31" s="14">
        <f t="shared" si="9"/>
        <v>0</v>
      </c>
    </row>
    <row r="32" spans="1:57" s="2" customFormat="1" ht="85.15" customHeight="1">
      <c r="H32" s="28">
        <v>15</v>
      </c>
      <c r="I32" s="13"/>
      <c r="J32" s="14"/>
      <c r="K32" s="14"/>
      <c r="L32" s="14">
        <f t="shared" si="0"/>
        <v>0</v>
      </c>
      <c r="M32" s="28">
        <v>15</v>
      </c>
      <c r="N32" s="13"/>
      <c r="O32" s="14"/>
      <c r="P32" s="14"/>
      <c r="Q32" s="14">
        <f t="shared" si="1"/>
        <v>0</v>
      </c>
      <c r="R32" s="28">
        <v>15</v>
      </c>
      <c r="S32" s="13"/>
      <c r="T32" s="14"/>
      <c r="U32" s="14"/>
      <c r="V32" s="14">
        <f t="shared" si="2"/>
        <v>0</v>
      </c>
      <c r="W32" s="28">
        <v>15</v>
      </c>
      <c r="X32" s="13"/>
      <c r="Y32" s="14"/>
      <c r="Z32" s="14"/>
      <c r="AA32" s="14">
        <f t="shared" si="3"/>
        <v>0</v>
      </c>
      <c r="AB32" s="28">
        <v>15</v>
      </c>
      <c r="AC32" s="13"/>
      <c r="AD32" s="14"/>
      <c r="AE32" s="14"/>
      <c r="AF32" s="14">
        <f t="shared" si="4"/>
        <v>0</v>
      </c>
      <c r="AG32" s="28">
        <v>15</v>
      </c>
      <c r="AH32" s="13"/>
      <c r="AI32" s="14"/>
      <c r="AJ32" s="14"/>
      <c r="AK32" s="14">
        <f t="shared" si="5"/>
        <v>0</v>
      </c>
      <c r="AL32" s="28">
        <v>15</v>
      </c>
      <c r="AM32" s="13"/>
      <c r="AN32" s="14"/>
      <c r="AO32" s="14"/>
      <c r="AP32" s="14">
        <f t="shared" si="6"/>
        <v>0</v>
      </c>
      <c r="AQ32" s="28">
        <v>15</v>
      </c>
      <c r="AR32" s="13"/>
      <c r="AS32" s="14"/>
      <c r="AT32" s="14"/>
      <c r="AU32" s="14">
        <f t="shared" si="7"/>
        <v>0</v>
      </c>
      <c r="AV32" s="28">
        <v>15</v>
      </c>
      <c r="AW32" s="13"/>
      <c r="AX32" s="14"/>
      <c r="AY32" s="14"/>
      <c r="AZ32" s="14">
        <f t="shared" si="8"/>
        <v>0</v>
      </c>
      <c r="BA32" s="28">
        <v>15</v>
      </c>
      <c r="BB32" s="13"/>
      <c r="BC32" s="14"/>
      <c r="BD32" s="14"/>
      <c r="BE32" s="14">
        <f t="shared" si="9"/>
        <v>0</v>
      </c>
    </row>
    <row r="33" spans="8:57" s="2" customFormat="1" ht="85.15" customHeight="1">
      <c r="H33" s="28">
        <v>16</v>
      </c>
      <c r="I33" s="13"/>
      <c r="J33" s="14"/>
      <c r="K33" s="14"/>
      <c r="L33" s="14">
        <f t="shared" si="0"/>
        <v>0</v>
      </c>
      <c r="M33" s="28">
        <v>16</v>
      </c>
      <c r="N33" s="13"/>
      <c r="O33" s="14"/>
      <c r="P33" s="14"/>
      <c r="Q33" s="14">
        <f t="shared" si="1"/>
        <v>0</v>
      </c>
      <c r="R33" s="28">
        <v>16</v>
      </c>
      <c r="S33" s="13"/>
      <c r="T33" s="14"/>
      <c r="U33" s="14"/>
      <c r="V33" s="14">
        <f t="shared" si="2"/>
        <v>0</v>
      </c>
      <c r="W33" s="28">
        <v>16</v>
      </c>
      <c r="X33" s="13"/>
      <c r="Y33" s="14"/>
      <c r="Z33" s="14"/>
      <c r="AA33" s="14">
        <f t="shared" si="3"/>
        <v>0</v>
      </c>
      <c r="AB33" s="28">
        <v>16</v>
      </c>
      <c r="AC33" s="13"/>
      <c r="AD33" s="14"/>
      <c r="AE33" s="14"/>
      <c r="AF33" s="14">
        <f t="shared" si="4"/>
        <v>0</v>
      </c>
      <c r="AG33" s="28">
        <v>16</v>
      </c>
      <c r="AH33" s="13"/>
      <c r="AI33" s="14"/>
      <c r="AJ33" s="14"/>
      <c r="AK33" s="14">
        <f t="shared" si="5"/>
        <v>0</v>
      </c>
      <c r="AL33" s="28">
        <v>16</v>
      </c>
      <c r="AM33" s="13"/>
      <c r="AN33" s="14"/>
      <c r="AO33" s="14"/>
      <c r="AP33" s="14">
        <f t="shared" si="6"/>
        <v>0</v>
      </c>
      <c r="AQ33" s="28">
        <v>16</v>
      </c>
      <c r="AR33" s="13"/>
      <c r="AS33" s="14"/>
      <c r="AT33" s="14"/>
      <c r="AU33" s="14">
        <f t="shared" si="7"/>
        <v>0</v>
      </c>
      <c r="AV33" s="28">
        <v>16</v>
      </c>
      <c r="AW33" s="13"/>
      <c r="AX33" s="14"/>
      <c r="AY33" s="14"/>
      <c r="AZ33" s="14">
        <f t="shared" si="8"/>
        <v>0</v>
      </c>
      <c r="BA33" s="28">
        <v>16</v>
      </c>
      <c r="BB33" s="13"/>
      <c r="BC33" s="14"/>
      <c r="BD33" s="14"/>
      <c r="BE33" s="14">
        <f t="shared" si="9"/>
        <v>0</v>
      </c>
    </row>
    <row r="34" spans="8:57" s="2" customFormat="1" ht="85.15" customHeight="1">
      <c r="H34" s="28">
        <v>17</v>
      </c>
      <c r="I34" s="13"/>
      <c r="J34" s="14"/>
      <c r="K34" s="14"/>
      <c r="L34" s="14">
        <f t="shared" si="0"/>
        <v>0</v>
      </c>
      <c r="M34" s="28">
        <v>17</v>
      </c>
      <c r="N34" s="13"/>
      <c r="O34" s="14"/>
      <c r="P34" s="14"/>
      <c r="Q34" s="14">
        <f t="shared" si="1"/>
        <v>0</v>
      </c>
      <c r="R34" s="28">
        <v>17</v>
      </c>
      <c r="S34" s="13"/>
      <c r="T34" s="14"/>
      <c r="U34" s="14"/>
      <c r="V34" s="14">
        <f t="shared" si="2"/>
        <v>0</v>
      </c>
      <c r="W34" s="28">
        <v>17</v>
      </c>
      <c r="X34" s="13"/>
      <c r="Y34" s="14"/>
      <c r="Z34" s="14"/>
      <c r="AA34" s="14">
        <f t="shared" si="3"/>
        <v>0</v>
      </c>
      <c r="AB34" s="28">
        <v>17</v>
      </c>
      <c r="AC34" s="13"/>
      <c r="AD34" s="14"/>
      <c r="AE34" s="14"/>
      <c r="AF34" s="14">
        <f t="shared" si="4"/>
        <v>0</v>
      </c>
      <c r="AG34" s="28">
        <v>17</v>
      </c>
      <c r="AH34" s="13"/>
      <c r="AI34" s="14"/>
      <c r="AJ34" s="14"/>
      <c r="AK34" s="14">
        <f t="shared" si="5"/>
        <v>0</v>
      </c>
      <c r="AL34" s="28">
        <v>17</v>
      </c>
      <c r="AM34" s="13"/>
      <c r="AN34" s="14"/>
      <c r="AO34" s="14"/>
      <c r="AP34" s="14">
        <f t="shared" si="6"/>
        <v>0</v>
      </c>
      <c r="AQ34" s="28">
        <v>17</v>
      </c>
      <c r="AR34" s="13"/>
      <c r="AS34" s="14"/>
      <c r="AT34" s="14"/>
      <c r="AU34" s="14">
        <f t="shared" si="7"/>
        <v>0</v>
      </c>
      <c r="AV34" s="28">
        <v>17</v>
      </c>
      <c r="AW34" s="13"/>
      <c r="AX34" s="14"/>
      <c r="AY34" s="14"/>
      <c r="AZ34" s="14">
        <f t="shared" si="8"/>
        <v>0</v>
      </c>
      <c r="BA34" s="28">
        <v>17</v>
      </c>
      <c r="BB34" s="13"/>
      <c r="BC34" s="14"/>
      <c r="BD34" s="14"/>
      <c r="BE34" s="14">
        <f t="shared" si="9"/>
        <v>0</v>
      </c>
    </row>
    <row r="35" spans="8:57" s="2" customFormat="1" ht="85.15" customHeight="1">
      <c r="H35" s="28">
        <v>18</v>
      </c>
      <c r="I35" s="13"/>
      <c r="J35" s="14"/>
      <c r="K35" s="14"/>
      <c r="L35" s="14">
        <f t="shared" si="0"/>
        <v>0</v>
      </c>
      <c r="M35" s="28">
        <v>18</v>
      </c>
      <c r="N35" s="13"/>
      <c r="O35" s="14"/>
      <c r="P35" s="14"/>
      <c r="Q35" s="14">
        <f t="shared" si="1"/>
        <v>0</v>
      </c>
      <c r="R35" s="28">
        <v>18</v>
      </c>
      <c r="S35" s="13"/>
      <c r="T35" s="14"/>
      <c r="U35" s="14"/>
      <c r="V35" s="14">
        <f t="shared" si="2"/>
        <v>0</v>
      </c>
      <c r="W35" s="28">
        <v>18</v>
      </c>
      <c r="X35" s="13"/>
      <c r="Y35" s="14"/>
      <c r="Z35" s="14"/>
      <c r="AA35" s="14">
        <f t="shared" si="3"/>
        <v>0</v>
      </c>
      <c r="AB35" s="28">
        <v>18</v>
      </c>
      <c r="AC35" s="13"/>
      <c r="AD35" s="14"/>
      <c r="AE35" s="14"/>
      <c r="AF35" s="14">
        <f t="shared" si="4"/>
        <v>0</v>
      </c>
      <c r="AG35" s="28">
        <v>18</v>
      </c>
      <c r="AH35" s="13"/>
      <c r="AI35" s="14"/>
      <c r="AJ35" s="14"/>
      <c r="AK35" s="14">
        <f t="shared" si="5"/>
        <v>0</v>
      </c>
      <c r="AL35" s="28">
        <v>18</v>
      </c>
      <c r="AM35" s="13"/>
      <c r="AN35" s="14"/>
      <c r="AO35" s="14"/>
      <c r="AP35" s="14">
        <f t="shared" si="6"/>
        <v>0</v>
      </c>
      <c r="AQ35" s="28">
        <v>18</v>
      </c>
      <c r="AR35" s="13"/>
      <c r="AS35" s="14"/>
      <c r="AT35" s="14"/>
      <c r="AU35" s="14">
        <f t="shared" si="7"/>
        <v>0</v>
      </c>
      <c r="AV35" s="28">
        <v>18</v>
      </c>
      <c r="AW35" s="13"/>
      <c r="AX35" s="14"/>
      <c r="AY35" s="14"/>
      <c r="AZ35" s="14">
        <f t="shared" si="8"/>
        <v>0</v>
      </c>
      <c r="BA35" s="28">
        <v>18</v>
      </c>
      <c r="BB35" s="13"/>
      <c r="BC35" s="14"/>
      <c r="BD35" s="14"/>
      <c r="BE35" s="14">
        <f t="shared" si="9"/>
        <v>0</v>
      </c>
    </row>
    <row r="36" spans="8:57" s="2" customFormat="1" ht="85.15" customHeight="1">
      <c r="H36" s="28">
        <v>19</v>
      </c>
      <c r="I36" s="13"/>
      <c r="J36" s="14"/>
      <c r="K36" s="14"/>
      <c r="L36" s="14">
        <f t="shared" si="0"/>
        <v>0</v>
      </c>
      <c r="M36" s="28">
        <v>19</v>
      </c>
      <c r="N36" s="13"/>
      <c r="O36" s="14"/>
      <c r="P36" s="14"/>
      <c r="Q36" s="14">
        <f t="shared" si="1"/>
        <v>0</v>
      </c>
      <c r="R36" s="28">
        <v>19</v>
      </c>
      <c r="S36" s="13"/>
      <c r="T36" s="14"/>
      <c r="U36" s="14"/>
      <c r="V36" s="14">
        <f t="shared" si="2"/>
        <v>0</v>
      </c>
      <c r="W36" s="28">
        <v>19</v>
      </c>
      <c r="X36" s="13"/>
      <c r="Y36" s="14"/>
      <c r="Z36" s="14"/>
      <c r="AA36" s="14">
        <f t="shared" si="3"/>
        <v>0</v>
      </c>
      <c r="AB36" s="28">
        <v>19</v>
      </c>
      <c r="AC36" s="13"/>
      <c r="AD36" s="14"/>
      <c r="AE36" s="14"/>
      <c r="AF36" s="14">
        <f t="shared" si="4"/>
        <v>0</v>
      </c>
      <c r="AG36" s="28">
        <v>19</v>
      </c>
      <c r="AH36" s="13"/>
      <c r="AI36" s="14"/>
      <c r="AJ36" s="14"/>
      <c r="AK36" s="14">
        <f t="shared" si="5"/>
        <v>0</v>
      </c>
      <c r="AL36" s="28">
        <v>19</v>
      </c>
      <c r="AM36" s="13"/>
      <c r="AN36" s="14"/>
      <c r="AO36" s="14"/>
      <c r="AP36" s="14">
        <f t="shared" si="6"/>
        <v>0</v>
      </c>
      <c r="AQ36" s="28">
        <v>19</v>
      </c>
      <c r="AR36" s="13"/>
      <c r="AS36" s="14"/>
      <c r="AT36" s="14"/>
      <c r="AU36" s="14">
        <f t="shared" si="7"/>
        <v>0</v>
      </c>
      <c r="AV36" s="28">
        <v>19</v>
      </c>
      <c r="AW36" s="13"/>
      <c r="AX36" s="14"/>
      <c r="AY36" s="14"/>
      <c r="AZ36" s="14">
        <f t="shared" si="8"/>
        <v>0</v>
      </c>
      <c r="BA36" s="28">
        <v>19</v>
      </c>
      <c r="BB36" s="13"/>
      <c r="BC36" s="14"/>
      <c r="BD36" s="14"/>
      <c r="BE36" s="14">
        <f t="shared" si="9"/>
        <v>0</v>
      </c>
    </row>
    <row r="37" spans="8:57" s="2" customFormat="1" ht="85.15" customHeight="1">
      <c r="H37" s="28">
        <v>20</v>
      </c>
      <c r="I37" s="13"/>
      <c r="J37" s="14"/>
      <c r="K37" s="14"/>
      <c r="L37" s="14">
        <f t="shared" si="0"/>
        <v>0</v>
      </c>
      <c r="M37" s="28">
        <v>20</v>
      </c>
      <c r="N37" s="13"/>
      <c r="O37" s="14"/>
      <c r="P37" s="14"/>
      <c r="Q37" s="14">
        <f t="shared" si="1"/>
        <v>0</v>
      </c>
      <c r="R37" s="28">
        <v>20</v>
      </c>
      <c r="S37" s="13"/>
      <c r="T37" s="14"/>
      <c r="U37" s="14"/>
      <c r="V37" s="14">
        <f t="shared" si="2"/>
        <v>0</v>
      </c>
      <c r="W37" s="28">
        <v>20</v>
      </c>
      <c r="X37" s="13"/>
      <c r="Y37" s="14"/>
      <c r="Z37" s="14"/>
      <c r="AA37" s="14">
        <f t="shared" si="3"/>
        <v>0</v>
      </c>
      <c r="AB37" s="28">
        <v>20</v>
      </c>
      <c r="AC37" s="13"/>
      <c r="AD37" s="14"/>
      <c r="AE37" s="14"/>
      <c r="AF37" s="14">
        <f t="shared" si="4"/>
        <v>0</v>
      </c>
      <c r="AG37" s="28">
        <v>20</v>
      </c>
      <c r="AH37" s="13"/>
      <c r="AI37" s="14"/>
      <c r="AJ37" s="14"/>
      <c r="AK37" s="14">
        <f t="shared" si="5"/>
        <v>0</v>
      </c>
      <c r="AL37" s="28">
        <v>20</v>
      </c>
      <c r="AM37" s="13"/>
      <c r="AN37" s="14"/>
      <c r="AO37" s="14"/>
      <c r="AP37" s="14">
        <f t="shared" si="6"/>
        <v>0</v>
      </c>
      <c r="AQ37" s="28">
        <v>20</v>
      </c>
      <c r="AR37" s="13"/>
      <c r="AS37" s="14"/>
      <c r="AT37" s="14"/>
      <c r="AU37" s="14">
        <f t="shared" si="7"/>
        <v>0</v>
      </c>
      <c r="AV37" s="28">
        <v>20</v>
      </c>
      <c r="AW37" s="13"/>
      <c r="AX37" s="14"/>
      <c r="AY37" s="14"/>
      <c r="AZ37" s="14">
        <f t="shared" si="8"/>
        <v>0</v>
      </c>
      <c r="BA37" s="28">
        <v>20</v>
      </c>
      <c r="BB37" s="13"/>
      <c r="BC37" s="14"/>
      <c r="BD37" s="14"/>
      <c r="BE37" s="14">
        <f t="shared" si="9"/>
        <v>0</v>
      </c>
    </row>
    <row r="38" spans="8:57" s="2" customFormat="1" ht="85.15" customHeight="1">
      <c r="H38" s="28">
        <v>21</v>
      </c>
      <c r="I38" s="13"/>
      <c r="J38" s="14"/>
      <c r="K38" s="14"/>
      <c r="L38" s="14">
        <f t="shared" si="0"/>
        <v>0</v>
      </c>
      <c r="M38" s="28">
        <v>21</v>
      </c>
      <c r="N38" s="13"/>
      <c r="O38" s="14"/>
      <c r="P38" s="14"/>
      <c r="Q38" s="14">
        <f t="shared" si="1"/>
        <v>0</v>
      </c>
      <c r="R38" s="28">
        <v>21</v>
      </c>
      <c r="S38" s="13"/>
      <c r="T38" s="14"/>
      <c r="U38" s="14"/>
      <c r="V38" s="14">
        <f t="shared" si="2"/>
        <v>0</v>
      </c>
      <c r="W38" s="28">
        <v>21</v>
      </c>
      <c r="X38" s="13"/>
      <c r="Y38" s="14"/>
      <c r="Z38" s="14"/>
      <c r="AA38" s="14">
        <f t="shared" si="3"/>
        <v>0</v>
      </c>
      <c r="AB38" s="28">
        <v>21</v>
      </c>
      <c r="AC38" s="13"/>
      <c r="AD38" s="14"/>
      <c r="AE38" s="14"/>
      <c r="AF38" s="14">
        <f t="shared" si="4"/>
        <v>0</v>
      </c>
      <c r="AG38" s="28">
        <v>21</v>
      </c>
      <c r="AH38" s="13"/>
      <c r="AI38" s="14"/>
      <c r="AJ38" s="14"/>
      <c r="AK38" s="14">
        <f t="shared" si="5"/>
        <v>0</v>
      </c>
      <c r="AL38" s="28">
        <v>21</v>
      </c>
      <c r="AM38" s="13"/>
      <c r="AN38" s="14"/>
      <c r="AO38" s="14"/>
      <c r="AP38" s="14">
        <f t="shared" si="6"/>
        <v>0</v>
      </c>
      <c r="AQ38" s="28">
        <v>21</v>
      </c>
      <c r="AR38" s="13"/>
      <c r="AS38" s="14"/>
      <c r="AT38" s="14"/>
      <c r="AU38" s="14">
        <f t="shared" si="7"/>
        <v>0</v>
      </c>
      <c r="AV38" s="28">
        <v>21</v>
      </c>
      <c r="AW38" s="13"/>
      <c r="AX38" s="14"/>
      <c r="AY38" s="14"/>
      <c r="AZ38" s="14">
        <f t="shared" si="8"/>
        <v>0</v>
      </c>
      <c r="BA38" s="28">
        <v>21</v>
      </c>
      <c r="BB38" s="13"/>
      <c r="BC38" s="14"/>
      <c r="BD38" s="14"/>
      <c r="BE38" s="14">
        <f t="shared" si="9"/>
        <v>0</v>
      </c>
    </row>
    <row r="39" spans="8:57" s="2" customFormat="1" ht="85.15" customHeight="1">
      <c r="H39" s="28">
        <v>22</v>
      </c>
      <c r="I39" s="13"/>
      <c r="J39" s="14"/>
      <c r="K39" s="14"/>
      <c r="L39" s="14">
        <f t="shared" si="0"/>
        <v>0</v>
      </c>
      <c r="M39" s="28">
        <v>22</v>
      </c>
      <c r="N39" s="13"/>
      <c r="O39" s="14"/>
      <c r="P39" s="14"/>
      <c r="Q39" s="14">
        <f t="shared" si="1"/>
        <v>0</v>
      </c>
      <c r="R39" s="28">
        <v>22</v>
      </c>
      <c r="S39" s="13"/>
      <c r="T39" s="14"/>
      <c r="U39" s="14"/>
      <c r="V39" s="14">
        <f t="shared" si="2"/>
        <v>0</v>
      </c>
      <c r="W39" s="28">
        <v>22</v>
      </c>
      <c r="X39" s="13"/>
      <c r="Y39" s="14"/>
      <c r="Z39" s="14"/>
      <c r="AA39" s="14">
        <f t="shared" si="3"/>
        <v>0</v>
      </c>
      <c r="AB39" s="28">
        <v>22</v>
      </c>
      <c r="AC39" s="13"/>
      <c r="AD39" s="14"/>
      <c r="AE39" s="14"/>
      <c r="AF39" s="14">
        <f t="shared" si="4"/>
        <v>0</v>
      </c>
      <c r="AG39" s="28">
        <v>22</v>
      </c>
      <c r="AH39" s="13"/>
      <c r="AI39" s="14"/>
      <c r="AJ39" s="14"/>
      <c r="AK39" s="14">
        <f t="shared" si="5"/>
        <v>0</v>
      </c>
      <c r="AL39" s="28">
        <v>22</v>
      </c>
      <c r="AM39" s="13"/>
      <c r="AN39" s="14"/>
      <c r="AO39" s="14"/>
      <c r="AP39" s="14">
        <f t="shared" si="6"/>
        <v>0</v>
      </c>
      <c r="AQ39" s="28">
        <v>22</v>
      </c>
      <c r="AR39" s="13"/>
      <c r="AS39" s="14"/>
      <c r="AT39" s="14"/>
      <c r="AU39" s="14">
        <f t="shared" si="7"/>
        <v>0</v>
      </c>
      <c r="AV39" s="28">
        <v>22</v>
      </c>
      <c r="AW39" s="13"/>
      <c r="AX39" s="14"/>
      <c r="AY39" s="14"/>
      <c r="AZ39" s="14">
        <f t="shared" si="8"/>
        <v>0</v>
      </c>
      <c r="BA39" s="28">
        <v>22</v>
      </c>
      <c r="BB39" s="13"/>
      <c r="BC39" s="14"/>
      <c r="BD39" s="14"/>
      <c r="BE39" s="14">
        <f t="shared" si="9"/>
        <v>0</v>
      </c>
    </row>
    <row r="40" spans="8:57" s="2" customFormat="1" ht="85.15" customHeight="1">
      <c r="H40" s="28">
        <v>23</v>
      </c>
      <c r="I40" s="13"/>
      <c r="J40" s="14"/>
      <c r="K40" s="14"/>
      <c r="L40" s="14">
        <f t="shared" si="0"/>
        <v>0</v>
      </c>
      <c r="M40" s="28">
        <v>23</v>
      </c>
      <c r="N40" s="13"/>
      <c r="O40" s="14"/>
      <c r="P40" s="14"/>
      <c r="Q40" s="14">
        <f t="shared" si="1"/>
        <v>0</v>
      </c>
      <c r="R40" s="28">
        <v>23</v>
      </c>
      <c r="S40" s="13"/>
      <c r="T40" s="14"/>
      <c r="U40" s="14"/>
      <c r="V40" s="14">
        <f t="shared" si="2"/>
        <v>0</v>
      </c>
      <c r="W40" s="28">
        <v>23</v>
      </c>
      <c r="X40" s="13"/>
      <c r="Y40" s="14"/>
      <c r="Z40" s="14"/>
      <c r="AA40" s="14">
        <f t="shared" si="3"/>
        <v>0</v>
      </c>
      <c r="AB40" s="28">
        <v>23</v>
      </c>
      <c r="AC40" s="13"/>
      <c r="AD40" s="14"/>
      <c r="AE40" s="14"/>
      <c r="AF40" s="14">
        <f t="shared" si="4"/>
        <v>0</v>
      </c>
      <c r="AG40" s="28">
        <v>23</v>
      </c>
      <c r="AH40" s="13"/>
      <c r="AI40" s="14"/>
      <c r="AJ40" s="14"/>
      <c r="AK40" s="14">
        <f t="shared" si="5"/>
        <v>0</v>
      </c>
      <c r="AL40" s="28">
        <v>23</v>
      </c>
      <c r="AM40" s="13"/>
      <c r="AN40" s="14"/>
      <c r="AO40" s="14"/>
      <c r="AP40" s="14">
        <f t="shared" si="6"/>
        <v>0</v>
      </c>
      <c r="AQ40" s="28">
        <v>23</v>
      </c>
      <c r="AR40" s="13"/>
      <c r="AS40" s="14"/>
      <c r="AT40" s="14"/>
      <c r="AU40" s="14">
        <f t="shared" si="7"/>
        <v>0</v>
      </c>
      <c r="AV40" s="28">
        <v>23</v>
      </c>
      <c r="AW40" s="13"/>
      <c r="AX40" s="14"/>
      <c r="AY40" s="14"/>
      <c r="AZ40" s="14">
        <f t="shared" si="8"/>
        <v>0</v>
      </c>
      <c r="BA40" s="28">
        <v>23</v>
      </c>
      <c r="BB40" s="13"/>
      <c r="BC40" s="14"/>
      <c r="BD40" s="14"/>
      <c r="BE40" s="14">
        <f t="shared" si="9"/>
        <v>0</v>
      </c>
    </row>
    <row r="41" spans="8:57" s="2" customFormat="1" ht="85.15" customHeight="1">
      <c r="H41" s="28">
        <v>24</v>
      </c>
      <c r="I41" s="13"/>
      <c r="J41" s="14"/>
      <c r="K41" s="14"/>
      <c r="L41" s="14">
        <f t="shared" si="0"/>
        <v>0</v>
      </c>
      <c r="M41" s="28">
        <v>24</v>
      </c>
      <c r="N41" s="13"/>
      <c r="O41" s="14"/>
      <c r="P41" s="14"/>
      <c r="Q41" s="14">
        <f t="shared" si="1"/>
        <v>0</v>
      </c>
      <c r="R41" s="28">
        <v>24</v>
      </c>
      <c r="S41" s="13"/>
      <c r="T41" s="14"/>
      <c r="U41" s="14"/>
      <c r="V41" s="14">
        <f t="shared" si="2"/>
        <v>0</v>
      </c>
      <c r="W41" s="28">
        <v>24</v>
      </c>
      <c r="X41" s="13"/>
      <c r="Y41" s="14"/>
      <c r="Z41" s="14"/>
      <c r="AA41" s="14">
        <f t="shared" si="3"/>
        <v>0</v>
      </c>
      <c r="AB41" s="28">
        <v>24</v>
      </c>
      <c r="AC41" s="13"/>
      <c r="AD41" s="14"/>
      <c r="AE41" s="14"/>
      <c r="AF41" s="14">
        <f t="shared" si="4"/>
        <v>0</v>
      </c>
      <c r="AG41" s="28">
        <v>24</v>
      </c>
      <c r="AH41" s="13"/>
      <c r="AI41" s="14"/>
      <c r="AJ41" s="14"/>
      <c r="AK41" s="14">
        <f t="shared" si="5"/>
        <v>0</v>
      </c>
      <c r="AL41" s="28">
        <v>24</v>
      </c>
      <c r="AM41" s="13"/>
      <c r="AN41" s="14"/>
      <c r="AO41" s="14"/>
      <c r="AP41" s="14">
        <f t="shared" si="6"/>
        <v>0</v>
      </c>
      <c r="AQ41" s="28">
        <v>24</v>
      </c>
      <c r="AR41" s="13"/>
      <c r="AS41" s="14"/>
      <c r="AT41" s="14"/>
      <c r="AU41" s="14">
        <f t="shared" si="7"/>
        <v>0</v>
      </c>
      <c r="AV41" s="28">
        <v>24</v>
      </c>
      <c r="AW41" s="13"/>
      <c r="AX41" s="14"/>
      <c r="AY41" s="14"/>
      <c r="AZ41" s="14">
        <f t="shared" si="8"/>
        <v>0</v>
      </c>
      <c r="BA41" s="28">
        <v>24</v>
      </c>
      <c r="BB41" s="13"/>
      <c r="BC41" s="14"/>
      <c r="BD41" s="14"/>
      <c r="BE41" s="14">
        <f t="shared" si="9"/>
        <v>0</v>
      </c>
    </row>
    <row r="42" spans="8:57" s="2" customFormat="1" ht="85.15" customHeight="1">
      <c r="H42" s="28">
        <v>25</v>
      </c>
      <c r="I42" s="13"/>
      <c r="J42" s="14"/>
      <c r="K42" s="14"/>
      <c r="L42" s="14">
        <f t="shared" si="0"/>
        <v>0</v>
      </c>
      <c r="M42" s="28">
        <v>25</v>
      </c>
      <c r="N42" s="13"/>
      <c r="O42" s="14"/>
      <c r="P42" s="14"/>
      <c r="Q42" s="14">
        <f t="shared" si="1"/>
        <v>0</v>
      </c>
      <c r="R42" s="28">
        <v>25</v>
      </c>
      <c r="S42" s="13"/>
      <c r="T42" s="14"/>
      <c r="U42" s="14"/>
      <c r="V42" s="14">
        <f t="shared" si="2"/>
        <v>0</v>
      </c>
      <c r="W42" s="28">
        <v>25</v>
      </c>
      <c r="X42" s="13"/>
      <c r="Y42" s="14"/>
      <c r="Z42" s="14"/>
      <c r="AA42" s="14">
        <f t="shared" si="3"/>
        <v>0</v>
      </c>
      <c r="AB42" s="28">
        <v>25</v>
      </c>
      <c r="AC42" s="13"/>
      <c r="AD42" s="14"/>
      <c r="AE42" s="14"/>
      <c r="AF42" s="14">
        <f t="shared" si="4"/>
        <v>0</v>
      </c>
      <c r="AG42" s="28">
        <v>25</v>
      </c>
      <c r="AH42" s="13"/>
      <c r="AI42" s="14"/>
      <c r="AJ42" s="14"/>
      <c r="AK42" s="14">
        <f t="shared" si="5"/>
        <v>0</v>
      </c>
      <c r="AL42" s="28">
        <v>25</v>
      </c>
      <c r="AM42" s="13"/>
      <c r="AN42" s="14"/>
      <c r="AO42" s="14"/>
      <c r="AP42" s="14">
        <f t="shared" si="6"/>
        <v>0</v>
      </c>
      <c r="AQ42" s="28">
        <v>25</v>
      </c>
      <c r="AR42" s="13"/>
      <c r="AS42" s="14"/>
      <c r="AT42" s="14"/>
      <c r="AU42" s="14">
        <f t="shared" si="7"/>
        <v>0</v>
      </c>
      <c r="AV42" s="28">
        <v>25</v>
      </c>
      <c r="AW42" s="13"/>
      <c r="AX42" s="14"/>
      <c r="AY42" s="14"/>
      <c r="AZ42" s="14">
        <f t="shared" si="8"/>
        <v>0</v>
      </c>
      <c r="BA42" s="28">
        <v>25</v>
      </c>
      <c r="BB42" s="13"/>
      <c r="BC42" s="14"/>
      <c r="BD42" s="14"/>
      <c r="BE42" s="14">
        <f t="shared" si="9"/>
        <v>0</v>
      </c>
    </row>
    <row r="43" spans="8:57" s="2" customFormat="1" ht="85.15" customHeight="1">
      <c r="H43" s="28">
        <v>26</v>
      </c>
      <c r="I43" s="13"/>
      <c r="J43" s="14"/>
      <c r="K43" s="14"/>
      <c r="L43" s="14">
        <f t="shared" si="0"/>
        <v>0</v>
      </c>
      <c r="M43" s="28">
        <v>26</v>
      </c>
      <c r="N43" s="13"/>
      <c r="O43" s="14"/>
      <c r="P43" s="14"/>
      <c r="Q43" s="14">
        <f t="shared" si="1"/>
        <v>0</v>
      </c>
      <c r="R43" s="28">
        <v>26</v>
      </c>
      <c r="S43" s="13"/>
      <c r="T43" s="14"/>
      <c r="U43" s="14"/>
      <c r="V43" s="14">
        <f t="shared" si="2"/>
        <v>0</v>
      </c>
      <c r="W43" s="28">
        <v>26</v>
      </c>
      <c r="X43" s="13"/>
      <c r="Y43" s="14"/>
      <c r="Z43" s="14"/>
      <c r="AA43" s="14">
        <f t="shared" si="3"/>
        <v>0</v>
      </c>
      <c r="AB43" s="28">
        <v>26</v>
      </c>
      <c r="AC43" s="13"/>
      <c r="AD43" s="14"/>
      <c r="AE43" s="14"/>
      <c r="AF43" s="14">
        <f t="shared" si="4"/>
        <v>0</v>
      </c>
      <c r="AG43" s="28">
        <v>26</v>
      </c>
      <c r="AH43" s="13"/>
      <c r="AI43" s="14"/>
      <c r="AJ43" s="14"/>
      <c r="AK43" s="14">
        <f t="shared" si="5"/>
        <v>0</v>
      </c>
      <c r="AL43" s="28">
        <v>26</v>
      </c>
      <c r="AM43" s="13"/>
      <c r="AN43" s="14"/>
      <c r="AO43" s="14"/>
      <c r="AP43" s="14">
        <f t="shared" si="6"/>
        <v>0</v>
      </c>
      <c r="AQ43" s="28">
        <v>26</v>
      </c>
      <c r="AR43" s="13"/>
      <c r="AS43" s="14"/>
      <c r="AT43" s="14"/>
      <c r="AU43" s="14">
        <f t="shared" si="7"/>
        <v>0</v>
      </c>
      <c r="AV43" s="28">
        <v>26</v>
      </c>
      <c r="AW43" s="13"/>
      <c r="AX43" s="14"/>
      <c r="AY43" s="14"/>
      <c r="AZ43" s="14">
        <f t="shared" si="8"/>
        <v>0</v>
      </c>
      <c r="BA43" s="28">
        <v>26</v>
      </c>
      <c r="BB43" s="13"/>
      <c r="BC43" s="14"/>
      <c r="BD43" s="14"/>
      <c r="BE43" s="14">
        <f t="shared" si="9"/>
        <v>0</v>
      </c>
    </row>
    <row r="44" spans="8:57" s="2" customFormat="1" ht="85.15" customHeight="1">
      <c r="H44" s="28">
        <v>27</v>
      </c>
      <c r="I44" s="13"/>
      <c r="J44" s="14"/>
      <c r="K44" s="14"/>
      <c r="L44" s="14">
        <f t="shared" si="0"/>
        <v>0</v>
      </c>
      <c r="M44" s="28">
        <v>27</v>
      </c>
      <c r="N44" s="13"/>
      <c r="O44" s="14"/>
      <c r="P44" s="14"/>
      <c r="Q44" s="14">
        <f t="shared" si="1"/>
        <v>0</v>
      </c>
      <c r="R44" s="28">
        <v>27</v>
      </c>
      <c r="S44" s="13"/>
      <c r="T44" s="14"/>
      <c r="U44" s="14"/>
      <c r="V44" s="14">
        <f t="shared" si="2"/>
        <v>0</v>
      </c>
      <c r="W44" s="28">
        <v>27</v>
      </c>
      <c r="X44" s="13"/>
      <c r="Y44" s="14"/>
      <c r="Z44" s="14"/>
      <c r="AA44" s="14">
        <f t="shared" si="3"/>
        <v>0</v>
      </c>
      <c r="AB44" s="28">
        <v>27</v>
      </c>
      <c r="AC44" s="13"/>
      <c r="AD44" s="14"/>
      <c r="AE44" s="14"/>
      <c r="AF44" s="14">
        <f t="shared" si="4"/>
        <v>0</v>
      </c>
      <c r="AG44" s="28">
        <v>27</v>
      </c>
      <c r="AH44" s="13"/>
      <c r="AI44" s="14"/>
      <c r="AJ44" s="14"/>
      <c r="AK44" s="14">
        <f t="shared" si="5"/>
        <v>0</v>
      </c>
      <c r="AL44" s="28">
        <v>27</v>
      </c>
      <c r="AM44" s="13"/>
      <c r="AN44" s="14"/>
      <c r="AO44" s="14"/>
      <c r="AP44" s="14">
        <f t="shared" si="6"/>
        <v>0</v>
      </c>
      <c r="AQ44" s="28">
        <v>27</v>
      </c>
      <c r="AR44" s="13"/>
      <c r="AS44" s="14"/>
      <c r="AT44" s="14"/>
      <c r="AU44" s="14">
        <f t="shared" si="7"/>
        <v>0</v>
      </c>
      <c r="AV44" s="28">
        <v>27</v>
      </c>
      <c r="AW44" s="13"/>
      <c r="AX44" s="14"/>
      <c r="AY44" s="14"/>
      <c r="AZ44" s="14">
        <f t="shared" si="8"/>
        <v>0</v>
      </c>
      <c r="BA44" s="28">
        <v>27</v>
      </c>
      <c r="BB44" s="13"/>
      <c r="BC44" s="14"/>
      <c r="BD44" s="14"/>
      <c r="BE44" s="14">
        <f t="shared" si="9"/>
        <v>0</v>
      </c>
    </row>
    <row r="45" spans="8:57" s="2" customFormat="1" ht="85.15" customHeight="1">
      <c r="H45" s="28">
        <v>28</v>
      </c>
      <c r="I45" s="13"/>
      <c r="J45" s="14"/>
      <c r="K45" s="14"/>
      <c r="L45" s="14">
        <f t="shared" si="0"/>
        <v>0</v>
      </c>
      <c r="M45" s="28">
        <v>28</v>
      </c>
      <c r="N45" s="13"/>
      <c r="O45" s="14"/>
      <c r="P45" s="14"/>
      <c r="Q45" s="14">
        <f t="shared" si="1"/>
        <v>0</v>
      </c>
      <c r="R45" s="28">
        <v>28</v>
      </c>
      <c r="S45" s="13"/>
      <c r="T45" s="14"/>
      <c r="U45" s="14"/>
      <c r="V45" s="14">
        <f t="shared" si="2"/>
        <v>0</v>
      </c>
      <c r="W45" s="28">
        <v>28</v>
      </c>
      <c r="X45" s="13"/>
      <c r="Y45" s="14"/>
      <c r="Z45" s="14"/>
      <c r="AA45" s="14">
        <f t="shared" si="3"/>
        <v>0</v>
      </c>
      <c r="AB45" s="28">
        <v>28</v>
      </c>
      <c r="AC45" s="13"/>
      <c r="AD45" s="14"/>
      <c r="AE45" s="14"/>
      <c r="AF45" s="14">
        <f t="shared" si="4"/>
        <v>0</v>
      </c>
      <c r="AG45" s="28">
        <v>28</v>
      </c>
      <c r="AH45" s="13"/>
      <c r="AI45" s="14"/>
      <c r="AJ45" s="14"/>
      <c r="AK45" s="14">
        <f t="shared" si="5"/>
        <v>0</v>
      </c>
      <c r="AL45" s="28">
        <v>28</v>
      </c>
      <c r="AM45" s="13"/>
      <c r="AN45" s="14"/>
      <c r="AO45" s="14"/>
      <c r="AP45" s="14">
        <f t="shared" si="6"/>
        <v>0</v>
      </c>
      <c r="AQ45" s="28">
        <v>28</v>
      </c>
      <c r="AR45" s="13"/>
      <c r="AS45" s="14"/>
      <c r="AT45" s="14"/>
      <c r="AU45" s="14">
        <f t="shared" si="7"/>
        <v>0</v>
      </c>
      <c r="AV45" s="28">
        <v>28</v>
      </c>
      <c r="AW45" s="13"/>
      <c r="AX45" s="14"/>
      <c r="AY45" s="14"/>
      <c r="AZ45" s="14">
        <f t="shared" si="8"/>
        <v>0</v>
      </c>
      <c r="BA45" s="28">
        <v>28</v>
      </c>
      <c r="BB45" s="13"/>
      <c r="BC45" s="14"/>
      <c r="BD45" s="14"/>
      <c r="BE45" s="14">
        <f t="shared" si="9"/>
        <v>0</v>
      </c>
    </row>
    <row r="46" spans="8:57" s="2" customFormat="1" ht="85.15" customHeight="1">
      <c r="H46" s="28">
        <v>29</v>
      </c>
      <c r="I46" s="13"/>
      <c r="J46" s="14"/>
      <c r="K46" s="14"/>
      <c r="L46" s="14">
        <f t="shared" si="0"/>
        <v>0</v>
      </c>
      <c r="M46" s="28">
        <v>29</v>
      </c>
      <c r="N46" s="13"/>
      <c r="O46" s="14"/>
      <c r="P46" s="14"/>
      <c r="Q46" s="14">
        <f t="shared" si="1"/>
        <v>0</v>
      </c>
      <c r="R46" s="28">
        <v>29</v>
      </c>
      <c r="S46" s="13"/>
      <c r="T46" s="14"/>
      <c r="U46" s="14"/>
      <c r="V46" s="14">
        <f t="shared" si="2"/>
        <v>0</v>
      </c>
      <c r="W46" s="28">
        <v>29</v>
      </c>
      <c r="X46" s="13"/>
      <c r="Y46" s="14"/>
      <c r="Z46" s="14"/>
      <c r="AA46" s="14">
        <f t="shared" si="3"/>
        <v>0</v>
      </c>
      <c r="AB46" s="28">
        <v>29</v>
      </c>
      <c r="AC46" s="13"/>
      <c r="AD46" s="14"/>
      <c r="AE46" s="14"/>
      <c r="AF46" s="14">
        <f t="shared" si="4"/>
        <v>0</v>
      </c>
      <c r="AG46" s="28">
        <v>29</v>
      </c>
      <c r="AH46" s="13"/>
      <c r="AI46" s="14"/>
      <c r="AJ46" s="14"/>
      <c r="AK46" s="14">
        <f t="shared" si="5"/>
        <v>0</v>
      </c>
      <c r="AL46" s="28">
        <v>29</v>
      </c>
      <c r="AM46" s="13"/>
      <c r="AN46" s="14"/>
      <c r="AO46" s="14"/>
      <c r="AP46" s="14">
        <f t="shared" si="6"/>
        <v>0</v>
      </c>
      <c r="AQ46" s="28">
        <v>29</v>
      </c>
      <c r="AR46" s="13"/>
      <c r="AS46" s="14"/>
      <c r="AT46" s="14"/>
      <c r="AU46" s="14">
        <f t="shared" si="7"/>
        <v>0</v>
      </c>
      <c r="AV46" s="28">
        <v>29</v>
      </c>
      <c r="AW46" s="13"/>
      <c r="AX46" s="14"/>
      <c r="AY46" s="14"/>
      <c r="AZ46" s="14">
        <f t="shared" si="8"/>
        <v>0</v>
      </c>
      <c r="BA46" s="28">
        <v>29</v>
      </c>
      <c r="BB46" s="13"/>
      <c r="BC46" s="14"/>
      <c r="BD46" s="14"/>
      <c r="BE46" s="14">
        <f t="shared" si="9"/>
        <v>0</v>
      </c>
    </row>
    <row r="47" spans="8:57" s="2" customFormat="1" ht="85.15" customHeight="1">
      <c r="H47" s="28">
        <v>30</v>
      </c>
      <c r="I47" s="13"/>
      <c r="J47" s="14"/>
      <c r="K47" s="14"/>
      <c r="L47" s="14">
        <f t="shared" si="0"/>
        <v>0</v>
      </c>
      <c r="M47" s="28">
        <v>30</v>
      </c>
      <c r="N47" s="13"/>
      <c r="O47" s="14"/>
      <c r="P47" s="14"/>
      <c r="Q47" s="14">
        <f t="shared" si="1"/>
        <v>0</v>
      </c>
      <c r="R47" s="28">
        <v>30</v>
      </c>
      <c r="S47" s="13"/>
      <c r="T47" s="14"/>
      <c r="U47" s="14"/>
      <c r="V47" s="14">
        <f t="shared" si="2"/>
        <v>0</v>
      </c>
      <c r="W47" s="28">
        <v>30</v>
      </c>
      <c r="X47" s="13"/>
      <c r="Y47" s="14"/>
      <c r="Z47" s="14"/>
      <c r="AA47" s="14">
        <f t="shared" si="3"/>
        <v>0</v>
      </c>
      <c r="AB47" s="28">
        <v>30</v>
      </c>
      <c r="AC47" s="13"/>
      <c r="AD47" s="14"/>
      <c r="AE47" s="14"/>
      <c r="AF47" s="14">
        <f t="shared" si="4"/>
        <v>0</v>
      </c>
      <c r="AG47" s="28">
        <v>30</v>
      </c>
      <c r="AH47" s="13"/>
      <c r="AI47" s="14"/>
      <c r="AJ47" s="14"/>
      <c r="AK47" s="14">
        <f t="shared" si="5"/>
        <v>0</v>
      </c>
      <c r="AL47" s="28">
        <v>30</v>
      </c>
      <c r="AM47" s="13"/>
      <c r="AN47" s="14"/>
      <c r="AO47" s="14"/>
      <c r="AP47" s="14">
        <f t="shared" si="6"/>
        <v>0</v>
      </c>
      <c r="AQ47" s="28">
        <v>30</v>
      </c>
      <c r="AR47" s="13"/>
      <c r="AS47" s="14"/>
      <c r="AT47" s="14"/>
      <c r="AU47" s="14">
        <f t="shared" si="7"/>
        <v>0</v>
      </c>
      <c r="AV47" s="28">
        <v>30</v>
      </c>
      <c r="AW47" s="13"/>
      <c r="AX47" s="14"/>
      <c r="AY47" s="14"/>
      <c r="AZ47" s="14">
        <f t="shared" si="8"/>
        <v>0</v>
      </c>
      <c r="BA47" s="28">
        <v>30</v>
      </c>
      <c r="BB47" s="13"/>
      <c r="BC47" s="14"/>
      <c r="BD47" s="14"/>
      <c r="BE47" s="14">
        <f t="shared" si="9"/>
        <v>0</v>
      </c>
    </row>
    <row r="48" spans="8:57" s="2" customFormat="1" ht="85.15" customHeight="1">
      <c r="H48" s="28">
        <v>31</v>
      </c>
      <c r="I48" s="13"/>
      <c r="J48" s="14"/>
      <c r="K48" s="14"/>
      <c r="L48" s="14">
        <f t="shared" si="0"/>
        <v>0</v>
      </c>
      <c r="M48" s="28">
        <v>31</v>
      </c>
      <c r="N48" s="13"/>
      <c r="O48" s="14"/>
      <c r="P48" s="14"/>
      <c r="Q48" s="14">
        <f t="shared" si="1"/>
        <v>0</v>
      </c>
      <c r="R48" s="28">
        <v>31</v>
      </c>
      <c r="S48" s="13"/>
      <c r="T48" s="14"/>
      <c r="U48" s="14"/>
      <c r="V48" s="14">
        <f t="shared" si="2"/>
        <v>0</v>
      </c>
      <c r="W48" s="28">
        <v>31</v>
      </c>
      <c r="X48" s="13"/>
      <c r="Y48" s="14"/>
      <c r="Z48" s="14"/>
      <c r="AA48" s="14">
        <f t="shared" si="3"/>
        <v>0</v>
      </c>
      <c r="AB48" s="28">
        <v>31</v>
      </c>
      <c r="AC48" s="13"/>
      <c r="AD48" s="14"/>
      <c r="AE48" s="14"/>
      <c r="AF48" s="14">
        <f t="shared" si="4"/>
        <v>0</v>
      </c>
      <c r="AG48" s="28">
        <v>31</v>
      </c>
      <c r="AH48" s="13"/>
      <c r="AI48" s="14"/>
      <c r="AJ48" s="14"/>
      <c r="AK48" s="14">
        <f t="shared" si="5"/>
        <v>0</v>
      </c>
      <c r="AL48" s="28">
        <v>31</v>
      </c>
      <c r="AM48" s="13"/>
      <c r="AN48" s="14"/>
      <c r="AO48" s="14"/>
      <c r="AP48" s="14">
        <f t="shared" si="6"/>
        <v>0</v>
      </c>
      <c r="AQ48" s="28">
        <v>31</v>
      </c>
      <c r="AR48" s="13"/>
      <c r="AS48" s="14"/>
      <c r="AT48" s="14"/>
      <c r="AU48" s="14">
        <f t="shared" si="7"/>
        <v>0</v>
      </c>
      <c r="AV48" s="28">
        <v>31</v>
      </c>
      <c r="AW48" s="13"/>
      <c r="AX48" s="14"/>
      <c r="AY48" s="14"/>
      <c r="AZ48" s="14">
        <f t="shared" si="8"/>
        <v>0</v>
      </c>
      <c r="BA48" s="28">
        <v>31</v>
      </c>
      <c r="BB48" s="13"/>
      <c r="BC48" s="14"/>
      <c r="BD48" s="14"/>
      <c r="BE48" s="14">
        <f t="shared" si="9"/>
        <v>0</v>
      </c>
    </row>
    <row r="49" spans="8:57" s="2" customFormat="1" ht="85.15" customHeight="1">
      <c r="H49" s="28">
        <v>32</v>
      </c>
      <c r="I49" s="13"/>
      <c r="J49" s="14"/>
      <c r="K49" s="14"/>
      <c r="L49" s="14">
        <f t="shared" si="0"/>
        <v>0</v>
      </c>
      <c r="M49" s="28">
        <v>32</v>
      </c>
      <c r="N49" s="13"/>
      <c r="O49" s="14"/>
      <c r="P49" s="14"/>
      <c r="Q49" s="14">
        <f t="shared" si="1"/>
        <v>0</v>
      </c>
      <c r="R49" s="28">
        <v>32</v>
      </c>
      <c r="S49" s="13"/>
      <c r="T49" s="14"/>
      <c r="U49" s="14"/>
      <c r="V49" s="14">
        <f t="shared" si="2"/>
        <v>0</v>
      </c>
      <c r="W49" s="28">
        <v>32</v>
      </c>
      <c r="X49" s="13"/>
      <c r="Y49" s="14"/>
      <c r="Z49" s="14"/>
      <c r="AA49" s="14">
        <f t="shared" si="3"/>
        <v>0</v>
      </c>
      <c r="AB49" s="28">
        <v>32</v>
      </c>
      <c r="AC49" s="13"/>
      <c r="AD49" s="14"/>
      <c r="AE49" s="14"/>
      <c r="AF49" s="14">
        <f t="shared" si="4"/>
        <v>0</v>
      </c>
      <c r="AG49" s="28">
        <v>32</v>
      </c>
      <c r="AH49" s="13"/>
      <c r="AI49" s="14"/>
      <c r="AJ49" s="14"/>
      <c r="AK49" s="14">
        <f t="shared" si="5"/>
        <v>0</v>
      </c>
      <c r="AL49" s="28">
        <v>32</v>
      </c>
      <c r="AM49" s="13"/>
      <c r="AN49" s="14"/>
      <c r="AO49" s="14"/>
      <c r="AP49" s="14">
        <f t="shared" si="6"/>
        <v>0</v>
      </c>
      <c r="AQ49" s="28">
        <v>32</v>
      </c>
      <c r="AR49" s="13"/>
      <c r="AS49" s="14"/>
      <c r="AT49" s="14"/>
      <c r="AU49" s="14">
        <f t="shared" si="7"/>
        <v>0</v>
      </c>
      <c r="AV49" s="28">
        <v>32</v>
      </c>
      <c r="AW49" s="13"/>
      <c r="AX49" s="14"/>
      <c r="AY49" s="14"/>
      <c r="AZ49" s="14">
        <f t="shared" si="8"/>
        <v>0</v>
      </c>
      <c r="BA49" s="28">
        <v>32</v>
      </c>
      <c r="BB49" s="13"/>
      <c r="BC49" s="14"/>
      <c r="BD49" s="14"/>
      <c r="BE49" s="14">
        <f t="shared" si="9"/>
        <v>0</v>
      </c>
    </row>
    <row r="50" spans="8:57" s="2" customFormat="1" ht="85.15" customHeight="1">
      <c r="H50" s="28">
        <v>33</v>
      </c>
      <c r="I50" s="13"/>
      <c r="J50" s="14"/>
      <c r="K50" s="14"/>
      <c r="L50" s="14">
        <f t="shared" si="0"/>
        <v>0</v>
      </c>
      <c r="M50" s="28">
        <v>33</v>
      </c>
      <c r="N50" s="13"/>
      <c r="O50" s="14"/>
      <c r="P50" s="14"/>
      <c r="Q50" s="14">
        <f t="shared" si="1"/>
        <v>0</v>
      </c>
      <c r="R50" s="28">
        <v>33</v>
      </c>
      <c r="S50" s="13"/>
      <c r="T50" s="14"/>
      <c r="U50" s="14"/>
      <c r="V50" s="14">
        <f t="shared" si="2"/>
        <v>0</v>
      </c>
      <c r="W50" s="28">
        <v>33</v>
      </c>
      <c r="X50" s="13"/>
      <c r="Y50" s="14"/>
      <c r="Z50" s="14"/>
      <c r="AA50" s="14">
        <f t="shared" si="3"/>
        <v>0</v>
      </c>
      <c r="AB50" s="28">
        <v>33</v>
      </c>
      <c r="AC50" s="13"/>
      <c r="AD50" s="14"/>
      <c r="AE50" s="14"/>
      <c r="AF50" s="14">
        <f t="shared" si="4"/>
        <v>0</v>
      </c>
      <c r="AG50" s="28">
        <v>33</v>
      </c>
      <c r="AH50" s="13"/>
      <c r="AI50" s="14"/>
      <c r="AJ50" s="14"/>
      <c r="AK50" s="14">
        <f t="shared" si="5"/>
        <v>0</v>
      </c>
      <c r="AL50" s="28">
        <v>33</v>
      </c>
      <c r="AM50" s="13"/>
      <c r="AN50" s="14"/>
      <c r="AO50" s="14"/>
      <c r="AP50" s="14">
        <f t="shared" si="6"/>
        <v>0</v>
      </c>
      <c r="AQ50" s="28">
        <v>33</v>
      </c>
      <c r="AR50" s="13"/>
      <c r="AS50" s="14"/>
      <c r="AT50" s="14"/>
      <c r="AU50" s="14">
        <f t="shared" si="7"/>
        <v>0</v>
      </c>
      <c r="AV50" s="28">
        <v>33</v>
      </c>
      <c r="AW50" s="13"/>
      <c r="AX50" s="14"/>
      <c r="AY50" s="14"/>
      <c r="AZ50" s="14">
        <f t="shared" si="8"/>
        <v>0</v>
      </c>
      <c r="BA50" s="28">
        <v>33</v>
      </c>
      <c r="BB50" s="13"/>
      <c r="BC50" s="14"/>
      <c r="BD50" s="14"/>
      <c r="BE50" s="14">
        <f t="shared" si="9"/>
        <v>0</v>
      </c>
    </row>
    <row r="51" spans="8:57" s="2" customFormat="1" ht="85.15" customHeight="1">
      <c r="H51" s="28">
        <v>34</v>
      </c>
      <c r="I51" s="13"/>
      <c r="J51" s="14"/>
      <c r="K51" s="14"/>
      <c r="L51" s="14">
        <f t="shared" si="0"/>
        <v>0</v>
      </c>
      <c r="M51" s="28">
        <v>34</v>
      </c>
      <c r="N51" s="13"/>
      <c r="O51" s="14"/>
      <c r="P51" s="14"/>
      <c r="Q51" s="14">
        <f t="shared" si="1"/>
        <v>0</v>
      </c>
      <c r="R51" s="28">
        <v>34</v>
      </c>
      <c r="S51" s="13"/>
      <c r="T51" s="14"/>
      <c r="U51" s="14"/>
      <c r="V51" s="14">
        <f t="shared" si="2"/>
        <v>0</v>
      </c>
      <c r="W51" s="28">
        <v>34</v>
      </c>
      <c r="X51" s="13"/>
      <c r="Y51" s="14"/>
      <c r="Z51" s="14"/>
      <c r="AA51" s="14">
        <f t="shared" si="3"/>
        <v>0</v>
      </c>
      <c r="AB51" s="28">
        <v>34</v>
      </c>
      <c r="AC51" s="13"/>
      <c r="AD51" s="14"/>
      <c r="AE51" s="14"/>
      <c r="AF51" s="14">
        <f t="shared" si="4"/>
        <v>0</v>
      </c>
      <c r="AG51" s="28">
        <v>34</v>
      </c>
      <c r="AH51" s="13"/>
      <c r="AI51" s="14"/>
      <c r="AJ51" s="14"/>
      <c r="AK51" s="14">
        <f t="shared" si="5"/>
        <v>0</v>
      </c>
      <c r="AL51" s="28">
        <v>34</v>
      </c>
      <c r="AM51" s="13"/>
      <c r="AN51" s="14"/>
      <c r="AO51" s="14"/>
      <c r="AP51" s="14">
        <f t="shared" si="6"/>
        <v>0</v>
      </c>
      <c r="AQ51" s="28">
        <v>34</v>
      </c>
      <c r="AR51" s="13"/>
      <c r="AS51" s="14"/>
      <c r="AT51" s="14"/>
      <c r="AU51" s="14">
        <f t="shared" si="7"/>
        <v>0</v>
      </c>
      <c r="AV51" s="28">
        <v>34</v>
      </c>
      <c r="AW51" s="13"/>
      <c r="AX51" s="14"/>
      <c r="AY51" s="14"/>
      <c r="AZ51" s="14">
        <f t="shared" si="8"/>
        <v>0</v>
      </c>
      <c r="BA51" s="28">
        <v>34</v>
      </c>
      <c r="BB51" s="13"/>
      <c r="BC51" s="14"/>
      <c r="BD51" s="14"/>
      <c r="BE51" s="14">
        <f t="shared" si="9"/>
        <v>0</v>
      </c>
    </row>
    <row r="52" spans="8:57" s="2" customFormat="1" ht="85.15" customHeight="1">
      <c r="H52" s="28">
        <v>35</v>
      </c>
      <c r="I52" s="13"/>
      <c r="J52" s="14"/>
      <c r="K52" s="14"/>
      <c r="L52" s="14">
        <f t="shared" si="0"/>
        <v>0</v>
      </c>
      <c r="M52" s="28">
        <v>35</v>
      </c>
      <c r="N52" s="13"/>
      <c r="O52" s="14"/>
      <c r="P52" s="14"/>
      <c r="Q52" s="14">
        <f t="shared" si="1"/>
        <v>0</v>
      </c>
      <c r="R52" s="28">
        <v>35</v>
      </c>
      <c r="S52" s="13"/>
      <c r="T52" s="14"/>
      <c r="U52" s="14"/>
      <c r="V52" s="14">
        <f t="shared" si="2"/>
        <v>0</v>
      </c>
      <c r="W52" s="28">
        <v>35</v>
      </c>
      <c r="X52" s="13"/>
      <c r="Y52" s="14"/>
      <c r="Z52" s="14"/>
      <c r="AA52" s="14">
        <f t="shared" si="3"/>
        <v>0</v>
      </c>
      <c r="AB52" s="28">
        <v>35</v>
      </c>
      <c r="AC52" s="13"/>
      <c r="AD52" s="14"/>
      <c r="AE52" s="14"/>
      <c r="AF52" s="14">
        <f t="shared" si="4"/>
        <v>0</v>
      </c>
      <c r="AG52" s="28">
        <v>35</v>
      </c>
      <c r="AH52" s="13"/>
      <c r="AI52" s="14"/>
      <c r="AJ52" s="14"/>
      <c r="AK52" s="14">
        <f t="shared" si="5"/>
        <v>0</v>
      </c>
      <c r="AL52" s="28">
        <v>35</v>
      </c>
      <c r="AM52" s="13"/>
      <c r="AN52" s="14"/>
      <c r="AO52" s="14"/>
      <c r="AP52" s="14">
        <f t="shared" si="6"/>
        <v>0</v>
      </c>
      <c r="AQ52" s="28">
        <v>35</v>
      </c>
      <c r="AR52" s="13"/>
      <c r="AS52" s="14"/>
      <c r="AT52" s="14"/>
      <c r="AU52" s="14">
        <f t="shared" si="7"/>
        <v>0</v>
      </c>
      <c r="AV52" s="28">
        <v>35</v>
      </c>
      <c r="AW52" s="13"/>
      <c r="AX52" s="14"/>
      <c r="AY52" s="14"/>
      <c r="AZ52" s="14">
        <f t="shared" si="8"/>
        <v>0</v>
      </c>
      <c r="BA52" s="28">
        <v>35</v>
      </c>
      <c r="BB52" s="13"/>
      <c r="BC52" s="14"/>
      <c r="BD52" s="14"/>
      <c r="BE52" s="14">
        <f t="shared" si="9"/>
        <v>0</v>
      </c>
    </row>
    <row r="53" spans="8:57" s="2" customFormat="1" ht="85.15" customHeight="1">
      <c r="H53" s="28">
        <v>36</v>
      </c>
      <c r="I53" s="13"/>
      <c r="J53" s="14"/>
      <c r="K53" s="14"/>
      <c r="L53" s="14">
        <f t="shared" si="0"/>
        <v>0</v>
      </c>
      <c r="M53" s="28">
        <v>36</v>
      </c>
      <c r="N53" s="13"/>
      <c r="O53" s="14"/>
      <c r="P53" s="14"/>
      <c r="Q53" s="14">
        <f t="shared" si="1"/>
        <v>0</v>
      </c>
      <c r="R53" s="28">
        <v>36</v>
      </c>
      <c r="S53" s="13"/>
      <c r="T53" s="14"/>
      <c r="U53" s="14"/>
      <c r="V53" s="14">
        <f t="shared" si="2"/>
        <v>0</v>
      </c>
      <c r="W53" s="28">
        <v>36</v>
      </c>
      <c r="X53" s="13"/>
      <c r="Y53" s="14"/>
      <c r="Z53" s="14"/>
      <c r="AA53" s="14">
        <f t="shared" si="3"/>
        <v>0</v>
      </c>
      <c r="AB53" s="28">
        <v>36</v>
      </c>
      <c r="AC53" s="13"/>
      <c r="AD53" s="14"/>
      <c r="AE53" s="14"/>
      <c r="AF53" s="14">
        <f t="shared" si="4"/>
        <v>0</v>
      </c>
      <c r="AG53" s="28">
        <v>36</v>
      </c>
      <c r="AH53" s="13"/>
      <c r="AI53" s="14"/>
      <c r="AJ53" s="14"/>
      <c r="AK53" s="14">
        <f t="shared" si="5"/>
        <v>0</v>
      </c>
      <c r="AL53" s="28">
        <v>36</v>
      </c>
      <c r="AM53" s="13"/>
      <c r="AN53" s="14"/>
      <c r="AO53" s="14"/>
      <c r="AP53" s="14">
        <f t="shared" si="6"/>
        <v>0</v>
      </c>
      <c r="AQ53" s="28">
        <v>36</v>
      </c>
      <c r="AR53" s="13"/>
      <c r="AS53" s="14"/>
      <c r="AT53" s="14"/>
      <c r="AU53" s="14">
        <f t="shared" si="7"/>
        <v>0</v>
      </c>
      <c r="AV53" s="28">
        <v>36</v>
      </c>
      <c r="AW53" s="13"/>
      <c r="AX53" s="14"/>
      <c r="AY53" s="14"/>
      <c r="AZ53" s="14">
        <f t="shared" si="8"/>
        <v>0</v>
      </c>
      <c r="BA53" s="28">
        <v>36</v>
      </c>
      <c r="BB53" s="13"/>
      <c r="BC53" s="14"/>
      <c r="BD53" s="14"/>
      <c r="BE53" s="14">
        <f t="shared" si="9"/>
        <v>0</v>
      </c>
    </row>
    <row r="54" spans="8:57" s="2" customFormat="1" ht="85.15" customHeight="1">
      <c r="H54" s="28">
        <v>37</v>
      </c>
      <c r="I54" s="13"/>
      <c r="J54" s="14"/>
      <c r="K54" s="14"/>
      <c r="L54" s="14">
        <f t="shared" si="0"/>
        <v>0</v>
      </c>
      <c r="M54" s="28">
        <v>37</v>
      </c>
      <c r="N54" s="13"/>
      <c r="O54" s="14"/>
      <c r="P54" s="14"/>
      <c r="Q54" s="14">
        <f t="shared" si="1"/>
        <v>0</v>
      </c>
      <c r="R54" s="28">
        <v>37</v>
      </c>
      <c r="S54" s="13"/>
      <c r="T54" s="14"/>
      <c r="U54" s="14"/>
      <c r="V54" s="14">
        <f t="shared" si="2"/>
        <v>0</v>
      </c>
      <c r="W54" s="28">
        <v>37</v>
      </c>
      <c r="X54" s="13"/>
      <c r="Y54" s="14"/>
      <c r="Z54" s="14"/>
      <c r="AA54" s="14">
        <f t="shared" si="3"/>
        <v>0</v>
      </c>
      <c r="AB54" s="28">
        <v>37</v>
      </c>
      <c r="AC54" s="13"/>
      <c r="AD54" s="14"/>
      <c r="AE54" s="14"/>
      <c r="AF54" s="14">
        <f t="shared" si="4"/>
        <v>0</v>
      </c>
      <c r="AG54" s="28">
        <v>37</v>
      </c>
      <c r="AH54" s="13"/>
      <c r="AI54" s="14"/>
      <c r="AJ54" s="14"/>
      <c r="AK54" s="14">
        <f t="shared" si="5"/>
        <v>0</v>
      </c>
      <c r="AL54" s="28">
        <v>37</v>
      </c>
      <c r="AM54" s="13"/>
      <c r="AN54" s="14"/>
      <c r="AO54" s="14"/>
      <c r="AP54" s="14">
        <f t="shared" si="6"/>
        <v>0</v>
      </c>
      <c r="AQ54" s="28">
        <v>37</v>
      </c>
      <c r="AR54" s="13"/>
      <c r="AS54" s="14"/>
      <c r="AT54" s="14"/>
      <c r="AU54" s="14">
        <f t="shared" si="7"/>
        <v>0</v>
      </c>
      <c r="AV54" s="28">
        <v>37</v>
      </c>
      <c r="AW54" s="13"/>
      <c r="AX54" s="14"/>
      <c r="AY54" s="14"/>
      <c r="AZ54" s="14">
        <f t="shared" si="8"/>
        <v>0</v>
      </c>
      <c r="BA54" s="28">
        <v>37</v>
      </c>
      <c r="BB54" s="13"/>
      <c r="BC54" s="14"/>
      <c r="BD54" s="14"/>
      <c r="BE54" s="14">
        <f t="shared" si="9"/>
        <v>0</v>
      </c>
    </row>
    <row r="55" spans="8:57" s="2" customFormat="1" ht="85.15" customHeight="1">
      <c r="H55" s="28">
        <v>38</v>
      </c>
      <c r="I55" s="13"/>
      <c r="J55" s="14"/>
      <c r="K55" s="14"/>
      <c r="L55" s="14">
        <f t="shared" si="0"/>
        <v>0</v>
      </c>
      <c r="M55" s="28">
        <v>38</v>
      </c>
      <c r="N55" s="13"/>
      <c r="O55" s="14"/>
      <c r="P55" s="14"/>
      <c r="Q55" s="14">
        <f t="shared" si="1"/>
        <v>0</v>
      </c>
      <c r="R55" s="28">
        <v>38</v>
      </c>
      <c r="S55" s="13"/>
      <c r="T55" s="14"/>
      <c r="U55" s="14"/>
      <c r="V55" s="14">
        <f t="shared" si="2"/>
        <v>0</v>
      </c>
      <c r="W55" s="28">
        <v>38</v>
      </c>
      <c r="X55" s="13"/>
      <c r="Y55" s="14"/>
      <c r="Z55" s="14"/>
      <c r="AA55" s="14">
        <f t="shared" si="3"/>
        <v>0</v>
      </c>
      <c r="AB55" s="28">
        <v>38</v>
      </c>
      <c r="AC55" s="13"/>
      <c r="AD55" s="14"/>
      <c r="AE55" s="14"/>
      <c r="AF55" s="14">
        <f t="shared" si="4"/>
        <v>0</v>
      </c>
      <c r="AG55" s="28">
        <v>38</v>
      </c>
      <c r="AH55" s="13"/>
      <c r="AI55" s="14"/>
      <c r="AJ55" s="14"/>
      <c r="AK55" s="14">
        <f t="shared" si="5"/>
        <v>0</v>
      </c>
      <c r="AL55" s="28">
        <v>38</v>
      </c>
      <c r="AM55" s="13"/>
      <c r="AN55" s="14"/>
      <c r="AO55" s="14"/>
      <c r="AP55" s="14">
        <f t="shared" si="6"/>
        <v>0</v>
      </c>
      <c r="AQ55" s="28">
        <v>38</v>
      </c>
      <c r="AR55" s="13"/>
      <c r="AS55" s="14"/>
      <c r="AT55" s="14"/>
      <c r="AU55" s="14">
        <f t="shared" si="7"/>
        <v>0</v>
      </c>
      <c r="AV55" s="28">
        <v>38</v>
      </c>
      <c r="AW55" s="13"/>
      <c r="AX55" s="14"/>
      <c r="AY55" s="14"/>
      <c r="AZ55" s="14">
        <f t="shared" si="8"/>
        <v>0</v>
      </c>
      <c r="BA55" s="28">
        <v>38</v>
      </c>
      <c r="BB55" s="13"/>
      <c r="BC55" s="14"/>
      <c r="BD55" s="14"/>
      <c r="BE55" s="14">
        <f t="shared" si="9"/>
        <v>0</v>
      </c>
    </row>
    <row r="56" spans="8:57" s="2" customFormat="1" ht="85.15" customHeight="1">
      <c r="H56" s="28">
        <v>39</v>
      </c>
      <c r="I56" s="13"/>
      <c r="J56" s="14"/>
      <c r="K56" s="14"/>
      <c r="L56" s="14">
        <f t="shared" si="0"/>
        <v>0</v>
      </c>
      <c r="M56" s="28">
        <v>39</v>
      </c>
      <c r="N56" s="13"/>
      <c r="O56" s="14"/>
      <c r="P56" s="14"/>
      <c r="Q56" s="14">
        <f t="shared" si="1"/>
        <v>0</v>
      </c>
      <c r="R56" s="28">
        <v>39</v>
      </c>
      <c r="S56" s="13"/>
      <c r="T56" s="14"/>
      <c r="U56" s="14"/>
      <c r="V56" s="14">
        <f t="shared" si="2"/>
        <v>0</v>
      </c>
      <c r="W56" s="28">
        <v>39</v>
      </c>
      <c r="X56" s="13"/>
      <c r="Y56" s="14"/>
      <c r="Z56" s="14"/>
      <c r="AA56" s="14">
        <f t="shared" si="3"/>
        <v>0</v>
      </c>
      <c r="AB56" s="28">
        <v>39</v>
      </c>
      <c r="AC56" s="13"/>
      <c r="AD56" s="14"/>
      <c r="AE56" s="14"/>
      <c r="AF56" s="14">
        <f t="shared" si="4"/>
        <v>0</v>
      </c>
      <c r="AG56" s="28">
        <v>39</v>
      </c>
      <c r="AH56" s="13"/>
      <c r="AI56" s="14"/>
      <c r="AJ56" s="14"/>
      <c r="AK56" s="14">
        <f t="shared" si="5"/>
        <v>0</v>
      </c>
      <c r="AL56" s="28">
        <v>39</v>
      </c>
      <c r="AM56" s="13"/>
      <c r="AN56" s="14"/>
      <c r="AO56" s="14"/>
      <c r="AP56" s="14">
        <f t="shared" si="6"/>
        <v>0</v>
      </c>
      <c r="AQ56" s="28">
        <v>39</v>
      </c>
      <c r="AR56" s="13"/>
      <c r="AS56" s="14"/>
      <c r="AT56" s="14"/>
      <c r="AU56" s="14">
        <f t="shared" si="7"/>
        <v>0</v>
      </c>
      <c r="AV56" s="28">
        <v>39</v>
      </c>
      <c r="AW56" s="13"/>
      <c r="AX56" s="14"/>
      <c r="AY56" s="14"/>
      <c r="AZ56" s="14">
        <f t="shared" si="8"/>
        <v>0</v>
      </c>
      <c r="BA56" s="28">
        <v>39</v>
      </c>
      <c r="BB56" s="13"/>
      <c r="BC56" s="14"/>
      <c r="BD56" s="14"/>
      <c r="BE56" s="14">
        <f t="shared" si="9"/>
        <v>0</v>
      </c>
    </row>
    <row r="57" spans="8:57" s="2" customFormat="1" ht="85.15" customHeight="1">
      <c r="H57" s="28">
        <v>40</v>
      </c>
      <c r="I57" s="13"/>
      <c r="J57" s="14"/>
      <c r="K57" s="14"/>
      <c r="L57" s="14">
        <f t="shared" si="0"/>
        <v>0</v>
      </c>
      <c r="M57" s="28">
        <v>40</v>
      </c>
      <c r="N57" s="13"/>
      <c r="O57" s="14"/>
      <c r="P57" s="14"/>
      <c r="Q57" s="14">
        <f t="shared" si="1"/>
        <v>0</v>
      </c>
      <c r="R57" s="28">
        <v>40</v>
      </c>
      <c r="S57" s="13"/>
      <c r="T57" s="14"/>
      <c r="U57" s="14"/>
      <c r="V57" s="14">
        <f t="shared" si="2"/>
        <v>0</v>
      </c>
      <c r="W57" s="28">
        <v>40</v>
      </c>
      <c r="X57" s="13"/>
      <c r="Y57" s="14"/>
      <c r="Z57" s="14"/>
      <c r="AA57" s="14">
        <f t="shared" si="3"/>
        <v>0</v>
      </c>
      <c r="AB57" s="28">
        <v>40</v>
      </c>
      <c r="AC57" s="13"/>
      <c r="AD57" s="14"/>
      <c r="AE57" s="14"/>
      <c r="AF57" s="14">
        <f t="shared" si="4"/>
        <v>0</v>
      </c>
      <c r="AG57" s="28">
        <v>40</v>
      </c>
      <c r="AH57" s="13"/>
      <c r="AI57" s="14"/>
      <c r="AJ57" s="14"/>
      <c r="AK57" s="14">
        <f t="shared" si="5"/>
        <v>0</v>
      </c>
      <c r="AL57" s="28">
        <v>40</v>
      </c>
      <c r="AM57" s="13"/>
      <c r="AN57" s="14"/>
      <c r="AO57" s="14"/>
      <c r="AP57" s="14">
        <f t="shared" si="6"/>
        <v>0</v>
      </c>
      <c r="AQ57" s="28">
        <v>40</v>
      </c>
      <c r="AR57" s="13"/>
      <c r="AS57" s="14"/>
      <c r="AT57" s="14"/>
      <c r="AU57" s="14">
        <f t="shared" si="7"/>
        <v>0</v>
      </c>
      <c r="AV57" s="28">
        <v>40</v>
      </c>
      <c r="AW57" s="13"/>
      <c r="AX57" s="14"/>
      <c r="AY57" s="14"/>
      <c r="AZ57" s="14">
        <f t="shared" si="8"/>
        <v>0</v>
      </c>
      <c r="BA57" s="28">
        <v>40</v>
      </c>
      <c r="BB57" s="13"/>
      <c r="BC57" s="14"/>
      <c r="BD57" s="14"/>
      <c r="BE57" s="14">
        <f t="shared" si="9"/>
        <v>0</v>
      </c>
    </row>
    <row r="58" spans="8:57" s="2" customFormat="1" ht="85.15" customHeight="1">
      <c r="H58" s="28">
        <v>41</v>
      </c>
      <c r="I58" s="13"/>
      <c r="J58" s="14"/>
      <c r="K58" s="14"/>
      <c r="L58" s="14">
        <f t="shared" si="0"/>
        <v>0</v>
      </c>
      <c r="M58" s="28">
        <v>41</v>
      </c>
      <c r="N58" s="13"/>
      <c r="O58" s="14"/>
      <c r="P58" s="14"/>
      <c r="Q58" s="14">
        <f t="shared" si="1"/>
        <v>0</v>
      </c>
      <c r="R58" s="28">
        <v>41</v>
      </c>
      <c r="S58" s="13"/>
      <c r="T58" s="14"/>
      <c r="U58" s="14"/>
      <c r="V58" s="14">
        <f t="shared" si="2"/>
        <v>0</v>
      </c>
      <c r="W58" s="28">
        <v>41</v>
      </c>
      <c r="X58" s="13"/>
      <c r="Y58" s="14"/>
      <c r="Z58" s="14"/>
      <c r="AA58" s="14">
        <f t="shared" si="3"/>
        <v>0</v>
      </c>
      <c r="AB58" s="28">
        <v>41</v>
      </c>
      <c r="AC58" s="13"/>
      <c r="AD58" s="14"/>
      <c r="AE58" s="14"/>
      <c r="AF58" s="14">
        <f t="shared" si="4"/>
        <v>0</v>
      </c>
      <c r="AG58" s="28">
        <v>41</v>
      </c>
      <c r="AH58" s="13"/>
      <c r="AI58" s="14"/>
      <c r="AJ58" s="14"/>
      <c r="AK58" s="14">
        <f t="shared" si="5"/>
        <v>0</v>
      </c>
      <c r="AL58" s="28">
        <v>41</v>
      </c>
      <c r="AM58" s="13"/>
      <c r="AN58" s="14"/>
      <c r="AO58" s="14"/>
      <c r="AP58" s="14">
        <f t="shared" si="6"/>
        <v>0</v>
      </c>
      <c r="AQ58" s="28">
        <v>41</v>
      </c>
      <c r="AR58" s="13"/>
      <c r="AS58" s="14"/>
      <c r="AT58" s="14"/>
      <c r="AU58" s="14">
        <f t="shared" si="7"/>
        <v>0</v>
      </c>
      <c r="AV58" s="28">
        <v>41</v>
      </c>
      <c r="AW58" s="13"/>
      <c r="AX58" s="14"/>
      <c r="AY58" s="14"/>
      <c r="AZ58" s="14">
        <f t="shared" si="8"/>
        <v>0</v>
      </c>
      <c r="BA58" s="28">
        <v>41</v>
      </c>
      <c r="BB58" s="13"/>
      <c r="BC58" s="14"/>
      <c r="BD58" s="14"/>
      <c r="BE58" s="14">
        <f t="shared" si="9"/>
        <v>0</v>
      </c>
    </row>
    <row r="59" spans="8:57" s="2" customFormat="1" ht="85.15" customHeight="1">
      <c r="H59" s="28">
        <v>42</v>
      </c>
      <c r="I59" s="13"/>
      <c r="J59" s="14"/>
      <c r="K59" s="14"/>
      <c r="L59" s="14">
        <f t="shared" si="0"/>
        <v>0</v>
      </c>
      <c r="M59" s="28">
        <v>42</v>
      </c>
      <c r="N59" s="13"/>
      <c r="O59" s="14"/>
      <c r="P59" s="14"/>
      <c r="Q59" s="14">
        <f t="shared" si="1"/>
        <v>0</v>
      </c>
      <c r="R59" s="28">
        <v>42</v>
      </c>
      <c r="S59" s="13"/>
      <c r="T59" s="14"/>
      <c r="U59" s="14"/>
      <c r="V59" s="14">
        <f t="shared" si="2"/>
        <v>0</v>
      </c>
      <c r="W59" s="28">
        <v>42</v>
      </c>
      <c r="X59" s="13"/>
      <c r="Y59" s="14"/>
      <c r="Z59" s="14"/>
      <c r="AA59" s="14">
        <f t="shared" si="3"/>
        <v>0</v>
      </c>
      <c r="AB59" s="28">
        <v>42</v>
      </c>
      <c r="AC59" s="13"/>
      <c r="AD59" s="14"/>
      <c r="AE59" s="14"/>
      <c r="AF59" s="14">
        <f t="shared" si="4"/>
        <v>0</v>
      </c>
      <c r="AG59" s="28">
        <v>42</v>
      </c>
      <c r="AH59" s="13"/>
      <c r="AI59" s="14"/>
      <c r="AJ59" s="14"/>
      <c r="AK59" s="14">
        <f t="shared" si="5"/>
        <v>0</v>
      </c>
      <c r="AL59" s="28">
        <v>42</v>
      </c>
      <c r="AM59" s="13"/>
      <c r="AN59" s="14"/>
      <c r="AO59" s="14"/>
      <c r="AP59" s="14">
        <f t="shared" si="6"/>
        <v>0</v>
      </c>
      <c r="AQ59" s="28">
        <v>42</v>
      </c>
      <c r="AR59" s="13"/>
      <c r="AS59" s="14"/>
      <c r="AT59" s="14"/>
      <c r="AU59" s="14">
        <f t="shared" si="7"/>
        <v>0</v>
      </c>
      <c r="AV59" s="28">
        <v>42</v>
      </c>
      <c r="AW59" s="13"/>
      <c r="AX59" s="14"/>
      <c r="AY59" s="14"/>
      <c r="AZ59" s="14">
        <f t="shared" si="8"/>
        <v>0</v>
      </c>
      <c r="BA59" s="28">
        <v>42</v>
      </c>
      <c r="BB59" s="13"/>
      <c r="BC59" s="14"/>
      <c r="BD59" s="14"/>
      <c r="BE59" s="14">
        <f t="shared" si="9"/>
        <v>0</v>
      </c>
    </row>
    <row r="60" spans="8:57" s="2" customFormat="1" ht="85.15" customHeight="1">
      <c r="H60" s="28">
        <v>43</v>
      </c>
      <c r="I60" s="13"/>
      <c r="J60" s="14"/>
      <c r="K60" s="14"/>
      <c r="L60" s="14">
        <f t="shared" si="0"/>
        <v>0</v>
      </c>
      <c r="M60" s="28">
        <v>43</v>
      </c>
      <c r="N60" s="13"/>
      <c r="O60" s="14"/>
      <c r="P60" s="14"/>
      <c r="Q60" s="14">
        <f t="shared" si="1"/>
        <v>0</v>
      </c>
      <c r="R60" s="28">
        <v>43</v>
      </c>
      <c r="S60" s="13"/>
      <c r="T60" s="14"/>
      <c r="U60" s="14"/>
      <c r="V60" s="14">
        <f t="shared" si="2"/>
        <v>0</v>
      </c>
      <c r="W60" s="28">
        <v>43</v>
      </c>
      <c r="X60" s="13"/>
      <c r="Y60" s="14"/>
      <c r="Z60" s="14"/>
      <c r="AA60" s="14">
        <f t="shared" si="3"/>
        <v>0</v>
      </c>
      <c r="AB60" s="28">
        <v>43</v>
      </c>
      <c r="AC60" s="13"/>
      <c r="AD60" s="14"/>
      <c r="AE60" s="14"/>
      <c r="AF60" s="14">
        <f t="shared" si="4"/>
        <v>0</v>
      </c>
      <c r="AG60" s="28">
        <v>43</v>
      </c>
      <c r="AH60" s="13"/>
      <c r="AI60" s="14"/>
      <c r="AJ60" s="14"/>
      <c r="AK60" s="14">
        <f t="shared" si="5"/>
        <v>0</v>
      </c>
      <c r="AL60" s="28">
        <v>43</v>
      </c>
      <c r="AM60" s="13"/>
      <c r="AN60" s="14"/>
      <c r="AO60" s="14"/>
      <c r="AP60" s="14">
        <f t="shared" si="6"/>
        <v>0</v>
      </c>
      <c r="AQ60" s="28">
        <v>43</v>
      </c>
      <c r="AR60" s="13"/>
      <c r="AS60" s="14"/>
      <c r="AT60" s="14"/>
      <c r="AU60" s="14">
        <f t="shared" si="7"/>
        <v>0</v>
      </c>
      <c r="AV60" s="28">
        <v>43</v>
      </c>
      <c r="AW60" s="13"/>
      <c r="AX60" s="14"/>
      <c r="AY60" s="14"/>
      <c r="AZ60" s="14">
        <f t="shared" si="8"/>
        <v>0</v>
      </c>
      <c r="BA60" s="28">
        <v>43</v>
      </c>
      <c r="BB60" s="13"/>
      <c r="BC60" s="14"/>
      <c r="BD60" s="14"/>
      <c r="BE60" s="14">
        <f t="shared" si="9"/>
        <v>0</v>
      </c>
    </row>
    <row r="61" spans="8:57" s="2" customFormat="1" ht="85.15" customHeight="1">
      <c r="H61" s="28">
        <v>44</v>
      </c>
      <c r="I61" s="13"/>
      <c r="J61" s="14"/>
      <c r="K61" s="14"/>
      <c r="L61" s="14">
        <f t="shared" si="0"/>
        <v>0</v>
      </c>
      <c r="M61" s="28">
        <v>44</v>
      </c>
      <c r="N61" s="13"/>
      <c r="O61" s="14"/>
      <c r="P61" s="14"/>
      <c r="Q61" s="14">
        <f t="shared" si="1"/>
        <v>0</v>
      </c>
      <c r="R61" s="28">
        <v>44</v>
      </c>
      <c r="S61" s="13"/>
      <c r="T61" s="14"/>
      <c r="U61" s="14"/>
      <c r="V61" s="14">
        <f t="shared" si="2"/>
        <v>0</v>
      </c>
      <c r="W61" s="28">
        <v>44</v>
      </c>
      <c r="X61" s="13"/>
      <c r="Y61" s="14"/>
      <c r="Z61" s="14"/>
      <c r="AA61" s="14">
        <f t="shared" si="3"/>
        <v>0</v>
      </c>
      <c r="AB61" s="28">
        <v>44</v>
      </c>
      <c r="AC61" s="13"/>
      <c r="AD61" s="14"/>
      <c r="AE61" s="14"/>
      <c r="AF61" s="14">
        <f t="shared" si="4"/>
        <v>0</v>
      </c>
      <c r="AG61" s="28">
        <v>44</v>
      </c>
      <c r="AH61" s="13"/>
      <c r="AI61" s="14"/>
      <c r="AJ61" s="14"/>
      <c r="AK61" s="14">
        <f t="shared" si="5"/>
        <v>0</v>
      </c>
      <c r="AL61" s="28">
        <v>44</v>
      </c>
      <c r="AM61" s="13"/>
      <c r="AN61" s="14"/>
      <c r="AO61" s="14"/>
      <c r="AP61" s="14">
        <f t="shared" si="6"/>
        <v>0</v>
      </c>
      <c r="AQ61" s="28">
        <v>44</v>
      </c>
      <c r="AR61" s="13"/>
      <c r="AS61" s="14"/>
      <c r="AT61" s="14"/>
      <c r="AU61" s="14">
        <f t="shared" si="7"/>
        <v>0</v>
      </c>
      <c r="AV61" s="28">
        <v>44</v>
      </c>
      <c r="AW61" s="13"/>
      <c r="AX61" s="14"/>
      <c r="AY61" s="14"/>
      <c r="AZ61" s="14">
        <f t="shared" si="8"/>
        <v>0</v>
      </c>
      <c r="BA61" s="28">
        <v>44</v>
      </c>
      <c r="BB61" s="13"/>
      <c r="BC61" s="14"/>
      <c r="BD61" s="14"/>
      <c r="BE61" s="14">
        <f t="shared" si="9"/>
        <v>0</v>
      </c>
    </row>
    <row r="62" spans="8:57" s="2" customFormat="1" ht="85.15" customHeight="1">
      <c r="H62" s="28">
        <v>45</v>
      </c>
      <c r="I62" s="13"/>
      <c r="J62" s="14"/>
      <c r="K62" s="14"/>
      <c r="L62" s="14">
        <f t="shared" si="0"/>
        <v>0</v>
      </c>
      <c r="M62" s="28">
        <v>45</v>
      </c>
      <c r="N62" s="13"/>
      <c r="O62" s="14"/>
      <c r="P62" s="14"/>
      <c r="Q62" s="14">
        <f t="shared" si="1"/>
        <v>0</v>
      </c>
      <c r="R62" s="28">
        <v>45</v>
      </c>
      <c r="S62" s="13"/>
      <c r="T62" s="14"/>
      <c r="U62" s="14"/>
      <c r="V62" s="14">
        <f t="shared" si="2"/>
        <v>0</v>
      </c>
      <c r="W62" s="28">
        <v>45</v>
      </c>
      <c r="X62" s="13"/>
      <c r="Y62" s="14"/>
      <c r="Z62" s="14"/>
      <c r="AA62" s="14">
        <f t="shared" si="3"/>
        <v>0</v>
      </c>
      <c r="AB62" s="28">
        <v>45</v>
      </c>
      <c r="AC62" s="13"/>
      <c r="AD62" s="14"/>
      <c r="AE62" s="14"/>
      <c r="AF62" s="14">
        <f t="shared" si="4"/>
        <v>0</v>
      </c>
      <c r="AG62" s="28">
        <v>45</v>
      </c>
      <c r="AH62" s="13"/>
      <c r="AI62" s="14"/>
      <c r="AJ62" s="14"/>
      <c r="AK62" s="14">
        <f t="shared" si="5"/>
        <v>0</v>
      </c>
      <c r="AL62" s="28">
        <v>45</v>
      </c>
      <c r="AM62" s="13"/>
      <c r="AN62" s="14"/>
      <c r="AO62" s="14"/>
      <c r="AP62" s="14">
        <f t="shared" si="6"/>
        <v>0</v>
      </c>
      <c r="AQ62" s="28">
        <v>45</v>
      </c>
      <c r="AR62" s="13"/>
      <c r="AS62" s="14"/>
      <c r="AT62" s="14"/>
      <c r="AU62" s="14">
        <f t="shared" si="7"/>
        <v>0</v>
      </c>
      <c r="AV62" s="28">
        <v>45</v>
      </c>
      <c r="AW62" s="13"/>
      <c r="AX62" s="14"/>
      <c r="AY62" s="14"/>
      <c r="AZ62" s="14">
        <f t="shared" si="8"/>
        <v>0</v>
      </c>
      <c r="BA62" s="28">
        <v>45</v>
      </c>
      <c r="BB62" s="13"/>
      <c r="BC62" s="14"/>
      <c r="BD62" s="14"/>
      <c r="BE62" s="14">
        <f t="shared" si="9"/>
        <v>0</v>
      </c>
    </row>
    <row r="63" spans="8:57" s="2" customFormat="1" ht="85.15" customHeight="1">
      <c r="H63" s="28">
        <v>46</v>
      </c>
      <c r="I63" s="13"/>
      <c r="J63" s="14"/>
      <c r="K63" s="14"/>
      <c r="L63" s="14">
        <f t="shared" si="0"/>
        <v>0</v>
      </c>
      <c r="M63" s="28">
        <v>46</v>
      </c>
      <c r="N63" s="13"/>
      <c r="O63" s="14"/>
      <c r="P63" s="14"/>
      <c r="Q63" s="14">
        <f t="shared" si="1"/>
        <v>0</v>
      </c>
      <c r="R63" s="28">
        <v>46</v>
      </c>
      <c r="S63" s="13"/>
      <c r="T63" s="14"/>
      <c r="U63" s="14"/>
      <c r="V63" s="14">
        <f t="shared" si="2"/>
        <v>0</v>
      </c>
      <c r="W63" s="28">
        <v>46</v>
      </c>
      <c r="X63" s="13"/>
      <c r="Y63" s="14"/>
      <c r="Z63" s="14"/>
      <c r="AA63" s="14">
        <f t="shared" si="3"/>
        <v>0</v>
      </c>
      <c r="AB63" s="28">
        <v>46</v>
      </c>
      <c r="AC63" s="13"/>
      <c r="AD63" s="14"/>
      <c r="AE63" s="14"/>
      <c r="AF63" s="14">
        <f t="shared" si="4"/>
        <v>0</v>
      </c>
      <c r="AG63" s="28">
        <v>46</v>
      </c>
      <c r="AH63" s="13"/>
      <c r="AI63" s="14"/>
      <c r="AJ63" s="14"/>
      <c r="AK63" s="14">
        <f t="shared" si="5"/>
        <v>0</v>
      </c>
      <c r="AL63" s="28">
        <v>46</v>
      </c>
      <c r="AM63" s="13"/>
      <c r="AN63" s="14"/>
      <c r="AO63" s="14"/>
      <c r="AP63" s="14">
        <f t="shared" si="6"/>
        <v>0</v>
      </c>
      <c r="AQ63" s="28">
        <v>46</v>
      </c>
      <c r="AR63" s="13"/>
      <c r="AS63" s="14"/>
      <c r="AT63" s="14"/>
      <c r="AU63" s="14">
        <f t="shared" si="7"/>
        <v>0</v>
      </c>
      <c r="AV63" s="28">
        <v>46</v>
      </c>
      <c r="AW63" s="13"/>
      <c r="AX63" s="14"/>
      <c r="AY63" s="14"/>
      <c r="AZ63" s="14">
        <f t="shared" si="8"/>
        <v>0</v>
      </c>
      <c r="BA63" s="28">
        <v>46</v>
      </c>
      <c r="BB63" s="13"/>
      <c r="BC63" s="14"/>
      <c r="BD63" s="14"/>
      <c r="BE63" s="14">
        <f t="shared" si="9"/>
        <v>0</v>
      </c>
    </row>
    <row r="64" spans="8:57" s="2" customFormat="1" ht="85.15" customHeight="1">
      <c r="H64" s="28">
        <v>47</v>
      </c>
      <c r="I64" s="13"/>
      <c r="J64" s="14"/>
      <c r="K64" s="14"/>
      <c r="L64" s="14">
        <f t="shared" si="0"/>
        <v>0</v>
      </c>
      <c r="M64" s="28">
        <v>47</v>
      </c>
      <c r="N64" s="13"/>
      <c r="O64" s="14"/>
      <c r="P64" s="14"/>
      <c r="Q64" s="14">
        <f t="shared" si="1"/>
        <v>0</v>
      </c>
      <c r="R64" s="28">
        <v>47</v>
      </c>
      <c r="S64" s="13"/>
      <c r="T64" s="14"/>
      <c r="U64" s="14"/>
      <c r="V64" s="14">
        <f t="shared" si="2"/>
        <v>0</v>
      </c>
      <c r="W64" s="28">
        <v>47</v>
      </c>
      <c r="X64" s="13"/>
      <c r="Y64" s="14"/>
      <c r="Z64" s="14"/>
      <c r="AA64" s="14">
        <f t="shared" si="3"/>
        <v>0</v>
      </c>
      <c r="AB64" s="28">
        <v>47</v>
      </c>
      <c r="AC64" s="13"/>
      <c r="AD64" s="14"/>
      <c r="AE64" s="14"/>
      <c r="AF64" s="14">
        <f t="shared" si="4"/>
        <v>0</v>
      </c>
      <c r="AG64" s="28">
        <v>47</v>
      </c>
      <c r="AH64" s="13"/>
      <c r="AI64" s="14"/>
      <c r="AJ64" s="14"/>
      <c r="AK64" s="14">
        <f t="shared" si="5"/>
        <v>0</v>
      </c>
      <c r="AL64" s="28">
        <v>47</v>
      </c>
      <c r="AM64" s="13"/>
      <c r="AN64" s="14"/>
      <c r="AO64" s="14"/>
      <c r="AP64" s="14">
        <f t="shared" si="6"/>
        <v>0</v>
      </c>
      <c r="AQ64" s="28">
        <v>47</v>
      </c>
      <c r="AR64" s="13"/>
      <c r="AS64" s="14"/>
      <c r="AT64" s="14"/>
      <c r="AU64" s="14">
        <f t="shared" si="7"/>
        <v>0</v>
      </c>
      <c r="AV64" s="28">
        <v>47</v>
      </c>
      <c r="AW64" s="13"/>
      <c r="AX64" s="14"/>
      <c r="AY64" s="14"/>
      <c r="AZ64" s="14">
        <f t="shared" si="8"/>
        <v>0</v>
      </c>
      <c r="BA64" s="28">
        <v>47</v>
      </c>
      <c r="BB64" s="13"/>
      <c r="BC64" s="14"/>
      <c r="BD64" s="14"/>
      <c r="BE64" s="14">
        <f t="shared" si="9"/>
        <v>0</v>
      </c>
    </row>
    <row r="65" spans="8:57" s="2" customFormat="1" ht="85.15" customHeight="1">
      <c r="H65" s="28">
        <v>48</v>
      </c>
      <c r="I65" s="13"/>
      <c r="J65" s="14"/>
      <c r="K65" s="14"/>
      <c r="L65" s="14">
        <f t="shared" si="0"/>
        <v>0</v>
      </c>
      <c r="M65" s="28">
        <v>48</v>
      </c>
      <c r="N65" s="13"/>
      <c r="O65" s="14"/>
      <c r="P65" s="14"/>
      <c r="Q65" s="14">
        <f t="shared" si="1"/>
        <v>0</v>
      </c>
      <c r="R65" s="28">
        <v>48</v>
      </c>
      <c r="S65" s="13"/>
      <c r="T65" s="14"/>
      <c r="U65" s="14"/>
      <c r="V65" s="14">
        <f t="shared" si="2"/>
        <v>0</v>
      </c>
      <c r="W65" s="28">
        <v>48</v>
      </c>
      <c r="X65" s="13"/>
      <c r="Y65" s="14"/>
      <c r="Z65" s="14"/>
      <c r="AA65" s="14">
        <f t="shared" si="3"/>
        <v>0</v>
      </c>
      <c r="AB65" s="28">
        <v>48</v>
      </c>
      <c r="AC65" s="13"/>
      <c r="AD65" s="14"/>
      <c r="AE65" s="14"/>
      <c r="AF65" s="14">
        <f t="shared" si="4"/>
        <v>0</v>
      </c>
      <c r="AG65" s="28">
        <v>48</v>
      </c>
      <c r="AH65" s="13"/>
      <c r="AI65" s="14"/>
      <c r="AJ65" s="14"/>
      <c r="AK65" s="14">
        <f t="shared" si="5"/>
        <v>0</v>
      </c>
      <c r="AL65" s="28">
        <v>48</v>
      </c>
      <c r="AM65" s="13"/>
      <c r="AN65" s="14"/>
      <c r="AO65" s="14"/>
      <c r="AP65" s="14">
        <f t="shared" si="6"/>
        <v>0</v>
      </c>
      <c r="AQ65" s="28">
        <v>48</v>
      </c>
      <c r="AR65" s="13"/>
      <c r="AS65" s="14"/>
      <c r="AT65" s="14"/>
      <c r="AU65" s="14">
        <f t="shared" si="7"/>
        <v>0</v>
      </c>
      <c r="AV65" s="28">
        <v>48</v>
      </c>
      <c r="AW65" s="13"/>
      <c r="AX65" s="14"/>
      <c r="AY65" s="14"/>
      <c r="AZ65" s="14">
        <f t="shared" si="8"/>
        <v>0</v>
      </c>
      <c r="BA65" s="28">
        <v>48</v>
      </c>
      <c r="BB65" s="13"/>
      <c r="BC65" s="14"/>
      <c r="BD65" s="14"/>
      <c r="BE65" s="14">
        <f t="shared" si="9"/>
        <v>0</v>
      </c>
    </row>
    <row r="66" spans="8:57" s="2" customFormat="1" ht="85.15" customHeight="1">
      <c r="H66" s="28">
        <v>49</v>
      </c>
      <c r="I66" s="13"/>
      <c r="J66" s="14"/>
      <c r="K66" s="14"/>
      <c r="L66" s="14">
        <f t="shared" si="0"/>
        <v>0</v>
      </c>
      <c r="M66" s="28">
        <v>49</v>
      </c>
      <c r="N66" s="13"/>
      <c r="O66" s="14"/>
      <c r="P66" s="14"/>
      <c r="Q66" s="14">
        <f t="shared" si="1"/>
        <v>0</v>
      </c>
      <c r="R66" s="28">
        <v>49</v>
      </c>
      <c r="S66" s="13"/>
      <c r="T66" s="14"/>
      <c r="U66" s="14"/>
      <c r="V66" s="14">
        <f t="shared" si="2"/>
        <v>0</v>
      </c>
      <c r="W66" s="28">
        <v>49</v>
      </c>
      <c r="X66" s="13"/>
      <c r="Y66" s="14"/>
      <c r="Z66" s="14"/>
      <c r="AA66" s="14">
        <f t="shared" si="3"/>
        <v>0</v>
      </c>
      <c r="AB66" s="28">
        <v>49</v>
      </c>
      <c r="AC66" s="13"/>
      <c r="AD66" s="14"/>
      <c r="AE66" s="14"/>
      <c r="AF66" s="14">
        <f t="shared" si="4"/>
        <v>0</v>
      </c>
      <c r="AG66" s="28">
        <v>49</v>
      </c>
      <c r="AH66" s="13"/>
      <c r="AI66" s="14"/>
      <c r="AJ66" s="14"/>
      <c r="AK66" s="14">
        <f t="shared" si="5"/>
        <v>0</v>
      </c>
      <c r="AL66" s="28">
        <v>49</v>
      </c>
      <c r="AM66" s="13"/>
      <c r="AN66" s="14"/>
      <c r="AO66" s="14"/>
      <c r="AP66" s="14">
        <f t="shared" si="6"/>
        <v>0</v>
      </c>
      <c r="AQ66" s="28">
        <v>49</v>
      </c>
      <c r="AR66" s="13"/>
      <c r="AS66" s="14"/>
      <c r="AT66" s="14"/>
      <c r="AU66" s="14">
        <f t="shared" si="7"/>
        <v>0</v>
      </c>
      <c r="AV66" s="28">
        <v>49</v>
      </c>
      <c r="AW66" s="13"/>
      <c r="AX66" s="14"/>
      <c r="AY66" s="14"/>
      <c r="AZ66" s="14">
        <f t="shared" si="8"/>
        <v>0</v>
      </c>
      <c r="BA66" s="28">
        <v>49</v>
      </c>
      <c r="BB66" s="13"/>
      <c r="BC66" s="14"/>
      <c r="BD66" s="14"/>
      <c r="BE66" s="14">
        <f t="shared" si="9"/>
        <v>0</v>
      </c>
    </row>
    <row r="67" spans="8:57" s="2" customFormat="1" ht="85.15" customHeight="1">
      <c r="H67" s="28">
        <v>50</v>
      </c>
      <c r="I67" s="13"/>
      <c r="J67" s="14"/>
      <c r="K67" s="14"/>
      <c r="L67" s="14">
        <f t="shared" si="0"/>
        <v>0</v>
      </c>
      <c r="M67" s="28">
        <v>50</v>
      </c>
      <c r="N67" s="13"/>
      <c r="O67" s="14"/>
      <c r="P67" s="14"/>
      <c r="Q67" s="14">
        <f t="shared" si="1"/>
        <v>0</v>
      </c>
      <c r="R67" s="28">
        <v>50</v>
      </c>
      <c r="S67" s="13"/>
      <c r="T67" s="14"/>
      <c r="U67" s="14"/>
      <c r="V67" s="14">
        <f t="shared" si="2"/>
        <v>0</v>
      </c>
      <c r="W67" s="28">
        <v>50</v>
      </c>
      <c r="X67" s="13"/>
      <c r="Y67" s="14"/>
      <c r="Z67" s="14"/>
      <c r="AA67" s="14">
        <f t="shared" si="3"/>
        <v>0</v>
      </c>
      <c r="AB67" s="28">
        <v>50</v>
      </c>
      <c r="AC67" s="13"/>
      <c r="AD67" s="14"/>
      <c r="AE67" s="14"/>
      <c r="AF67" s="14">
        <f t="shared" si="4"/>
        <v>0</v>
      </c>
      <c r="AG67" s="28">
        <v>50</v>
      </c>
      <c r="AH67" s="13"/>
      <c r="AI67" s="14"/>
      <c r="AJ67" s="14"/>
      <c r="AK67" s="14">
        <f t="shared" si="5"/>
        <v>0</v>
      </c>
      <c r="AL67" s="28">
        <v>50</v>
      </c>
      <c r="AM67" s="13"/>
      <c r="AN67" s="14"/>
      <c r="AO67" s="14"/>
      <c r="AP67" s="14">
        <f t="shared" si="6"/>
        <v>0</v>
      </c>
      <c r="AQ67" s="28">
        <v>50</v>
      </c>
      <c r="AR67" s="13"/>
      <c r="AS67" s="14"/>
      <c r="AT67" s="14"/>
      <c r="AU67" s="14">
        <f t="shared" si="7"/>
        <v>0</v>
      </c>
      <c r="AV67" s="28">
        <v>50</v>
      </c>
      <c r="AW67" s="13"/>
      <c r="AX67" s="14"/>
      <c r="AY67" s="14"/>
      <c r="AZ67" s="14">
        <f t="shared" si="8"/>
        <v>0</v>
      </c>
      <c r="BA67" s="28">
        <v>50</v>
      </c>
      <c r="BB67" s="13"/>
      <c r="BC67" s="14"/>
      <c r="BD67" s="14"/>
      <c r="BE67" s="14">
        <f t="shared" si="9"/>
        <v>0</v>
      </c>
    </row>
    <row r="68" spans="8:57" s="2" customFormat="1" ht="85.15" customHeight="1">
      <c r="H68" s="28">
        <v>51</v>
      </c>
      <c r="I68" s="13"/>
      <c r="J68" s="14"/>
      <c r="K68" s="14"/>
      <c r="L68" s="14">
        <f t="shared" si="0"/>
        <v>0</v>
      </c>
      <c r="M68" s="28">
        <v>51</v>
      </c>
      <c r="N68" s="13"/>
      <c r="O68" s="14"/>
      <c r="P68" s="14"/>
      <c r="Q68" s="14">
        <f t="shared" si="1"/>
        <v>0</v>
      </c>
      <c r="R68" s="28">
        <v>51</v>
      </c>
      <c r="S68" s="13"/>
      <c r="T68" s="14"/>
      <c r="U68" s="14"/>
      <c r="V68" s="14">
        <f t="shared" si="2"/>
        <v>0</v>
      </c>
      <c r="W68" s="28">
        <v>51</v>
      </c>
      <c r="X68" s="13"/>
      <c r="Y68" s="14"/>
      <c r="Z68" s="14"/>
      <c r="AA68" s="14">
        <f t="shared" si="3"/>
        <v>0</v>
      </c>
      <c r="AB68" s="28">
        <v>51</v>
      </c>
      <c r="AC68" s="13"/>
      <c r="AD68" s="14"/>
      <c r="AE68" s="14"/>
      <c r="AF68" s="14">
        <f t="shared" si="4"/>
        <v>0</v>
      </c>
      <c r="AG68" s="28">
        <v>51</v>
      </c>
      <c r="AH68" s="13"/>
      <c r="AI68" s="14"/>
      <c r="AJ68" s="14"/>
      <c r="AK68" s="14">
        <f t="shared" si="5"/>
        <v>0</v>
      </c>
      <c r="AL68" s="28">
        <v>51</v>
      </c>
      <c r="AM68" s="13"/>
      <c r="AN68" s="14"/>
      <c r="AO68" s="14"/>
      <c r="AP68" s="14">
        <f t="shared" si="6"/>
        <v>0</v>
      </c>
      <c r="AQ68" s="28">
        <v>51</v>
      </c>
      <c r="AR68" s="13"/>
      <c r="AS68" s="14"/>
      <c r="AT68" s="14"/>
      <c r="AU68" s="14">
        <f t="shared" si="7"/>
        <v>0</v>
      </c>
      <c r="AV68" s="28">
        <v>51</v>
      </c>
      <c r="AW68" s="13"/>
      <c r="AX68" s="14"/>
      <c r="AY68" s="14"/>
      <c r="AZ68" s="14">
        <f t="shared" si="8"/>
        <v>0</v>
      </c>
      <c r="BA68" s="28">
        <v>51</v>
      </c>
      <c r="BB68" s="13"/>
      <c r="BC68" s="14"/>
      <c r="BD68" s="14"/>
      <c r="BE68" s="14">
        <f t="shared" si="9"/>
        <v>0</v>
      </c>
    </row>
    <row r="69" spans="8:57" s="2" customFormat="1" ht="85.15" customHeight="1">
      <c r="H69" s="28">
        <v>52</v>
      </c>
      <c r="I69" s="13"/>
      <c r="J69" s="14"/>
      <c r="K69" s="14"/>
      <c r="L69" s="14">
        <f t="shared" si="0"/>
        <v>0</v>
      </c>
      <c r="M69" s="28">
        <v>52</v>
      </c>
      <c r="N69" s="13"/>
      <c r="O69" s="14"/>
      <c r="P69" s="14"/>
      <c r="Q69" s="14">
        <f t="shared" si="1"/>
        <v>0</v>
      </c>
      <c r="R69" s="28">
        <v>52</v>
      </c>
      <c r="S69" s="13"/>
      <c r="T69" s="14"/>
      <c r="U69" s="14"/>
      <c r="V69" s="14">
        <f t="shared" si="2"/>
        <v>0</v>
      </c>
      <c r="W69" s="28">
        <v>52</v>
      </c>
      <c r="X69" s="13"/>
      <c r="Y69" s="14"/>
      <c r="Z69" s="14"/>
      <c r="AA69" s="14">
        <f t="shared" si="3"/>
        <v>0</v>
      </c>
      <c r="AB69" s="28">
        <v>52</v>
      </c>
      <c r="AC69" s="13"/>
      <c r="AD69" s="14"/>
      <c r="AE69" s="14"/>
      <c r="AF69" s="14">
        <f t="shared" si="4"/>
        <v>0</v>
      </c>
      <c r="AG69" s="28">
        <v>52</v>
      </c>
      <c r="AH69" s="13"/>
      <c r="AI69" s="14"/>
      <c r="AJ69" s="14"/>
      <c r="AK69" s="14">
        <f t="shared" si="5"/>
        <v>0</v>
      </c>
      <c r="AL69" s="28">
        <v>52</v>
      </c>
      <c r="AM69" s="13"/>
      <c r="AN69" s="14"/>
      <c r="AO69" s="14"/>
      <c r="AP69" s="14">
        <f t="shared" si="6"/>
        <v>0</v>
      </c>
      <c r="AQ69" s="28">
        <v>52</v>
      </c>
      <c r="AR69" s="13"/>
      <c r="AS69" s="14"/>
      <c r="AT69" s="14"/>
      <c r="AU69" s="14">
        <f t="shared" si="7"/>
        <v>0</v>
      </c>
      <c r="AV69" s="28">
        <v>52</v>
      </c>
      <c r="AW69" s="13"/>
      <c r="AX69" s="14"/>
      <c r="AY69" s="14"/>
      <c r="AZ69" s="14">
        <f t="shared" si="8"/>
        <v>0</v>
      </c>
      <c r="BA69" s="28">
        <v>52</v>
      </c>
      <c r="BB69" s="13"/>
      <c r="BC69" s="14"/>
      <c r="BD69" s="14"/>
      <c r="BE69" s="14">
        <f t="shared" si="9"/>
        <v>0</v>
      </c>
    </row>
    <row r="70" spans="8:57" s="2" customFormat="1" ht="85.15" customHeight="1">
      <c r="H70" s="28">
        <v>53</v>
      </c>
      <c r="I70" s="13"/>
      <c r="J70" s="14"/>
      <c r="K70" s="14"/>
      <c r="L70" s="14">
        <f t="shared" si="0"/>
        <v>0</v>
      </c>
      <c r="M70" s="28">
        <v>53</v>
      </c>
      <c r="N70" s="13"/>
      <c r="O70" s="14"/>
      <c r="P70" s="14"/>
      <c r="Q70" s="14">
        <f t="shared" si="1"/>
        <v>0</v>
      </c>
      <c r="R70" s="28">
        <v>53</v>
      </c>
      <c r="S70" s="13"/>
      <c r="T70" s="14"/>
      <c r="U70" s="14"/>
      <c r="V70" s="14">
        <f t="shared" si="2"/>
        <v>0</v>
      </c>
      <c r="W70" s="28">
        <v>53</v>
      </c>
      <c r="X70" s="13"/>
      <c r="Y70" s="14"/>
      <c r="Z70" s="14"/>
      <c r="AA70" s="14">
        <f t="shared" si="3"/>
        <v>0</v>
      </c>
      <c r="AB70" s="28">
        <v>53</v>
      </c>
      <c r="AC70" s="13"/>
      <c r="AD70" s="14"/>
      <c r="AE70" s="14"/>
      <c r="AF70" s="14">
        <f t="shared" si="4"/>
        <v>0</v>
      </c>
      <c r="AG70" s="28">
        <v>53</v>
      </c>
      <c r="AH70" s="13"/>
      <c r="AI70" s="14"/>
      <c r="AJ70" s="14"/>
      <c r="AK70" s="14">
        <f t="shared" si="5"/>
        <v>0</v>
      </c>
      <c r="AL70" s="28">
        <v>53</v>
      </c>
      <c r="AM70" s="13"/>
      <c r="AN70" s="14"/>
      <c r="AO70" s="14"/>
      <c r="AP70" s="14">
        <f t="shared" si="6"/>
        <v>0</v>
      </c>
      <c r="AQ70" s="28">
        <v>53</v>
      </c>
      <c r="AR70" s="13"/>
      <c r="AS70" s="14"/>
      <c r="AT70" s="14"/>
      <c r="AU70" s="14">
        <f t="shared" si="7"/>
        <v>0</v>
      </c>
      <c r="AV70" s="28">
        <v>53</v>
      </c>
      <c r="AW70" s="13"/>
      <c r="AX70" s="14"/>
      <c r="AY70" s="14"/>
      <c r="AZ70" s="14">
        <f t="shared" si="8"/>
        <v>0</v>
      </c>
      <c r="BA70" s="28">
        <v>53</v>
      </c>
      <c r="BB70" s="13"/>
      <c r="BC70" s="14"/>
      <c r="BD70" s="14"/>
      <c r="BE70" s="14">
        <f t="shared" si="9"/>
        <v>0</v>
      </c>
    </row>
    <row r="71" spans="8:57" s="2" customFormat="1" ht="85.15" customHeight="1">
      <c r="H71" s="28">
        <v>54</v>
      </c>
      <c r="I71" s="13"/>
      <c r="J71" s="14"/>
      <c r="K71" s="14"/>
      <c r="L71" s="14">
        <f t="shared" si="0"/>
        <v>0</v>
      </c>
      <c r="M71" s="28">
        <v>54</v>
      </c>
      <c r="N71" s="13"/>
      <c r="O71" s="14"/>
      <c r="P71" s="14"/>
      <c r="Q71" s="14">
        <f t="shared" si="1"/>
        <v>0</v>
      </c>
      <c r="R71" s="28">
        <v>54</v>
      </c>
      <c r="S71" s="13"/>
      <c r="T71" s="14"/>
      <c r="U71" s="14"/>
      <c r="V71" s="14">
        <f t="shared" si="2"/>
        <v>0</v>
      </c>
      <c r="W71" s="28">
        <v>54</v>
      </c>
      <c r="X71" s="13"/>
      <c r="Y71" s="14"/>
      <c r="Z71" s="14"/>
      <c r="AA71" s="14">
        <f t="shared" si="3"/>
        <v>0</v>
      </c>
      <c r="AB71" s="28">
        <v>54</v>
      </c>
      <c r="AC71" s="13"/>
      <c r="AD71" s="14"/>
      <c r="AE71" s="14"/>
      <c r="AF71" s="14">
        <f t="shared" si="4"/>
        <v>0</v>
      </c>
      <c r="AG71" s="28">
        <v>54</v>
      </c>
      <c r="AH71" s="13"/>
      <c r="AI71" s="14"/>
      <c r="AJ71" s="14"/>
      <c r="AK71" s="14">
        <f t="shared" si="5"/>
        <v>0</v>
      </c>
      <c r="AL71" s="28">
        <v>54</v>
      </c>
      <c r="AM71" s="13"/>
      <c r="AN71" s="14"/>
      <c r="AO71" s="14"/>
      <c r="AP71" s="14">
        <f t="shared" si="6"/>
        <v>0</v>
      </c>
      <c r="AQ71" s="28">
        <v>54</v>
      </c>
      <c r="AR71" s="13"/>
      <c r="AS71" s="14"/>
      <c r="AT71" s="14"/>
      <c r="AU71" s="14">
        <f t="shared" si="7"/>
        <v>0</v>
      </c>
      <c r="AV71" s="28">
        <v>54</v>
      </c>
      <c r="AW71" s="13"/>
      <c r="AX71" s="14"/>
      <c r="AY71" s="14"/>
      <c r="AZ71" s="14">
        <f t="shared" si="8"/>
        <v>0</v>
      </c>
      <c r="BA71" s="28">
        <v>54</v>
      </c>
      <c r="BB71" s="13"/>
      <c r="BC71" s="14"/>
      <c r="BD71" s="14"/>
      <c r="BE71" s="14">
        <f t="shared" si="9"/>
        <v>0</v>
      </c>
    </row>
    <row r="72" spans="8:57" s="2" customFormat="1" ht="85.15" customHeight="1">
      <c r="H72" s="28">
        <v>55</v>
      </c>
      <c r="I72" s="13"/>
      <c r="J72" s="14"/>
      <c r="K72" s="14"/>
      <c r="L72" s="14">
        <f t="shared" si="0"/>
        <v>0</v>
      </c>
      <c r="M72" s="28">
        <v>55</v>
      </c>
      <c r="N72" s="13"/>
      <c r="O72" s="14"/>
      <c r="P72" s="14"/>
      <c r="Q72" s="14">
        <f t="shared" si="1"/>
        <v>0</v>
      </c>
      <c r="R72" s="28">
        <v>55</v>
      </c>
      <c r="S72" s="13"/>
      <c r="T72" s="14"/>
      <c r="U72" s="14"/>
      <c r="V72" s="14">
        <f t="shared" si="2"/>
        <v>0</v>
      </c>
      <c r="W72" s="28">
        <v>55</v>
      </c>
      <c r="X72" s="13"/>
      <c r="Y72" s="14"/>
      <c r="Z72" s="14"/>
      <c r="AA72" s="14">
        <f t="shared" si="3"/>
        <v>0</v>
      </c>
      <c r="AB72" s="28">
        <v>55</v>
      </c>
      <c r="AC72" s="13"/>
      <c r="AD72" s="14"/>
      <c r="AE72" s="14"/>
      <c r="AF72" s="14">
        <f t="shared" si="4"/>
        <v>0</v>
      </c>
      <c r="AG72" s="28">
        <v>55</v>
      </c>
      <c r="AH72" s="13"/>
      <c r="AI72" s="14"/>
      <c r="AJ72" s="14"/>
      <c r="AK72" s="14">
        <f t="shared" si="5"/>
        <v>0</v>
      </c>
      <c r="AL72" s="28">
        <v>55</v>
      </c>
      <c r="AM72" s="13"/>
      <c r="AN72" s="14"/>
      <c r="AO72" s="14"/>
      <c r="AP72" s="14">
        <f t="shared" si="6"/>
        <v>0</v>
      </c>
      <c r="AQ72" s="28">
        <v>55</v>
      </c>
      <c r="AR72" s="13"/>
      <c r="AS72" s="14"/>
      <c r="AT72" s="14"/>
      <c r="AU72" s="14">
        <f t="shared" si="7"/>
        <v>0</v>
      </c>
      <c r="AV72" s="28">
        <v>55</v>
      </c>
      <c r="AW72" s="13"/>
      <c r="AX72" s="14"/>
      <c r="AY72" s="14"/>
      <c r="AZ72" s="14">
        <f t="shared" si="8"/>
        <v>0</v>
      </c>
      <c r="BA72" s="28">
        <v>55</v>
      </c>
      <c r="BB72" s="13"/>
      <c r="BC72" s="14"/>
      <c r="BD72" s="14"/>
      <c r="BE72" s="14">
        <f t="shared" si="9"/>
        <v>0</v>
      </c>
    </row>
    <row r="73" spans="8:57" s="2" customFormat="1" ht="85.15" customHeight="1">
      <c r="H73" s="28">
        <v>56</v>
      </c>
      <c r="I73" s="13"/>
      <c r="J73" s="14"/>
      <c r="K73" s="14"/>
      <c r="L73" s="14">
        <f t="shared" si="0"/>
        <v>0</v>
      </c>
      <c r="M73" s="28">
        <v>56</v>
      </c>
      <c r="N73" s="13"/>
      <c r="O73" s="14"/>
      <c r="P73" s="14"/>
      <c r="Q73" s="14">
        <f t="shared" si="1"/>
        <v>0</v>
      </c>
      <c r="R73" s="28">
        <v>56</v>
      </c>
      <c r="S73" s="13"/>
      <c r="T73" s="14"/>
      <c r="U73" s="14"/>
      <c r="V73" s="14">
        <f t="shared" si="2"/>
        <v>0</v>
      </c>
      <c r="W73" s="28">
        <v>56</v>
      </c>
      <c r="X73" s="13"/>
      <c r="Y73" s="14"/>
      <c r="Z73" s="14"/>
      <c r="AA73" s="14">
        <f t="shared" si="3"/>
        <v>0</v>
      </c>
      <c r="AB73" s="28">
        <v>56</v>
      </c>
      <c r="AC73" s="13"/>
      <c r="AD73" s="14"/>
      <c r="AE73" s="14"/>
      <c r="AF73" s="14">
        <f t="shared" si="4"/>
        <v>0</v>
      </c>
      <c r="AG73" s="28">
        <v>56</v>
      </c>
      <c r="AH73" s="13"/>
      <c r="AI73" s="14"/>
      <c r="AJ73" s="14"/>
      <c r="AK73" s="14">
        <f t="shared" si="5"/>
        <v>0</v>
      </c>
      <c r="AL73" s="28">
        <v>56</v>
      </c>
      <c r="AM73" s="13"/>
      <c r="AN73" s="14"/>
      <c r="AO73" s="14"/>
      <c r="AP73" s="14">
        <f t="shared" si="6"/>
        <v>0</v>
      </c>
      <c r="AQ73" s="28">
        <v>56</v>
      </c>
      <c r="AR73" s="13"/>
      <c r="AS73" s="14"/>
      <c r="AT73" s="14"/>
      <c r="AU73" s="14">
        <f t="shared" si="7"/>
        <v>0</v>
      </c>
      <c r="AV73" s="28">
        <v>56</v>
      </c>
      <c r="AW73" s="13"/>
      <c r="AX73" s="14"/>
      <c r="AY73" s="14"/>
      <c r="AZ73" s="14">
        <f t="shared" si="8"/>
        <v>0</v>
      </c>
      <c r="BA73" s="28">
        <v>56</v>
      </c>
      <c r="BB73" s="13"/>
      <c r="BC73" s="14"/>
      <c r="BD73" s="14"/>
      <c r="BE73" s="14">
        <f t="shared" si="9"/>
        <v>0</v>
      </c>
    </row>
    <row r="74" spans="8:57" s="1" customFormat="1" ht="85.15" customHeight="1">
      <c r="H74" s="4"/>
      <c r="M74" s="4"/>
      <c r="R74" s="4"/>
      <c r="W74" s="4"/>
      <c r="AB74" s="4"/>
      <c r="AG74" s="4"/>
      <c r="AL74" s="4"/>
      <c r="AQ74" s="4"/>
      <c r="AV74" s="4"/>
      <c r="BA74" s="4"/>
    </row>
    <row r="75" spans="8:57" s="1" customFormat="1" ht="85.15" customHeight="1">
      <c r="H75" s="4"/>
      <c r="M75" s="4"/>
      <c r="R75" s="4"/>
      <c r="W75" s="4"/>
      <c r="AB75" s="4"/>
      <c r="AG75" s="4"/>
      <c r="AL75" s="4"/>
      <c r="AQ75" s="4"/>
      <c r="AV75" s="4"/>
      <c r="BA75" s="4"/>
    </row>
    <row r="76" spans="8:57" s="1" customFormat="1" ht="85.15" customHeight="1">
      <c r="H76" s="4"/>
      <c r="M76" s="4"/>
      <c r="R76" s="4"/>
      <c r="W76" s="4"/>
      <c r="AB76" s="4"/>
      <c r="AG76" s="4"/>
      <c r="AL76" s="4"/>
      <c r="AQ76" s="4"/>
      <c r="AV76" s="4"/>
      <c r="BA76" s="4"/>
    </row>
    <row r="77" spans="8:57" s="1" customFormat="1" ht="85.15" customHeight="1">
      <c r="H77" s="4"/>
      <c r="M77" s="4"/>
      <c r="R77" s="4"/>
      <c r="W77" s="4"/>
      <c r="AB77" s="4"/>
      <c r="AG77" s="4"/>
      <c r="AL77" s="4"/>
      <c r="AQ77" s="4"/>
      <c r="AV77" s="4"/>
      <c r="BA77" s="4"/>
    </row>
    <row r="78" spans="8:57" s="1" customFormat="1" ht="85.15" customHeight="1">
      <c r="H78" s="4"/>
      <c r="M78" s="4"/>
      <c r="R78" s="4"/>
      <c r="W78" s="4"/>
      <c r="AB78" s="4"/>
      <c r="AG78" s="4"/>
      <c r="AL78" s="4"/>
      <c r="AQ78" s="4"/>
      <c r="AV78" s="4"/>
      <c r="BA78" s="4"/>
    </row>
    <row r="79" spans="8:57" s="1" customFormat="1" ht="85.15" customHeight="1">
      <c r="H79" s="4"/>
      <c r="M79" s="4"/>
      <c r="R79" s="4"/>
      <c r="W79" s="4"/>
      <c r="AB79" s="4"/>
      <c r="AG79" s="4"/>
      <c r="AL79" s="4"/>
      <c r="AQ79" s="4"/>
      <c r="AV79" s="4"/>
      <c r="BA79" s="4"/>
    </row>
    <row r="80" spans="8:57" s="1" customFormat="1" ht="85.15" customHeight="1">
      <c r="H80" s="4"/>
      <c r="M80" s="4"/>
      <c r="R80" s="4"/>
      <c r="W80" s="4"/>
      <c r="AB80" s="4"/>
      <c r="AG80" s="4"/>
      <c r="AL80" s="4"/>
      <c r="AQ80" s="4"/>
      <c r="AV80" s="4"/>
      <c r="BA80" s="4"/>
    </row>
    <row r="81" spans="8:53" s="1" customFormat="1" ht="85.15" customHeight="1">
      <c r="H81" s="4"/>
      <c r="M81" s="4"/>
      <c r="R81" s="4"/>
      <c r="W81" s="4"/>
      <c r="AB81" s="4"/>
      <c r="AG81" s="4"/>
      <c r="AL81" s="4"/>
      <c r="AQ81" s="4"/>
      <c r="AV81" s="4"/>
      <c r="BA81" s="4"/>
    </row>
    <row r="82" spans="8:53" s="1" customFormat="1" ht="85.15" customHeight="1">
      <c r="H82" s="4"/>
      <c r="M82" s="4"/>
      <c r="R82" s="4"/>
      <c r="W82" s="4"/>
      <c r="AB82" s="4"/>
      <c r="AG82" s="4"/>
      <c r="AL82" s="4"/>
      <c r="AQ82" s="4"/>
      <c r="AV82" s="4"/>
      <c r="BA82" s="4"/>
    </row>
    <row r="83" spans="8:53" s="1" customFormat="1" ht="85.15" customHeight="1">
      <c r="H83" s="4"/>
      <c r="M83" s="4"/>
      <c r="R83" s="4"/>
      <c r="W83" s="4"/>
      <c r="AB83" s="4"/>
      <c r="AG83" s="4"/>
      <c r="AL83" s="4"/>
      <c r="AQ83" s="4"/>
      <c r="AV83" s="4"/>
      <c r="BA83" s="4"/>
    </row>
    <row r="84" spans="8:53" s="1" customFormat="1" ht="85.15" customHeight="1">
      <c r="H84" s="4"/>
      <c r="M84" s="4"/>
      <c r="R84" s="4"/>
      <c r="W84" s="4"/>
      <c r="AB84" s="4"/>
      <c r="AG84" s="4"/>
      <c r="AL84" s="4"/>
      <c r="AQ84" s="4"/>
      <c r="AV84" s="4"/>
      <c r="BA84" s="4"/>
    </row>
    <row r="85" spans="8:53" s="1" customFormat="1" ht="85.15" customHeight="1">
      <c r="H85" s="4"/>
      <c r="M85" s="4"/>
      <c r="R85" s="4"/>
      <c r="W85" s="4"/>
      <c r="AB85" s="4"/>
      <c r="AG85" s="4"/>
      <c r="AL85" s="4"/>
      <c r="AQ85" s="4"/>
      <c r="AV85" s="4"/>
      <c r="BA85" s="4"/>
    </row>
    <row r="86" spans="8:53" s="1" customFormat="1" ht="85.15" customHeight="1">
      <c r="H86" s="4"/>
      <c r="M86" s="4"/>
      <c r="R86" s="4"/>
      <c r="W86" s="4"/>
      <c r="AB86" s="4"/>
      <c r="AG86" s="4"/>
      <c r="AL86" s="4"/>
      <c r="AQ86" s="4"/>
      <c r="AV86" s="4"/>
      <c r="BA86" s="4"/>
    </row>
    <row r="87" spans="8:53" s="1" customFormat="1" ht="85.15" customHeight="1">
      <c r="H87" s="4"/>
      <c r="M87" s="4"/>
      <c r="R87" s="4"/>
      <c r="W87" s="4"/>
      <c r="AB87" s="4"/>
      <c r="AG87" s="4"/>
      <c r="AL87" s="4"/>
      <c r="AQ87" s="4"/>
      <c r="AV87" s="4"/>
      <c r="BA87" s="4"/>
    </row>
    <row r="88" spans="8:53" s="1" customFormat="1" ht="85.15" customHeight="1">
      <c r="H88" s="4"/>
      <c r="M88" s="4"/>
      <c r="R88" s="4"/>
      <c r="W88" s="4"/>
      <c r="AB88" s="4"/>
      <c r="AG88" s="4"/>
      <c r="AL88" s="4"/>
      <c r="AQ88" s="4"/>
      <c r="AV88" s="4"/>
      <c r="BA88" s="4"/>
    </row>
    <row r="89" spans="8:53" s="1" customFormat="1" ht="85.15" customHeight="1">
      <c r="H89" s="4"/>
      <c r="M89" s="4"/>
      <c r="R89" s="4"/>
      <c r="W89" s="4"/>
      <c r="AB89" s="4"/>
      <c r="AG89" s="4"/>
      <c r="AL89" s="4"/>
      <c r="AQ89" s="4"/>
      <c r="AV89" s="4"/>
      <c r="BA89" s="4"/>
    </row>
    <row r="90" spans="8:53" s="1" customFormat="1" ht="85.15" customHeight="1">
      <c r="H90" s="4"/>
      <c r="M90" s="4"/>
      <c r="R90" s="4"/>
      <c r="W90" s="4"/>
      <c r="AB90" s="4"/>
      <c r="AG90" s="4"/>
      <c r="AL90" s="4"/>
      <c r="AQ90" s="4"/>
      <c r="AV90" s="4"/>
      <c r="BA90" s="4"/>
    </row>
    <row r="91" spans="8:53" s="1" customFormat="1" ht="85.15" customHeight="1">
      <c r="H91" s="4"/>
      <c r="M91" s="4"/>
      <c r="R91" s="4"/>
      <c r="W91" s="4"/>
      <c r="AB91" s="4"/>
      <c r="AG91" s="4"/>
      <c r="AL91" s="4"/>
      <c r="AQ91" s="4"/>
      <c r="AV91" s="4"/>
      <c r="BA91" s="4"/>
    </row>
    <row r="92" spans="8:53" s="1" customFormat="1" ht="85.15" customHeight="1">
      <c r="H92" s="4"/>
      <c r="M92" s="4"/>
      <c r="R92" s="4"/>
      <c r="W92" s="4"/>
      <c r="AB92" s="4"/>
      <c r="AG92" s="4"/>
      <c r="AL92" s="4"/>
      <c r="AQ92" s="4"/>
      <c r="AV92" s="4"/>
      <c r="BA92" s="4"/>
    </row>
    <row r="93" spans="8:53" s="1" customFormat="1" ht="85.15" customHeight="1">
      <c r="H93" s="4"/>
      <c r="M93" s="4"/>
      <c r="R93" s="4"/>
      <c r="W93" s="4"/>
      <c r="AB93" s="4"/>
      <c r="AG93" s="4"/>
      <c r="AL93" s="4"/>
      <c r="AQ93" s="4"/>
      <c r="AV93" s="4"/>
      <c r="BA93" s="4"/>
    </row>
    <row r="94" spans="8:53" s="1" customFormat="1" ht="85.15" customHeight="1">
      <c r="H94" s="4"/>
      <c r="M94" s="4"/>
      <c r="R94" s="4"/>
      <c r="W94" s="4"/>
      <c r="AB94" s="4"/>
      <c r="AG94" s="4"/>
      <c r="AL94" s="4"/>
      <c r="AQ94" s="4"/>
      <c r="AV94" s="4"/>
      <c r="BA94" s="4"/>
    </row>
    <row r="95" spans="8:53" s="1" customFormat="1" ht="85.15" customHeight="1">
      <c r="H95" s="4"/>
      <c r="M95" s="4"/>
      <c r="R95" s="4"/>
      <c r="W95" s="4"/>
      <c r="AB95" s="4"/>
      <c r="AG95" s="4"/>
      <c r="AL95" s="4"/>
      <c r="AQ95" s="4"/>
      <c r="AV95" s="4"/>
      <c r="BA95" s="4"/>
    </row>
    <row r="96" spans="8:53" s="1" customFormat="1" ht="85.15" customHeight="1">
      <c r="H96" s="4"/>
      <c r="M96" s="4"/>
      <c r="R96" s="4"/>
      <c r="W96" s="4"/>
      <c r="AB96" s="4"/>
      <c r="AG96" s="4"/>
      <c r="AL96" s="4"/>
      <c r="AQ96" s="4"/>
      <c r="AV96" s="4"/>
      <c r="BA96" s="4"/>
    </row>
    <row r="97" spans="8:53" s="1" customFormat="1" ht="85.15" customHeight="1">
      <c r="H97" s="4"/>
      <c r="M97" s="4"/>
      <c r="R97" s="4"/>
      <c r="W97" s="4"/>
      <c r="AB97" s="4"/>
      <c r="AG97" s="4"/>
      <c r="AL97" s="4"/>
      <c r="AQ97" s="4"/>
      <c r="AV97" s="4"/>
      <c r="BA97" s="4"/>
    </row>
    <row r="98" spans="8:53" s="1" customFormat="1" ht="85.15" customHeight="1">
      <c r="H98" s="4"/>
      <c r="M98" s="4"/>
      <c r="R98" s="4"/>
      <c r="W98" s="4"/>
      <c r="AB98" s="4"/>
      <c r="AG98" s="4"/>
      <c r="AL98" s="4"/>
      <c r="AQ98" s="4"/>
      <c r="AV98" s="4"/>
      <c r="BA98" s="4"/>
    </row>
    <row r="99" spans="8:53" s="1" customFormat="1" ht="85.15" customHeight="1">
      <c r="H99" s="4"/>
      <c r="M99" s="4"/>
      <c r="R99" s="4"/>
      <c r="W99" s="4"/>
      <c r="AB99" s="4"/>
      <c r="AG99" s="4"/>
      <c r="AL99" s="4"/>
      <c r="AQ99" s="4"/>
      <c r="AV99" s="4"/>
      <c r="BA99" s="4"/>
    </row>
    <row r="100" spans="8:53" s="1" customFormat="1" ht="85.15" customHeight="1">
      <c r="H100" s="4"/>
      <c r="M100" s="4"/>
      <c r="R100" s="4"/>
      <c r="W100" s="4"/>
      <c r="AB100" s="4"/>
      <c r="AG100" s="4"/>
      <c r="AL100" s="4"/>
      <c r="AQ100" s="4"/>
      <c r="AV100" s="4"/>
      <c r="BA100" s="4"/>
    </row>
    <row r="101" spans="8:53" s="1" customFormat="1" ht="85.15" customHeight="1">
      <c r="H101" s="4"/>
      <c r="M101" s="4"/>
      <c r="R101" s="4"/>
      <c r="W101" s="4"/>
      <c r="AB101" s="4"/>
      <c r="AG101" s="4"/>
      <c r="AL101" s="4"/>
      <c r="AQ101" s="4"/>
      <c r="AV101" s="4"/>
      <c r="BA101" s="4"/>
    </row>
    <row r="102" spans="8:53" s="1" customFormat="1" ht="85.15" customHeight="1">
      <c r="H102" s="4"/>
      <c r="M102" s="4"/>
      <c r="R102" s="4"/>
      <c r="W102" s="4"/>
      <c r="AB102" s="4"/>
      <c r="AG102" s="4"/>
      <c r="AL102" s="4"/>
      <c r="AQ102" s="4"/>
      <c r="AV102" s="4"/>
      <c r="BA102" s="4"/>
    </row>
    <row r="103" spans="8:53" s="1" customFormat="1" ht="85.15" customHeight="1">
      <c r="H103" s="4"/>
      <c r="M103" s="4"/>
      <c r="R103" s="4"/>
      <c r="W103" s="4"/>
      <c r="AB103" s="4"/>
      <c r="AG103" s="4"/>
      <c r="AL103" s="4"/>
      <c r="AQ103" s="4"/>
      <c r="AV103" s="4"/>
      <c r="BA103" s="4"/>
    </row>
    <row r="104" spans="8:53" s="1" customFormat="1" ht="85.15" customHeight="1">
      <c r="H104" s="4"/>
      <c r="M104" s="4"/>
      <c r="R104" s="4"/>
      <c r="W104" s="4"/>
      <c r="AB104" s="4"/>
      <c r="AG104" s="4"/>
      <c r="AL104" s="4"/>
      <c r="AQ104" s="4"/>
      <c r="AV104" s="4"/>
      <c r="BA104" s="4"/>
    </row>
    <row r="105" spans="8:53" s="1" customFormat="1" ht="85.15" customHeight="1">
      <c r="H105" s="4"/>
      <c r="M105" s="4"/>
      <c r="R105" s="4"/>
      <c r="W105" s="4"/>
      <c r="AB105" s="4"/>
      <c r="AG105" s="4"/>
      <c r="AL105" s="4"/>
      <c r="AQ105" s="4"/>
      <c r="AV105" s="4"/>
      <c r="BA105" s="4"/>
    </row>
    <row r="106" spans="8:53" s="1" customFormat="1" ht="85.15" customHeight="1">
      <c r="H106" s="4"/>
      <c r="M106" s="4"/>
      <c r="R106" s="4"/>
      <c r="W106" s="4"/>
      <c r="AB106" s="4"/>
      <c r="AG106" s="4"/>
      <c r="AL106" s="4"/>
      <c r="AQ106" s="4"/>
      <c r="AV106" s="4"/>
      <c r="BA106" s="4"/>
    </row>
    <row r="107" spans="8:53" s="1" customFormat="1" ht="85.15" customHeight="1">
      <c r="H107" s="4"/>
      <c r="M107" s="4"/>
      <c r="R107" s="4"/>
      <c r="W107" s="4"/>
      <c r="AB107" s="4"/>
      <c r="AG107" s="4"/>
      <c r="AL107" s="4"/>
      <c r="AQ107" s="4"/>
      <c r="AV107" s="4"/>
      <c r="BA107" s="4"/>
    </row>
    <row r="108" spans="8:53" s="1" customFormat="1" ht="85.15" customHeight="1">
      <c r="H108" s="4"/>
      <c r="M108" s="4"/>
      <c r="R108" s="4"/>
      <c r="W108" s="4"/>
      <c r="AB108" s="4"/>
      <c r="AG108" s="4"/>
      <c r="AL108" s="4"/>
      <c r="AQ108" s="4"/>
      <c r="AV108" s="4"/>
      <c r="BA108" s="4"/>
    </row>
    <row r="109" spans="8:53" s="1" customFormat="1" ht="85.15" customHeight="1">
      <c r="H109" s="4"/>
      <c r="M109" s="4"/>
      <c r="R109" s="4"/>
      <c r="W109" s="4"/>
      <c r="AB109" s="4"/>
      <c r="AG109" s="4"/>
      <c r="AL109" s="4"/>
      <c r="AQ109" s="4"/>
      <c r="AV109" s="4"/>
      <c r="BA109" s="4"/>
    </row>
    <row r="110" spans="8:53" s="1" customFormat="1" ht="85.15" customHeight="1">
      <c r="H110" s="4"/>
      <c r="M110" s="4"/>
      <c r="R110" s="4"/>
      <c r="W110" s="4"/>
      <c r="AB110" s="4"/>
      <c r="AG110" s="4"/>
      <c r="AL110" s="4"/>
      <c r="AQ110" s="4"/>
      <c r="AV110" s="4"/>
      <c r="BA110" s="4"/>
    </row>
    <row r="111" spans="8:53" s="1" customFormat="1" ht="85.15" customHeight="1">
      <c r="H111" s="4"/>
      <c r="M111" s="4"/>
      <c r="R111" s="4"/>
      <c r="W111" s="4"/>
      <c r="AB111" s="4"/>
      <c r="AG111" s="4"/>
      <c r="AL111" s="4"/>
      <c r="AQ111" s="4"/>
      <c r="AV111" s="4"/>
      <c r="BA111" s="4"/>
    </row>
    <row r="112" spans="8:53" s="1" customFormat="1" ht="85.15" customHeight="1">
      <c r="H112" s="4"/>
      <c r="M112" s="4"/>
      <c r="R112" s="4"/>
      <c r="W112" s="4"/>
      <c r="AB112" s="4"/>
      <c r="AG112" s="4"/>
      <c r="AL112" s="4"/>
      <c r="AQ112" s="4"/>
      <c r="AV112" s="4"/>
      <c r="BA112" s="4"/>
    </row>
    <row r="113" spans="8:53" s="1" customFormat="1" ht="85.15" customHeight="1">
      <c r="H113" s="4"/>
      <c r="M113" s="4"/>
      <c r="R113" s="4"/>
      <c r="W113" s="4"/>
      <c r="AB113" s="4"/>
      <c r="AG113" s="4"/>
      <c r="AL113" s="4"/>
      <c r="AQ113" s="4"/>
      <c r="AV113" s="4"/>
      <c r="BA113" s="4"/>
    </row>
    <row r="114" spans="8:53" s="1" customFormat="1" ht="85.15" customHeight="1">
      <c r="H114" s="4"/>
      <c r="M114" s="4"/>
      <c r="R114" s="4"/>
      <c r="W114" s="4"/>
      <c r="AB114" s="4"/>
      <c r="AG114" s="4"/>
      <c r="AL114" s="4"/>
      <c r="AQ114" s="4"/>
      <c r="AV114" s="4"/>
      <c r="BA114" s="4"/>
    </row>
    <row r="115" spans="8:53" s="1" customFormat="1" ht="85.15" customHeight="1">
      <c r="H115" s="4"/>
      <c r="M115" s="4"/>
      <c r="R115" s="4"/>
      <c r="W115" s="4"/>
      <c r="AB115" s="4"/>
      <c r="AG115" s="4"/>
      <c r="AL115" s="4"/>
      <c r="AQ115" s="4"/>
      <c r="AV115" s="4"/>
      <c r="BA115" s="4"/>
    </row>
    <row r="116" spans="8:53" s="1" customFormat="1" ht="85.15" customHeight="1">
      <c r="H116" s="4"/>
      <c r="M116" s="4"/>
      <c r="R116" s="4"/>
      <c r="W116" s="4"/>
      <c r="AB116" s="4"/>
      <c r="AG116" s="4"/>
      <c r="AL116" s="4"/>
      <c r="AQ116" s="4"/>
      <c r="AV116" s="4"/>
      <c r="BA116" s="4"/>
    </row>
    <row r="117" spans="8:53" s="1" customFormat="1" ht="85.15" customHeight="1">
      <c r="H117" s="4"/>
      <c r="M117" s="4"/>
      <c r="R117" s="4"/>
      <c r="W117" s="4"/>
      <c r="AB117" s="4"/>
      <c r="AG117" s="4"/>
      <c r="AL117" s="4"/>
      <c r="AQ117" s="4"/>
      <c r="AV117" s="4"/>
      <c r="BA117" s="4"/>
    </row>
    <row r="118" spans="8:53" s="1" customFormat="1" ht="85.15" customHeight="1">
      <c r="H118" s="4"/>
      <c r="M118" s="4"/>
      <c r="R118" s="4"/>
      <c r="W118" s="4"/>
      <c r="AB118" s="4"/>
      <c r="AG118" s="4"/>
      <c r="AL118" s="4"/>
      <c r="AQ118" s="4"/>
      <c r="AV118" s="4"/>
      <c r="BA118" s="4"/>
    </row>
    <row r="119" spans="8:53" s="1" customFormat="1" ht="85.15" customHeight="1">
      <c r="H119" s="4"/>
      <c r="M119" s="4"/>
      <c r="R119" s="4"/>
      <c r="W119" s="4"/>
      <c r="AB119" s="4"/>
      <c r="AG119" s="4"/>
      <c r="AL119" s="4"/>
      <c r="AQ119" s="4"/>
      <c r="AV119" s="4"/>
      <c r="BA119" s="4"/>
    </row>
    <row r="120" spans="8:53" s="1" customFormat="1" ht="85.15" customHeight="1">
      <c r="H120" s="4"/>
      <c r="M120" s="4"/>
      <c r="R120" s="4"/>
      <c r="W120" s="4"/>
      <c r="AB120" s="4"/>
      <c r="AG120" s="4"/>
      <c r="AL120" s="4"/>
      <c r="AQ120" s="4"/>
      <c r="AV120" s="4"/>
      <c r="BA120" s="4"/>
    </row>
    <row r="121" spans="8:53" s="1" customFormat="1" ht="85.15" customHeight="1">
      <c r="H121" s="4"/>
      <c r="M121" s="4"/>
      <c r="R121" s="4"/>
      <c r="W121" s="4"/>
      <c r="AB121" s="4"/>
      <c r="AG121" s="4"/>
      <c r="AL121" s="4"/>
      <c r="AQ121" s="4"/>
      <c r="AV121" s="4"/>
      <c r="BA121" s="4"/>
    </row>
    <row r="122" spans="8:53" s="1" customFormat="1" ht="85.15" customHeight="1">
      <c r="H122" s="4"/>
      <c r="M122" s="4"/>
      <c r="R122" s="4"/>
      <c r="W122" s="4"/>
      <c r="AB122" s="4"/>
      <c r="AG122" s="4"/>
      <c r="AL122" s="4"/>
      <c r="AQ122" s="4"/>
      <c r="AV122" s="4"/>
      <c r="BA122" s="4"/>
    </row>
    <row r="123" spans="8:53" s="1" customFormat="1" ht="85.15" customHeight="1">
      <c r="H123" s="4"/>
      <c r="M123" s="4"/>
      <c r="R123" s="4"/>
      <c r="W123" s="4"/>
      <c r="AB123" s="4"/>
      <c r="AG123" s="4"/>
      <c r="AL123" s="4"/>
      <c r="AQ123" s="4"/>
      <c r="AV123" s="4"/>
      <c r="BA123" s="4"/>
    </row>
    <row r="124" spans="8:53" s="1" customFormat="1" ht="85.15" customHeight="1">
      <c r="H124" s="4"/>
      <c r="M124" s="4"/>
      <c r="R124" s="4"/>
      <c r="W124" s="4"/>
      <c r="AB124" s="4"/>
      <c r="AG124" s="4"/>
      <c r="AL124" s="4"/>
      <c r="AQ124" s="4"/>
      <c r="AV124" s="4"/>
      <c r="BA124" s="4"/>
    </row>
    <row r="125" spans="8:53" s="1" customFormat="1" ht="85.15" customHeight="1">
      <c r="H125" s="4"/>
      <c r="M125" s="4"/>
      <c r="R125" s="4"/>
      <c r="W125" s="4"/>
      <c r="AB125" s="4"/>
      <c r="AG125" s="4"/>
      <c r="AL125" s="4"/>
      <c r="AQ125" s="4"/>
      <c r="AV125" s="4"/>
      <c r="BA125" s="4"/>
    </row>
    <row r="126" spans="8:53" s="1" customFormat="1" ht="85.15" customHeight="1">
      <c r="H126" s="4"/>
      <c r="M126" s="4"/>
      <c r="R126" s="4"/>
      <c r="W126" s="4"/>
      <c r="AB126" s="4"/>
      <c r="AG126" s="4"/>
      <c r="AL126" s="4"/>
      <c r="AQ126" s="4"/>
      <c r="AV126" s="4"/>
      <c r="BA126" s="4"/>
    </row>
    <row r="127" spans="8:53" s="1" customFormat="1" ht="85.15" customHeight="1">
      <c r="H127" s="4"/>
      <c r="M127" s="4"/>
      <c r="R127" s="4"/>
      <c r="W127" s="4"/>
      <c r="AB127" s="4"/>
      <c r="AG127" s="4"/>
      <c r="AL127" s="4"/>
      <c r="AQ127" s="4"/>
      <c r="AV127" s="4"/>
      <c r="BA127" s="4"/>
    </row>
    <row r="128" spans="8:53" s="1" customFormat="1" ht="85.15" customHeight="1">
      <c r="H128" s="4"/>
      <c r="M128" s="4"/>
      <c r="R128" s="4"/>
      <c r="W128" s="4"/>
      <c r="AB128" s="4"/>
      <c r="AG128" s="4"/>
      <c r="AL128" s="4"/>
      <c r="AQ128" s="4"/>
      <c r="AV128" s="4"/>
      <c r="BA128" s="4"/>
    </row>
    <row r="129" spans="8:53" s="1" customFormat="1" ht="85.15" customHeight="1">
      <c r="H129" s="4"/>
      <c r="M129" s="4"/>
      <c r="R129" s="4"/>
      <c r="W129" s="4"/>
      <c r="AB129" s="4"/>
      <c r="AG129" s="4"/>
      <c r="AL129" s="4"/>
      <c r="AQ129" s="4"/>
      <c r="AV129" s="4"/>
      <c r="BA129" s="4"/>
    </row>
    <row r="130" spans="8:53" s="1" customFormat="1" ht="85.15" customHeight="1">
      <c r="H130" s="4"/>
      <c r="M130" s="4"/>
      <c r="R130" s="4"/>
      <c r="W130" s="4"/>
      <c r="AB130" s="4"/>
      <c r="AG130" s="4"/>
      <c r="AL130" s="4"/>
      <c r="AQ130" s="4"/>
      <c r="AV130" s="4"/>
      <c r="BA130" s="4"/>
    </row>
    <row r="131" spans="8:53" s="1" customFormat="1" ht="85.15" customHeight="1">
      <c r="H131" s="4"/>
      <c r="M131" s="4"/>
      <c r="R131" s="4"/>
      <c r="W131" s="4"/>
      <c r="AB131" s="4"/>
      <c r="AG131" s="4"/>
      <c r="AL131" s="4"/>
      <c r="AQ131" s="4"/>
      <c r="AV131" s="4"/>
      <c r="BA131" s="4"/>
    </row>
    <row r="132" spans="8:53" s="1" customFormat="1" ht="85.15" customHeight="1">
      <c r="H132" s="4"/>
      <c r="M132" s="4"/>
      <c r="R132" s="4"/>
      <c r="W132" s="4"/>
      <c r="AB132" s="4"/>
      <c r="AG132" s="4"/>
      <c r="AL132" s="4"/>
      <c r="AQ132" s="4"/>
      <c r="AV132" s="4"/>
      <c r="BA132" s="4"/>
    </row>
    <row r="133" spans="8:53" s="1" customFormat="1" ht="85.15" customHeight="1">
      <c r="H133" s="4"/>
      <c r="M133" s="4"/>
      <c r="R133" s="4"/>
      <c r="W133" s="4"/>
      <c r="AB133" s="4"/>
      <c r="AG133" s="4"/>
      <c r="AL133" s="4"/>
      <c r="AQ133" s="4"/>
      <c r="AV133" s="4"/>
      <c r="BA133" s="4"/>
    </row>
    <row r="134" spans="8:53" s="1" customFormat="1" ht="85.15" customHeight="1">
      <c r="H134" s="4"/>
      <c r="M134" s="4"/>
      <c r="R134" s="4"/>
      <c r="W134" s="4"/>
      <c r="AB134" s="4"/>
      <c r="AG134" s="4"/>
      <c r="AL134" s="4"/>
      <c r="AQ134" s="4"/>
      <c r="AV134" s="4"/>
      <c r="BA134" s="4"/>
    </row>
    <row r="135" spans="8:53" s="1" customFormat="1" ht="85.15" customHeight="1">
      <c r="H135" s="4"/>
      <c r="M135" s="4"/>
      <c r="R135" s="4"/>
      <c r="W135" s="4"/>
      <c r="AB135" s="4"/>
      <c r="AG135" s="4"/>
      <c r="AL135" s="4"/>
      <c r="AQ135" s="4"/>
      <c r="AV135" s="4"/>
      <c r="BA135" s="4"/>
    </row>
    <row r="136" spans="8:53" s="1" customFormat="1" ht="85.15" customHeight="1">
      <c r="H136" s="4"/>
      <c r="M136" s="4"/>
      <c r="R136" s="4"/>
      <c r="W136" s="4"/>
      <c r="AB136" s="4"/>
      <c r="AG136" s="4"/>
      <c r="AL136" s="4"/>
      <c r="AQ136" s="4"/>
      <c r="AV136" s="4"/>
      <c r="BA136" s="4"/>
    </row>
    <row r="137" spans="8:53" s="1" customFormat="1" ht="85.15" customHeight="1">
      <c r="H137" s="4"/>
      <c r="M137" s="4"/>
      <c r="R137" s="4"/>
      <c r="W137" s="4"/>
      <c r="AB137" s="4"/>
      <c r="AG137" s="4"/>
      <c r="AL137" s="4"/>
      <c r="AQ137" s="4"/>
      <c r="AV137" s="4"/>
      <c r="BA137" s="4"/>
    </row>
    <row r="138" spans="8:53" s="1" customFormat="1" ht="85.15" customHeight="1">
      <c r="H138" s="4"/>
      <c r="M138" s="4"/>
      <c r="R138" s="4"/>
      <c r="W138" s="4"/>
      <c r="AB138" s="4"/>
      <c r="AG138" s="4"/>
      <c r="AL138" s="4"/>
      <c r="AQ138" s="4"/>
      <c r="AV138" s="4"/>
      <c r="BA138" s="4"/>
    </row>
    <row r="139" spans="8:53" s="1" customFormat="1" ht="85.15" customHeight="1">
      <c r="H139" s="4"/>
      <c r="M139" s="4"/>
      <c r="R139" s="4"/>
      <c r="W139" s="4"/>
      <c r="AB139" s="4"/>
      <c r="AG139" s="4"/>
      <c r="AL139" s="4"/>
      <c r="AQ139" s="4"/>
      <c r="AV139" s="4"/>
      <c r="BA139" s="4"/>
    </row>
    <row r="140" spans="8:53" s="1" customFormat="1" ht="85.15" customHeight="1">
      <c r="H140" s="4"/>
      <c r="M140" s="4"/>
      <c r="R140" s="4"/>
      <c r="W140" s="4"/>
      <c r="AB140" s="4"/>
      <c r="AG140" s="4"/>
      <c r="AL140" s="4"/>
      <c r="AQ140" s="4"/>
      <c r="AV140" s="4"/>
      <c r="BA140" s="4"/>
    </row>
    <row r="141" spans="8:53" s="1" customFormat="1" ht="85.15" customHeight="1">
      <c r="H141" s="4"/>
      <c r="M141" s="4"/>
      <c r="R141" s="4"/>
      <c r="W141" s="4"/>
      <c r="AB141" s="4"/>
      <c r="AG141" s="4"/>
      <c r="AL141" s="4"/>
      <c r="AQ141" s="4"/>
      <c r="AV141" s="4"/>
      <c r="BA141" s="4"/>
    </row>
    <row r="142" spans="8:53" s="1" customFormat="1" ht="85.15" customHeight="1">
      <c r="H142" s="4"/>
      <c r="M142" s="4"/>
      <c r="R142" s="4"/>
      <c r="W142" s="4"/>
      <c r="AB142" s="4"/>
      <c r="AG142" s="4"/>
      <c r="AL142" s="4"/>
      <c r="AQ142" s="4"/>
      <c r="AV142" s="4"/>
      <c r="BA142" s="4"/>
    </row>
    <row r="143" spans="8:53" s="1" customFormat="1" ht="85.15" customHeight="1">
      <c r="H143" s="4"/>
      <c r="M143" s="4"/>
      <c r="R143" s="4"/>
      <c r="W143" s="4"/>
      <c r="AB143" s="4"/>
      <c r="AG143" s="4"/>
      <c r="AL143" s="4"/>
      <c r="AQ143" s="4"/>
      <c r="AV143" s="4"/>
      <c r="BA143" s="4"/>
    </row>
    <row r="144" spans="8:53" s="1" customFormat="1" ht="85.15" customHeight="1">
      <c r="H144" s="4"/>
      <c r="M144" s="4"/>
      <c r="R144" s="4"/>
      <c r="W144" s="4"/>
      <c r="AB144" s="4"/>
      <c r="AG144" s="4"/>
      <c r="AL144" s="4"/>
      <c r="AQ144" s="4"/>
      <c r="AV144" s="4"/>
      <c r="BA144" s="4"/>
    </row>
    <row r="145" spans="8:53" s="1" customFormat="1" ht="85.15" customHeight="1">
      <c r="H145" s="4"/>
      <c r="M145" s="4"/>
      <c r="R145" s="4"/>
      <c r="W145" s="4"/>
      <c r="AB145" s="4"/>
      <c r="AG145" s="4"/>
      <c r="AL145" s="4"/>
      <c r="AQ145" s="4"/>
      <c r="AV145" s="4"/>
      <c r="BA145" s="4"/>
    </row>
    <row r="146" spans="8:53" s="1" customFormat="1" ht="85.15" customHeight="1">
      <c r="H146" s="4"/>
      <c r="M146" s="4"/>
      <c r="R146" s="4"/>
      <c r="W146" s="4"/>
      <c r="AB146" s="4"/>
      <c r="AG146" s="4"/>
      <c r="AL146" s="4"/>
      <c r="AQ146" s="4"/>
      <c r="AV146" s="4"/>
      <c r="BA146" s="4"/>
    </row>
    <row r="147" spans="8:53" s="1" customFormat="1" ht="85.15" customHeight="1">
      <c r="H147" s="4"/>
      <c r="M147" s="4"/>
      <c r="R147" s="4"/>
      <c r="W147" s="4"/>
      <c r="AB147" s="4"/>
      <c r="AG147" s="4"/>
      <c r="AL147" s="4"/>
      <c r="AQ147" s="4"/>
      <c r="AV147" s="4"/>
      <c r="BA147" s="4"/>
    </row>
    <row r="148" spans="8:53" s="1" customFormat="1" ht="85.15" customHeight="1">
      <c r="H148" s="4"/>
      <c r="M148" s="4"/>
      <c r="R148" s="4"/>
      <c r="W148" s="4"/>
      <c r="AB148" s="4"/>
      <c r="AG148" s="4"/>
      <c r="AL148" s="4"/>
      <c r="AQ148" s="4"/>
      <c r="AV148" s="4"/>
      <c r="BA148" s="4"/>
    </row>
    <row r="149" spans="8:53" s="1" customFormat="1" ht="85.15" customHeight="1">
      <c r="H149" s="4"/>
      <c r="M149" s="4"/>
      <c r="R149" s="4"/>
      <c r="W149" s="4"/>
      <c r="AB149" s="4"/>
      <c r="AG149" s="4"/>
      <c r="AL149" s="4"/>
      <c r="AQ149" s="4"/>
      <c r="AV149" s="4"/>
      <c r="BA149" s="4"/>
    </row>
    <row r="150" spans="8:53" s="1" customFormat="1" ht="85.15" customHeight="1">
      <c r="H150" s="4"/>
      <c r="M150" s="4"/>
      <c r="R150" s="4"/>
      <c r="W150" s="4"/>
      <c r="AB150" s="4"/>
      <c r="AG150" s="4"/>
      <c r="AL150" s="4"/>
      <c r="AQ150" s="4"/>
      <c r="AV150" s="4"/>
      <c r="BA150" s="4"/>
    </row>
    <row r="151" spans="8:53" s="1" customFormat="1" ht="85.15" customHeight="1">
      <c r="H151" s="4"/>
      <c r="M151" s="4"/>
      <c r="R151" s="4"/>
      <c r="W151" s="4"/>
      <c r="AB151" s="4"/>
      <c r="AG151" s="4"/>
      <c r="AL151" s="4"/>
      <c r="AQ151" s="4"/>
      <c r="AV151" s="4"/>
      <c r="BA151" s="4"/>
    </row>
    <row r="152" spans="8:53" s="1" customFormat="1" ht="85.15" customHeight="1">
      <c r="H152" s="4"/>
      <c r="M152" s="4"/>
      <c r="R152" s="4"/>
      <c r="W152" s="4"/>
      <c r="AB152" s="4"/>
      <c r="AG152" s="4"/>
      <c r="AL152" s="4"/>
      <c r="AQ152" s="4"/>
      <c r="AV152" s="4"/>
      <c r="BA152" s="4"/>
    </row>
    <row r="153" spans="8:53" s="1" customFormat="1" ht="85.15" customHeight="1">
      <c r="H153" s="4"/>
      <c r="M153" s="4"/>
      <c r="R153" s="4"/>
      <c r="W153" s="4"/>
      <c r="AB153" s="4"/>
      <c r="AG153" s="4"/>
      <c r="AL153" s="4"/>
      <c r="AQ153" s="4"/>
      <c r="AV153" s="4"/>
      <c r="BA153" s="4"/>
    </row>
    <row r="154" spans="8:53" s="1" customFormat="1" ht="85.15" customHeight="1">
      <c r="H154" s="4"/>
      <c r="M154" s="4"/>
      <c r="R154" s="4"/>
      <c r="W154" s="4"/>
      <c r="AB154" s="4"/>
      <c r="AG154" s="4"/>
      <c r="AL154" s="4"/>
      <c r="AQ154" s="4"/>
      <c r="AV154" s="4"/>
      <c r="BA154" s="4"/>
    </row>
    <row r="155" spans="8:53" s="1" customFormat="1" ht="85.15" customHeight="1">
      <c r="H155" s="4"/>
      <c r="M155" s="4"/>
      <c r="R155" s="4"/>
      <c r="W155" s="4"/>
      <c r="AB155" s="4"/>
      <c r="AG155" s="4"/>
      <c r="AL155" s="4"/>
      <c r="AQ155" s="4"/>
      <c r="AV155" s="4"/>
      <c r="BA155" s="4"/>
    </row>
    <row r="156" spans="8:53" s="1" customFormat="1" ht="85.15" customHeight="1">
      <c r="H156" s="4"/>
      <c r="M156" s="4"/>
      <c r="R156" s="4"/>
      <c r="W156" s="4"/>
      <c r="AB156" s="4"/>
      <c r="AG156" s="4"/>
      <c r="AL156" s="4"/>
      <c r="AQ156" s="4"/>
      <c r="AV156" s="4"/>
      <c r="BA156" s="4"/>
    </row>
    <row r="157" spans="8:53" s="1" customFormat="1" ht="85.15" customHeight="1">
      <c r="H157" s="4"/>
      <c r="M157" s="4"/>
      <c r="R157" s="4"/>
      <c r="W157" s="4"/>
      <c r="AB157" s="4"/>
      <c r="AG157" s="4"/>
      <c r="AL157" s="4"/>
      <c r="AQ157" s="4"/>
      <c r="AV157" s="4"/>
      <c r="BA157" s="4"/>
    </row>
    <row r="158" spans="8:53" s="1" customFormat="1" ht="85.15" customHeight="1">
      <c r="H158" s="4"/>
      <c r="M158" s="4"/>
      <c r="R158" s="4"/>
      <c r="W158" s="4"/>
      <c r="AB158" s="4"/>
      <c r="AG158" s="4"/>
      <c r="AL158" s="4"/>
      <c r="AQ158" s="4"/>
      <c r="AV158" s="4"/>
      <c r="BA158" s="4"/>
    </row>
    <row r="159" spans="8:53" s="1" customFormat="1" ht="85.15" customHeight="1">
      <c r="H159" s="4"/>
      <c r="M159" s="4"/>
      <c r="R159" s="4"/>
      <c r="W159" s="4"/>
      <c r="AB159" s="4"/>
      <c r="AG159" s="4"/>
      <c r="AL159" s="4"/>
      <c r="AQ159" s="4"/>
      <c r="AV159" s="4"/>
      <c r="BA159" s="4"/>
    </row>
    <row r="160" spans="8:53" s="1" customFormat="1" ht="85.15" customHeight="1">
      <c r="H160" s="4"/>
      <c r="M160" s="4"/>
      <c r="R160" s="4"/>
      <c r="W160" s="4"/>
      <c r="AB160" s="4"/>
      <c r="AG160" s="4"/>
      <c r="AL160" s="4"/>
      <c r="AQ160" s="4"/>
      <c r="AV160" s="4"/>
      <c r="BA160" s="4"/>
    </row>
    <row r="161" spans="8:53" s="1" customFormat="1" ht="85.15" customHeight="1">
      <c r="H161" s="4"/>
      <c r="M161" s="4"/>
      <c r="R161" s="4"/>
      <c r="W161" s="4"/>
      <c r="AB161" s="4"/>
      <c r="AG161" s="4"/>
      <c r="AL161" s="4"/>
      <c r="AQ161" s="4"/>
      <c r="AV161" s="4"/>
      <c r="BA161" s="4"/>
    </row>
    <row r="162" spans="8:53" s="1" customFormat="1" ht="85.15" customHeight="1">
      <c r="H162" s="4"/>
      <c r="M162" s="4"/>
      <c r="R162" s="4"/>
      <c r="W162" s="4"/>
      <c r="AB162" s="4"/>
      <c r="AG162" s="4"/>
      <c r="AL162" s="4"/>
      <c r="AQ162" s="4"/>
      <c r="AV162" s="4"/>
      <c r="BA162" s="4"/>
    </row>
    <row r="163" spans="8:53" s="1" customFormat="1" ht="85.15" customHeight="1">
      <c r="H163" s="4"/>
      <c r="M163" s="4"/>
      <c r="R163" s="4"/>
      <c r="W163" s="4"/>
      <c r="AB163" s="4"/>
      <c r="AG163" s="4"/>
      <c r="AL163" s="4"/>
      <c r="AQ163" s="4"/>
      <c r="AV163" s="4"/>
      <c r="BA163" s="4"/>
    </row>
    <row r="164" spans="8:53" s="1" customFormat="1" ht="85.15" customHeight="1">
      <c r="H164" s="4"/>
      <c r="M164" s="4"/>
      <c r="R164" s="4"/>
      <c r="W164" s="4"/>
      <c r="AB164" s="4"/>
      <c r="AG164" s="4"/>
      <c r="AL164" s="4"/>
      <c r="AQ164" s="4"/>
      <c r="AV164" s="4"/>
      <c r="BA164" s="4"/>
    </row>
    <row r="165" spans="8:53" s="1" customFormat="1" ht="85.15" customHeight="1">
      <c r="H165" s="4"/>
      <c r="M165" s="4"/>
      <c r="R165" s="4"/>
      <c r="W165" s="4"/>
      <c r="AB165" s="4"/>
      <c r="AG165" s="4"/>
      <c r="AL165" s="4"/>
      <c r="AQ165" s="4"/>
      <c r="AV165" s="4"/>
      <c r="BA165" s="4"/>
    </row>
    <row r="166" spans="8:53" s="1" customFormat="1" ht="85.15" customHeight="1">
      <c r="H166" s="4"/>
      <c r="M166" s="4"/>
      <c r="R166" s="4"/>
      <c r="W166" s="4"/>
      <c r="AB166" s="4"/>
      <c r="AG166" s="4"/>
      <c r="AL166" s="4"/>
      <c r="AQ166" s="4"/>
      <c r="AV166" s="4"/>
      <c r="BA166" s="4"/>
    </row>
    <row r="167" spans="8:53" s="1" customFormat="1" ht="85.15" customHeight="1">
      <c r="H167" s="4"/>
      <c r="M167" s="4"/>
      <c r="R167" s="4"/>
      <c r="W167" s="4"/>
      <c r="AB167" s="4"/>
      <c r="AG167" s="4"/>
      <c r="AL167" s="4"/>
      <c r="AQ167" s="4"/>
      <c r="AV167" s="4"/>
      <c r="BA167" s="4"/>
    </row>
    <row r="168" spans="8:53" s="1" customFormat="1" ht="85.15" customHeight="1">
      <c r="H168" s="4"/>
      <c r="M168" s="4"/>
      <c r="R168" s="4"/>
      <c r="W168" s="4"/>
      <c r="AB168" s="4"/>
      <c r="AG168" s="4"/>
      <c r="AL168" s="4"/>
      <c r="AQ168" s="4"/>
      <c r="AV168" s="4"/>
      <c r="BA168" s="4"/>
    </row>
    <row r="169" spans="8:53" s="1" customFormat="1" ht="85.15" customHeight="1">
      <c r="H169" s="4"/>
      <c r="M169" s="4"/>
      <c r="R169" s="4"/>
      <c r="W169" s="4"/>
      <c r="AB169" s="4"/>
      <c r="AG169" s="4"/>
      <c r="AL169" s="4"/>
      <c r="AQ169" s="4"/>
      <c r="AV169" s="4"/>
      <c r="BA169" s="4"/>
    </row>
    <row r="170" spans="8:53" s="1" customFormat="1" ht="85.15" customHeight="1">
      <c r="H170" s="4"/>
      <c r="M170" s="4"/>
      <c r="R170" s="4"/>
      <c r="W170" s="4"/>
      <c r="AB170" s="4"/>
      <c r="AG170" s="4"/>
      <c r="AL170" s="4"/>
      <c r="AQ170" s="4"/>
      <c r="AV170" s="4"/>
      <c r="BA170" s="4"/>
    </row>
    <row r="171" spans="8:53" s="1" customFormat="1" ht="85.15" customHeight="1">
      <c r="H171" s="4"/>
      <c r="M171" s="4"/>
      <c r="R171" s="4"/>
      <c r="W171" s="4"/>
      <c r="AB171" s="4"/>
      <c r="AG171" s="4"/>
      <c r="AL171" s="4"/>
      <c r="AQ171" s="4"/>
      <c r="AV171" s="4"/>
      <c r="BA171" s="4"/>
    </row>
    <row r="172" spans="8:53" s="1" customFormat="1" ht="85.15" customHeight="1">
      <c r="H172" s="4"/>
      <c r="M172" s="4"/>
      <c r="R172" s="4"/>
      <c r="W172" s="4"/>
      <c r="AB172" s="4"/>
      <c r="AG172" s="4"/>
      <c r="AL172" s="4"/>
      <c r="AQ172" s="4"/>
      <c r="AV172" s="4"/>
      <c r="BA172" s="4"/>
    </row>
    <row r="173" spans="8:53" s="1" customFormat="1" ht="85.15" customHeight="1">
      <c r="H173" s="4"/>
      <c r="M173" s="4"/>
      <c r="R173" s="4"/>
      <c r="W173" s="4"/>
      <c r="AB173" s="4"/>
      <c r="AG173" s="4"/>
      <c r="AL173" s="4"/>
      <c r="AQ173" s="4"/>
      <c r="AV173" s="4"/>
      <c r="BA173" s="4"/>
    </row>
    <row r="174" spans="8:53" s="1" customFormat="1" ht="85.15" customHeight="1">
      <c r="H174" s="4"/>
      <c r="M174" s="4"/>
      <c r="R174" s="4"/>
      <c r="W174" s="4"/>
      <c r="AB174" s="4"/>
      <c r="AG174" s="4"/>
      <c r="AL174" s="4"/>
      <c r="AQ174" s="4"/>
      <c r="AV174" s="4"/>
      <c r="BA174" s="4"/>
    </row>
    <row r="175" spans="8:53" s="1" customFormat="1" ht="85.15" customHeight="1">
      <c r="H175" s="4"/>
      <c r="M175" s="4"/>
      <c r="R175" s="4"/>
      <c r="W175" s="4"/>
      <c r="AB175" s="4"/>
      <c r="AG175" s="4"/>
      <c r="AL175" s="4"/>
      <c r="AQ175" s="4"/>
      <c r="AV175" s="4"/>
      <c r="BA175" s="4"/>
    </row>
    <row r="176" spans="8:53" s="1" customFormat="1" ht="85.15" customHeight="1">
      <c r="H176" s="4"/>
      <c r="M176" s="4"/>
      <c r="R176" s="4"/>
      <c r="W176" s="4"/>
      <c r="AB176" s="4"/>
      <c r="AG176" s="4"/>
      <c r="AL176" s="4"/>
      <c r="AQ176" s="4"/>
      <c r="AV176" s="4"/>
      <c r="BA176" s="4"/>
    </row>
    <row r="177" spans="8:53" s="1" customFormat="1" ht="85.15" customHeight="1">
      <c r="H177" s="4"/>
      <c r="M177" s="4"/>
      <c r="R177" s="4"/>
      <c r="W177" s="4"/>
      <c r="AB177" s="4"/>
      <c r="AG177" s="4"/>
      <c r="AL177" s="4"/>
      <c r="AQ177" s="4"/>
      <c r="AV177" s="4"/>
      <c r="BA177" s="4"/>
    </row>
    <row r="178" spans="8:53" s="1" customFormat="1" ht="85.15" customHeight="1">
      <c r="H178" s="4"/>
      <c r="M178" s="4"/>
      <c r="R178" s="4"/>
      <c r="W178" s="4"/>
      <c r="AB178" s="4"/>
      <c r="AG178" s="4"/>
      <c r="AL178" s="4"/>
      <c r="AQ178" s="4"/>
      <c r="AV178" s="4"/>
      <c r="BA178" s="4"/>
    </row>
    <row r="179" spans="8:53" s="1" customFormat="1" ht="85.15" customHeight="1">
      <c r="H179" s="4"/>
      <c r="M179" s="4"/>
      <c r="R179" s="4"/>
      <c r="W179" s="4"/>
      <c r="AB179" s="4"/>
      <c r="AG179" s="4"/>
      <c r="AL179" s="4"/>
      <c r="AQ179" s="4"/>
      <c r="AV179" s="4"/>
      <c r="BA179" s="4"/>
    </row>
    <row r="180" spans="8:53" s="1" customFormat="1" ht="85.15" customHeight="1">
      <c r="H180" s="4"/>
      <c r="M180" s="4"/>
      <c r="R180" s="4"/>
      <c r="W180" s="4"/>
      <c r="AB180" s="4"/>
      <c r="AG180" s="4"/>
      <c r="AL180" s="4"/>
      <c r="AQ180" s="4"/>
      <c r="AV180" s="4"/>
      <c r="BA180" s="4"/>
    </row>
    <row r="181" spans="8:53" s="1" customFormat="1" ht="85.15" customHeight="1">
      <c r="H181" s="4"/>
      <c r="M181" s="4"/>
      <c r="R181" s="4"/>
      <c r="W181" s="4"/>
      <c r="AB181" s="4"/>
      <c r="AG181" s="4"/>
      <c r="AL181" s="4"/>
      <c r="AQ181" s="4"/>
      <c r="AV181" s="4"/>
      <c r="BA181" s="4"/>
    </row>
    <row r="182" spans="8:53" s="1" customFormat="1" ht="85.15" customHeight="1">
      <c r="H182" s="4"/>
      <c r="M182" s="4"/>
      <c r="R182" s="4"/>
      <c r="W182" s="4"/>
      <c r="AB182" s="4"/>
      <c r="AG182" s="4"/>
      <c r="AL182" s="4"/>
      <c r="AQ182" s="4"/>
      <c r="AV182" s="4"/>
      <c r="BA182" s="4"/>
    </row>
    <row r="183" spans="8:53" s="1" customFormat="1" ht="85.15" customHeight="1">
      <c r="H183" s="4"/>
      <c r="M183" s="4"/>
      <c r="R183" s="4"/>
      <c r="W183" s="4"/>
      <c r="AB183" s="4"/>
      <c r="AG183" s="4"/>
      <c r="AL183" s="4"/>
      <c r="AQ183" s="4"/>
      <c r="AV183" s="4"/>
      <c r="BA183" s="4"/>
    </row>
    <row r="184" spans="8:53" s="1" customFormat="1" ht="85.15" customHeight="1">
      <c r="H184" s="4"/>
      <c r="M184" s="4"/>
      <c r="R184" s="4"/>
      <c r="W184" s="4"/>
      <c r="AB184" s="4"/>
      <c r="AG184" s="4"/>
      <c r="AL184" s="4"/>
      <c r="AQ184" s="4"/>
      <c r="AV184" s="4"/>
      <c r="BA184" s="4"/>
    </row>
    <row r="185" spans="8:53" s="1" customFormat="1" ht="53.45" customHeight="1">
      <c r="H185" s="4"/>
      <c r="M185" s="4"/>
      <c r="R185" s="4"/>
      <c r="W185" s="4"/>
      <c r="AB185" s="4"/>
      <c r="AG185" s="4"/>
      <c r="AL185" s="4"/>
      <c r="AQ185" s="4"/>
      <c r="AV185" s="4"/>
      <c r="BA185" s="4"/>
    </row>
    <row r="186" spans="8:53" s="1" customFormat="1" ht="53.45" customHeight="1">
      <c r="H186" s="4"/>
      <c r="M186" s="4"/>
      <c r="R186" s="4"/>
      <c r="W186" s="4"/>
      <c r="AB186" s="4"/>
      <c r="AG186" s="4"/>
      <c r="AL186" s="4"/>
      <c r="AQ186" s="4"/>
      <c r="AV186" s="4"/>
      <c r="BA186" s="4"/>
    </row>
    <row r="187" spans="8:53" s="1" customFormat="1" ht="53.45" customHeight="1">
      <c r="H187" s="4"/>
      <c r="M187" s="4"/>
      <c r="R187" s="4"/>
      <c r="W187" s="4"/>
      <c r="AB187" s="4"/>
      <c r="AG187" s="4"/>
      <c r="AL187" s="4"/>
      <c r="AQ187" s="4"/>
      <c r="AV187" s="4"/>
      <c r="BA187" s="4"/>
    </row>
    <row r="188" spans="8:53" s="1" customFormat="1" ht="53.45" customHeight="1">
      <c r="H188" s="4"/>
      <c r="M188" s="4"/>
      <c r="R188" s="4"/>
      <c r="W188" s="4"/>
      <c r="AB188" s="4"/>
      <c r="AG188" s="4"/>
      <c r="AL188" s="4"/>
      <c r="AQ188" s="4"/>
      <c r="AV188" s="4"/>
      <c r="BA188" s="4"/>
    </row>
    <row r="189" spans="8:53" s="1" customFormat="1" ht="53.45" customHeight="1">
      <c r="H189" s="4"/>
      <c r="M189" s="4"/>
      <c r="R189" s="4"/>
      <c r="W189" s="4"/>
      <c r="AB189" s="4"/>
      <c r="AG189" s="4"/>
      <c r="AL189" s="4"/>
      <c r="AQ189" s="4"/>
      <c r="AV189" s="4"/>
      <c r="BA189" s="4"/>
    </row>
    <row r="190" spans="8:53" s="1" customFormat="1" ht="53.45" customHeight="1">
      <c r="H190" s="4"/>
      <c r="M190" s="4"/>
      <c r="R190" s="4"/>
      <c r="W190" s="4"/>
      <c r="AB190" s="4"/>
      <c r="AG190" s="4"/>
      <c r="AL190" s="4"/>
      <c r="AQ190" s="4"/>
      <c r="AV190" s="4"/>
      <c r="BA190" s="4"/>
    </row>
    <row r="191" spans="8:53" s="1" customFormat="1" ht="53.45" customHeight="1">
      <c r="H191" s="4"/>
      <c r="M191" s="4"/>
      <c r="R191" s="4"/>
      <c r="W191" s="4"/>
      <c r="AB191" s="4"/>
      <c r="AG191" s="4"/>
      <c r="AL191" s="4"/>
      <c r="AQ191" s="4"/>
      <c r="AV191" s="4"/>
      <c r="BA191" s="4"/>
    </row>
    <row r="192" spans="8:53" s="1" customFormat="1" ht="53.45" customHeight="1">
      <c r="H192" s="4"/>
      <c r="M192" s="4"/>
      <c r="R192" s="4"/>
      <c r="W192" s="4"/>
      <c r="AB192" s="4"/>
      <c r="AG192" s="4"/>
      <c r="AL192" s="4"/>
      <c r="AQ192" s="4"/>
      <c r="AV192" s="4"/>
      <c r="BA192" s="4"/>
    </row>
    <row r="193" spans="8:53" s="1" customFormat="1" ht="53.45" customHeight="1">
      <c r="H193" s="4"/>
      <c r="M193" s="4"/>
      <c r="R193" s="4"/>
      <c r="W193" s="4"/>
      <c r="AB193" s="4"/>
      <c r="AG193" s="4"/>
      <c r="AL193" s="4"/>
      <c r="AQ193" s="4"/>
      <c r="AV193" s="4"/>
      <c r="BA193" s="4"/>
    </row>
    <row r="194" spans="8:53" s="1" customFormat="1" ht="53.45" customHeight="1">
      <c r="H194" s="4"/>
      <c r="M194" s="4"/>
      <c r="R194" s="4"/>
      <c r="W194" s="4"/>
      <c r="AB194" s="4"/>
      <c r="AG194" s="4"/>
      <c r="AL194" s="4"/>
      <c r="AQ194" s="4"/>
      <c r="AV194" s="4"/>
      <c r="BA194" s="4"/>
    </row>
    <row r="195" spans="8:53" s="1" customFormat="1" ht="53.45" customHeight="1">
      <c r="H195" s="4"/>
      <c r="M195" s="4"/>
      <c r="R195" s="4"/>
      <c r="W195" s="4"/>
      <c r="AB195" s="4"/>
      <c r="AG195" s="4"/>
      <c r="AL195" s="4"/>
      <c r="AQ195" s="4"/>
      <c r="AV195" s="4"/>
      <c r="BA195" s="4"/>
    </row>
    <row r="196" spans="8:53" s="1" customFormat="1" ht="53.45" customHeight="1">
      <c r="H196" s="4"/>
      <c r="M196" s="4"/>
      <c r="R196" s="4"/>
      <c r="W196" s="4"/>
      <c r="AB196" s="4"/>
      <c r="AG196" s="4"/>
      <c r="AL196" s="4"/>
      <c r="AQ196" s="4"/>
      <c r="AV196" s="4"/>
      <c r="BA196" s="4"/>
    </row>
    <row r="197" spans="8:53" s="1" customFormat="1" ht="53.45" customHeight="1">
      <c r="H197" s="4"/>
      <c r="M197" s="4"/>
      <c r="R197" s="4"/>
      <c r="W197" s="4"/>
      <c r="AB197" s="4"/>
      <c r="AG197" s="4"/>
      <c r="AL197" s="4"/>
      <c r="AQ197" s="4"/>
      <c r="AV197" s="4"/>
      <c r="BA197" s="4"/>
    </row>
    <row r="198" spans="8:53" s="1" customFormat="1" ht="53.45" customHeight="1">
      <c r="H198" s="4"/>
      <c r="M198" s="4"/>
      <c r="R198" s="4"/>
      <c r="W198" s="4"/>
      <c r="AB198" s="4"/>
      <c r="AG198" s="4"/>
      <c r="AL198" s="4"/>
      <c r="AQ198" s="4"/>
      <c r="AV198" s="4"/>
      <c r="BA198" s="4"/>
    </row>
    <row r="199" spans="8:53" s="1" customFormat="1" ht="53.45" customHeight="1">
      <c r="H199" s="4"/>
      <c r="M199" s="4"/>
      <c r="R199" s="4"/>
      <c r="W199" s="4"/>
      <c r="AB199" s="4"/>
      <c r="AG199" s="4"/>
      <c r="AL199" s="4"/>
      <c r="AQ199" s="4"/>
      <c r="AV199" s="4"/>
      <c r="BA199" s="4"/>
    </row>
    <row r="200" spans="8:53" s="1" customFormat="1" ht="53.45" customHeight="1">
      <c r="H200" s="4"/>
      <c r="M200" s="4"/>
      <c r="R200" s="4"/>
      <c r="W200" s="4"/>
      <c r="AB200" s="4"/>
      <c r="AG200" s="4"/>
      <c r="AL200" s="4"/>
      <c r="AQ200" s="4"/>
      <c r="AV200" s="4"/>
      <c r="BA200" s="4"/>
    </row>
    <row r="201" spans="8:53" s="1" customFormat="1" ht="53.45" customHeight="1">
      <c r="H201" s="4"/>
      <c r="M201" s="4"/>
      <c r="R201" s="4"/>
      <c r="W201" s="4"/>
      <c r="AB201" s="4"/>
      <c r="AG201" s="4"/>
      <c r="AL201" s="4"/>
      <c r="AQ201" s="4"/>
      <c r="AV201" s="4"/>
      <c r="BA201" s="4"/>
    </row>
    <row r="202" spans="8:53" s="1" customFormat="1" ht="53.45" customHeight="1">
      <c r="H202" s="4"/>
      <c r="M202" s="4"/>
      <c r="R202" s="4"/>
      <c r="W202" s="4"/>
      <c r="AB202" s="4"/>
      <c r="AG202" s="4"/>
      <c r="AL202" s="4"/>
      <c r="AQ202" s="4"/>
      <c r="AV202" s="4"/>
      <c r="BA202" s="4"/>
    </row>
    <row r="203" spans="8:53" s="1" customFormat="1" ht="53.45" customHeight="1">
      <c r="H203" s="4"/>
      <c r="M203" s="4"/>
      <c r="R203" s="4"/>
      <c r="W203" s="4"/>
      <c r="AB203" s="4"/>
      <c r="AG203" s="4"/>
      <c r="AL203" s="4"/>
      <c r="AQ203" s="4"/>
      <c r="AV203" s="4"/>
      <c r="BA203" s="4"/>
    </row>
    <row r="204" spans="8:53" s="1" customFormat="1" ht="53.45" customHeight="1">
      <c r="H204" s="4"/>
      <c r="M204" s="4"/>
      <c r="R204" s="4"/>
      <c r="W204" s="4"/>
      <c r="AB204" s="4"/>
      <c r="AG204" s="4"/>
      <c r="AL204" s="4"/>
      <c r="AQ204" s="4"/>
      <c r="AV204" s="4"/>
      <c r="BA204" s="4"/>
    </row>
    <row r="205" spans="8:53" s="1" customFormat="1" ht="53.45" customHeight="1">
      <c r="H205" s="4"/>
      <c r="M205" s="4"/>
      <c r="R205" s="4"/>
      <c r="W205" s="4"/>
      <c r="AB205" s="4"/>
      <c r="AG205" s="4"/>
      <c r="AL205" s="4"/>
      <c r="AQ205" s="4"/>
      <c r="AV205" s="4"/>
      <c r="BA205" s="4"/>
    </row>
    <row r="206" spans="8:53" s="1" customFormat="1" ht="53.45" customHeight="1">
      <c r="H206" s="4"/>
      <c r="M206" s="4"/>
      <c r="R206" s="4"/>
      <c r="W206" s="4"/>
      <c r="AB206" s="4"/>
      <c r="AG206" s="4"/>
      <c r="AL206" s="4"/>
      <c r="AQ206" s="4"/>
      <c r="AV206" s="4"/>
      <c r="BA206" s="4"/>
    </row>
    <row r="207" spans="8:53" s="1" customFormat="1" ht="53.45" customHeight="1">
      <c r="H207" s="4"/>
      <c r="M207" s="4"/>
      <c r="R207" s="4"/>
      <c r="W207" s="4"/>
      <c r="AB207" s="4"/>
      <c r="AG207" s="4"/>
      <c r="AL207" s="4"/>
      <c r="AQ207" s="4"/>
      <c r="AV207" s="4"/>
      <c r="BA207" s="4"/>
    </row>
    <row r="208" spans="8:53" s="1" customFormat="1" ht="53.45" customHeight="1">
      <c r="H208" s="4"/>
      <c r="M208" s="4"/>
      <c r="R208" s="4"/>
      <c r="W208" s="4"/>
      <c r="AB208" s="4"/>
      <c r="AG208" s="4"/>
      <c r="AL208" s="4"/>
      <c r="AQ208" s="4"/>
      <c r="AV208" s="4"/>
      <c r="BA208" s="4"/>
    </row>
    <row r="209" spans="8:53" s="1" customFormat="1" ht="53.45" customHeight="1">
      <c r="H209" s="4"/>
      <c r="M209" s="4"/>
      <c r="R209" s="4"/>
      <c r="W209" s="4"/>
      <c r="AB209" s="4"/>
      <c r="AG209" s="4"/>
      <c r="AL209" s="4"/>
      <c r="AQ209" s="4"/>
      <c r="AV209" s="4"/>
      <c r="BA209" s="4"/>
    </row>
    <row r="210" spans="8:53" s="1" customFormat="1" ht="53.45" customHeight="1">
      <c r="H210" s="4"/>
      <c r="M210" s="4"/>
      <c r="R210" s="4"/>
      <c r="W210" s="4"/>
      <c r="AB210" s="4"/>
      <c r="AG210" s="4"/>
      <c r="AL210" s="4"/>
      <c r="AQ210" s="4"/>
      <c r="AV210" s="4"/>
      <c r="BA210" s="4"/>
    </row>
    <row r="211" spans="8:53" s="1" customFormat="1" ht="53.45" customHeight="1">
      <c r="H211" s="4"/>
      <c r="M211" s="4"/>
      <c r="R211" s="4"/>
      <c r="W211" s="4"/>
      <c r="AB211" s="4"/>
      <c r="AG211" s="4"/>
      <c r="AL211" s="4"/>
      <c r="AQ211" s="4"/>
      <c r="AV211" s="4"/>
      <c r="BA211" s="4"/>
    </row>
    <row r="212" spans="8:53" s="1" customFormat="1" ht="53.45" customHeight="1">
      <c r="H212" s="4"/>
      <c r="M212" s="4"/>
      <c r="R212" s="4"/>
      <c r="W212" s="4"/>
      <c r="AB212" s="4"/>
      <c r="AG212" s="4"/>
      <c r="AL212" s="4"/>
      <c r="AQ212" s="4"/>
      <c r="AV212" s="4"/>
      <c r="BA212" s="4"/>
    </row>
    <row r="213" spans="8:53" s="1" customFormat="1" ht="53.45" customHeight="1">
      <c r="H213" s="4"/>
      <c r="M213" s="4"/>
      <c r="R213" s="4"/>
      <c r="W213" s="4"/>
      <c r="AB213" s="4"/>
      <c r="AG213" s="4"/>
      <c r="AL213" s="4"/>
      <c r="AQ213" s="4"/>
      <c r="AV213" s="4"/>
      <c r="BA213" s="4"/>
    </row>
    <row r="214" spans="8:53" s="1" customFormat="1" ht="53.45" customHeight="1">
      <c r="H214" s="4"/>
      <c r="M214" s="4"/>
      <c r="R214" s="4"/>
      <c r="W214" s="4"/>
      <c r="AB214" s="4"/>
      <c r="AG214" s="4"/>
      <c r="AL214" s="4"/>
      <c r="AQ214" s="4"/>
      <c r="AV214" s="4"/>
      <c r="BA214" s="4"/>
    </row>
    <row r="215" spans="8:53" s="1" customFormat="1" ht="53.45" customHeight="1">
      <c r="H215" s="4"/>
      <c r="M215" s="4"/>
      <c r="R215" s="4"/>
      <c r="W215" s="4"/>
      <c r="AB215" s="4"/>
      <c r="AG215" s="4"/>
      <c r="AL215" s="4"/>
      <c r="AQ215" s="4"/>
      <c r="AV215" s="4"/>
      <c r="BA215" s="4"/>
    </row>
    <row r="216" spans="8:53" s="1" customFormat="1" ht="53.45" customHeight="1">
      <c r="H216" s="4"/>
      <c r="M216" s="4"/>
      <c r="R216" s="4"/>
      <c r="W216" s="4"/>
      <c r="AB216" s="4"/>
      <c r="AG216" s="4"/>
      <c r="AL216" s="4"/>
      <c r="AQ216" s="4"/>
      <c r="AV216" s="4"/>
      <c r="BA216" s="4"/>
    </row>
    <row r="217" spans="8:53" s="1" customFormat="1" ht="53.45" customHeight="1">
      <c r="H217" s="4"/>
      <c r="M217" s="4"/>
      <c r="R217" s="4"/>
      <c r="W217" s="4"/>
      <c r="AB217" s="4"/>
      <c r="AG217" s="4"/>
      <c r="AL217" s="4"/>
      <c r="AQ217" s="4"/>
      <c r="AV217" s="4"/>
      <c r="BA217" s="4"/>
    </row>
    <row r="218" spans="8:53" s="1" customFormat="1" ht="53.45" customHeight="1">
      <c r="H218" s="4"/>
      <c r="M218" s="4"/>
      <c r="R218" s="4"/>
      <c r="W218" s="4"/>
      <c r="AB218" s="4"/>
      <c r="AG218" s="4"/>
      <c r="AL218" s="4"/>
      <c r="AQ218" s="4"/>
      <c r="AV218" s="4"/>
      <c r="BA218" s="4"/>
    </row>
    <row r="219" spans="8:53" s="1" customFormat="1" ht="53.45" customHeight="1">
      <c r="H219" s="4"/>
      <c r="M219" s="4"/>
      <c r="R219" s="4"/>
      <c r="W219" s="4"/>
      <c r="AB219" s="4"/>
      <c r="AG219" s="4"/>
      <c r="AL219" s="4"/>
      <c r="AQ219" s="4"/>
      <c r="AV219" s="4"/>
      <c r="BA219" s="4"/>
    </row>
    <row r="220" spans="8:53" s="1" customFormat="1" ht="53.45" customHeight="1">
      <c r="H220" s="4"/>
      <c r="M220" s="4"/>
      <c r="R220" s="4"/>
      <c r="W220" s="4"/>
      <c r="AB220" s="4"/>
      <c r="AG220" s="4"/>
      <c r="AL220" s="4"/>
      <c r="AQ220" s="4"/>
      <c r="AV220" s="4"/>
      <c r="BA220" s="4"/>
    </row>
    <row r="221" spans="8:53" s="1" customFormat="1" ht="53.45" customHeight="1">
      <c r="H221" s="4"/>
      <c r="M221" s="4"/>
      <c r="R221" s="4"/>
      <c r="W221" s="4"/>
      <c r="AB221" s="4"/>
      <c r="AG221" s="4"/>
      <c r="AL221" s="4"/>
      <c r="AQ221" s="4"/>
      <c r="AV221" s="4"/>
      <c r="BA221" s="4"/>
    </row>
    <row r="222" spans="8:53" s="1" customFormat="1" ht="53.45" customHeight="1">
      <c r="H222" s="4"/>
      <c r="M222" s="4"/>
      <c r="R222" s="4"/>
      <c r="W222" s="4"/>
      <c r="AB222" s="4"/>
      <c r="AG222" s="4"/>
      <c r="AL222" s="4"/>
      <c r="AQ222" s="4"/>
      <c r="AV222" s="4"/>
      <c r="BA222" s="4"/>
    </row>
    <row r="223" spans="8:53" s="1" customFormat="1" ht="53.45" customHeight="1">
      <c r="H223" s="4"/>
      <c r="M223" s="4"/>
      <c r="R223" s="4"/>
      <c r="W223" s="4"/>
      <c r="AB223" s="4"/>
      <c r="AG223" s="4"/>
      <c r="AL223" s="4"/>
      <c r="AQ223" s="4"/>
      <c r="AV223" s="4"/>
      <c r="BA223" s="4"/>
    </row>
    <row r="224" spans="8:53" s="1" customFormat="1" ht="53.45" customHeight="1">
      <c r="H224" s="4"/>
      <c r="M224" s="4"/>
      <c r="R224" s="4"/>
      <c r="W224" s="4"/>
      <c r="AB224" s="4"/>
      <c r="AG224" s="4"/>
      <c r="AL224" s="4"/>
      <c r="AQ224" s="4"/>
      <c r="AV224" s="4"/>
      <c r="BA224" s="4"/>
    </row>
    <row r="225" spans="8:53" s="1" customFormat="1" ht="53.45" customHeight="1">
      <c r="H225" s="4"/>
      <c r="M225" s="4"/>
      <c r="R225" s="4"/>
      <c r="W225" s="4"/>
      <c r="AB225" s="4"/>
      <c r="AG225" s="4"/>
      <c r="AL225" s="4"/>
      <c r="AQ225" s="4"/>
      <c r="AV225" s="4"/>
      <c r="BA225" s="4"/>
    </row>
    <row r="226" spans="8:53" s="1" customFormat="1" ht="53.45" customHeight="1">
      <c r="H226" s="4"/>
      <c r="M226" s="4"/>
      <c r="R226" s="4"/>
      <c r="W226" s="4"/>
      <c r="AB226" s="4"/>
      <c r="AG226" s="4"/>
      <c r="AL226" s="4"/>
      <c r="AQ226" s="4"/>
      <c r="AV226" s="4"/>
      <c r="BA226" s="4"/>
    </row>
    <row r="227" spans="8:53" s="1" customFormat="1" ht="53.45" customHeight="1">
      <c r="H227" s="4"/>
      <c r="M227" s="4"/>
      <c r="R227" s="4"/>
      <c r="W227" s="4"/>
      <c r="AB227" s="4"/>
      <c r="AG227" s="4"/>
      <c r="AL227" s="4"/>
      <c r="AQ227" s="4"/>
      <c r="AV227" s="4"/>
      <c r="BA227" s="4"/>
    </row>
    <row r="228" spans="8:53" s="1" customFormat="1" ht="53.45" customHeight="1">
      <c r="H228" s="4"/>
      <c r="M228" s="4"/>
      <c r="R228" s="4"/>
      <c r="W228" s="4"/>
      <c r="AB228" s="4"/>
      <c r="AG228" s="4"/>
      <c r="AL228" s="4"/>
      <c r="AQ228" s="4"/>
      <c r="AV228" s="4"/>
      <c r="BA228" s="4"/>
    </row>
    <row r="229" spans="8:53" s="1" customFormat="1" ht="53.45" customHeight="1">
      <c r="H229" s="4"/>
      <c r="M229" s="4"/>
      <c r="R229" s="4"/>
      <c r="W229" s="4"/>
      <c r="AB229" s="4"/>
      <c r="AG229" s="4"/>
      <c r="AL229" s="4"/>
      <c r="AQ229" s="4"/>
      <c r="AV229" s="4"/>
      <c r="BA229" s="4"/>
    </row>
    <row r="230" spans="8:53" s="1" customFormat="1" ht="53.45" customHeight="1">
      <c r="H230" s="4"/>
      <c r="M230" s="4"/>
      <c r="R230" s="4"/>
      <c r="W230" s="4"/>
      <c r="AB230" s="4"/>
      <c r="AG230" s="4"/>
      <c r="AL230" s="4"/>
      <c r="AQ230" s="4"/>
      <c r="AV230" s="4"/>
      <c r="BA230" s="4"/>
    </row>
    <row r="231" spans="8:53" s="1" customFormat="1" ht="53.45" customHeight="1">
      <c r="H231" s="4"/>
      <c r="M231" s="4"/>
      <c r="R231" s="4"/>
      <c r="W231" s="4"/>
      <c r="AB231" s="4"/>
      <c r="AG231" s="4"/>
      <c r="AL231" s="4"/>
      <c r="AQ231" s="4"/>
      <c r="AV231" s="4"/>
      <c r="BA231" s="4"/>
    </row>
    <row r="232" spans="8:53" s="1" customFormat="1" ht="53.45" customHeight="1">
      <c r="H232" s="4"/>
      <c r="M232" s="4"/>
      <c r="R232" s="4"/>
      <c r="W232" s="4"/>
      <c r="AB232" s="4"/>
      <c r="AG232" s="4"/>
      <c r="AL232" s="4"/>
      <c r="AQ232" s="4"/>
      <c r="AV232" s="4"/>
      <c r="BA232" s="4"/>
    </row>
    <row r="233" spans="8:53" s="1" customFormat="1" ht="53.45" customHeight="1">
      <c r="H233" s="4"/>
      <c r="M233" s="4"/>
      <c r="R233" s="4"/>
      <c r="W233" s="4"/>
      <c r="AB233" s="4"/>
      <c r="AG233" s="4"/>
      <c r="AL233" s="4"/>
      <c r="AQ233" s="4"/>
      <c r="AV233" s="4"/>
      <c r="BA233" s="4"/>
    </row>
    <row r="234" spans="8:53" s="1" customFormat="1" ht="53.45" customHeight="1">
      <c r="H234" s="4"/>
      <c r="M234" s="4"/>
      <c r="R234" s="4"/>
      <c r="W234" s="4"/>
      <c r="AB234" s="4"/>
      <c r="AG234" s="4"/>
      <c r="AL234" s="4"/>
      <c r="AQ234" s="4"/>
      <c r="AV234" s="4"/>
      <c r="BA234" s="4"/>
    </row>
    <row r="235" spans="8:53" s="1" customFormat="1" ht="53.45" customHeight="1">
      <c r="H235" s="4"/>
      <c r="M235" s="4"/>
      <c r="R235" s="4"/>
      <c r="W235" s="4"/>
      <c r="AB235" s="4"/>
      <c r="AG235" s="4"/>
      <c r="AL235" s="4"/>
      <c r="AQ235" s="4"/>
      <c r="AV235" s="4"/>
      <c r="BA235" s="4"/>
    </row>
    <row r="236" spans="8:53" s="1" customFormat="1" ht="53.45" customHeight="1">
      <c r="H236" s="4"/>
      <c r="M236" s="4"/>
      <c r="R236" s="4"/>
      <c r="W236" s="4"/>
      <c r="AB236" s="4"/>
      <c r="AG236" s="4"/>
      <c r="AL236" s="4"/>
      <c r="AQ236" s="4"/>
      <c r="AV236" s="4"/>
      <c r="BA236" s="4"/>
    </row>
    <row r="237" spans="8:53" s="1" customFormat="1" ht="53.45" customHeight="1">
      <c r="H237" s="4"/>
      <c r="M237" s="4"/>
      <c r="R237" s="4"/>
      <c r="W237" s="4"/>
      <c r="AB237" s="4"/>
      <c r="AG237" s="4"/>
      <c r="AL237" s="4"/>
      <c r="AQ237" s="4"/>
      <c r="AV237" s="4"/>
      <c r="BA237" s="4"/>
    </row>
    <row r="238" spans="8:53" s="1" customFormat="1" ht="53.45" customHeight="1">
      <c r="H238" s="4"/>
      <c r="M238" s="4"/>
      <c r="R238" s="4"/>
      <c r="W238" s="4"/>
      <c r="AB238" s="4"/>
      <c r="AG238" s="4"/>
      <c r="AL238" s="4"/>
      <c r="AQ238" s="4"/>
      <c r="AV238" s="4"/>
      <c r="BA238" s="4"/>
    </row>
    <row r="239" spans="8:53" s="1" customFormat="1" ht="53.45" customHeight="1">
      <c r="H239" s="4"/>
      <c r="M239" s="4"/>
      <c r="R239" s="4"/>
      <c r="W239" s="4"/>
      <c r="AB239" s="4"/>
      <c r="AG239" s="4"/>
      <c r="AL239" s="4"/>
      <c r="AQ239" s="4"/>
      <c r="AV239" s="4"/>
      <c r="BA239" s="4"/>
    </row>
    <row r="240" spans="8:53" s="1" customFormat="1" ht="53.45" customHeight="1">
      <c r="H240" s="4"/>
      <c r="M240" s="4"/>
      <c r="R240" s="4"/>
      <c r="W240" s="4"/>
      <c r="AB240" s="4"/>
      <c r="AG240" s="4"/>
      <c r="AL240" s="4"/>
      <c r="AQ240" s="4"/>
      <c r="AV240" s="4"/>
      <c r="BA240" s="4"/>
    </row>
    <row r="241" spans="8:53" s="1" customFormat="1" ht="53.45" customHeight="1">
      <c r="H241" s="4"/>
      <c r="M241" s="4"/>
      <c r="R241" s="4"/>
      <c r="W241" s="4"/>
      <c r="AB241" s="4"/>
      <c r="AG241" s="4"/>
      <c r="AL241" s="4"/>
      <c r="AQ241" s="4"/>
      <c r="AV241" s="4"/>
      <c r="BA241" s="4"/>
    </row>
    <row r="242" spans="8:53" s="1" customFormat="1" ht="53.45" customHeight="1">
      <c r="H242" s="4"/>
      <c r="M242" s="4"/>
      <c r="R242" s="4"/>
      <c r="W242" s="4"/>
      <c r="AB242" s="4"/>
      <c r="AG242" s="4"/>
      <c r="AL242" s="4"/>
      <c r="AQ242" s="4"/>
      <c r="AV242" s="4"/>
      <c r="BA242" s="4"/>
    </row>
    <row r="243" spans="8:53" s="1" customFormat="1" ht="53.45" customHeight="1">
      <c r="H243" s="4"/>
      <c r="M243" s="4"/>
      <c r="R243" s="4"/>
      <c r="W243" s="4"/>
      <c r="AB243" s="4"/>
      <c r="AG243" s="4"/>
      <c r="AL243" s="4"/>
      <c r="AQ243" s="4"/>
      <c r="AV243" s="4"/>
      <c r="BA243" s="4"/>
    </row>
    <row r="244" spans="8:53" s="1" customFormat="1" ht="53.45" customHeight="1">
      <c r="H244" s="4"/>
      <c r="M244" s="4"/>
      <c r="R244" s="4"/>
      <c r="W244" s="4"/>
      <c r="AB244" s="4"/>
      <c r="AG244" s="4"/>
      <c r="AL244" s="4"/>
      <c r="AQ244" s="4"/>
      <c r="AV244" s="4"/>
      <c r="BA244" s="4"/>
    </row>
    <row r="245" spans="8:53" s="1" customFormat="1" ht="53.45" customHeight="1">
      <c r="H245" s="4"/>
      <c r="M245" s="4"/>
      <c r="R245" s="4"/>
      <c r="W245" s="4"/>
      <c r="AB245" s="4"/>
      <c r="AG245" s="4"/>
      <c r="AL245" s="4"/>
      <c r="AQ245" s="4"/>
      <c r="AV245" s="4"/>
      <c r="BA245" s="4"/>
    </row>
    <row r="246" spans="8:53" s="1" customFormat="1" ht="53.45" customHeight="1">
      <c r="H246" s="4"/>
      <c r="M246" s="4"/>
      <c r="R246" s="4"/>
      <c r="W246" s="4"/>
      <c r="AB246" s="4"/>
      <c r="AG246" s="4"/>
      <c r="AL246" s="4"/>
      <c r="AQ246" s="4"/>
      <c r="AV246" s="4"/>
      <c r="BA246" s="4"/>
    </row>
    <row r="247" spans="8:53" s="1" customFormat="1" ht="53.45" customHeight="1">
      <c r="H247" s="4"/>
      <c r="M247" s="4"/>
      <c r="R247" s="4"/>
      <c r="W247" s="4"/>
      <c r="AB247" s="4"/>
      <c r="AG247" s="4"/>
      <c r="AL247" s="4"/>
      <c r="AQ247" s="4"/>
      <c r="AV247" s="4"/>
      <c r="BA247" s="4"/>
    </row>
    <row r="248" spans="8:53" s="1" customFormat="1" ht="53.45" customHeight="1">
      <c r="H248" s="4"/>
      <c r="M248" s="4"/>
      <c r="R248" s="4"/>
      <c r="W248" s="4"/>
      <c r="AB248" s="4"/>
      <c r="AG248" s="4"/>
      <c r="AL248" s="4"/>
      <c r="AQ248" s="4"/>
      <c r="AV248" s="4"/>
      <c r="BA248" s="4"/>
    </row>
    <row r="249" spans="8:53" s="1" customFormat="1" ht="53.45" customHeight="1">
      <c r="H249" s="4"/>
      <c r="M249" s="4"/>
      <c r="R249" s="4"/>
      <c r="W249" s="4"/>
      <c r="AB249" s="4"/>
      <c r="AG249" s="4"/>
      <c r="AL249" s="4"/>
      <c r="AQ249" s="4"/>
      <c r="AV249" s="4"/>
      <c r="BA249" s="4"/>
    </row>
    <row r="250" spans="8:53" s="1" customFormat="1" ht="53.45" customHeight="1">
      <c r="H250" s="4"/>
      <c r="M250" s="4"/>
      <c r="R250" s="4"/>
      <c r="W250" s="4"/>
      <c r="AB250" s="4"/>
      <c r="AG250" s="4"/>
      <c r="AL250" s="4"/>
      <c r="AQ250" s="4"/>
      <c r="AV250" s="4"/>
      <c r="BA250" s="4"/>
    </row>
    <row r="251" spans="8:53" s="1" customFormat="1" ht="53.45" customHeight="1">
      <c r="H251" s="4"/>
      <c r="M251" s="4"/>
      <c r="R251" s="4"/>
      <c r="W251" s="4"/>
      <c r="AB251" s="4"/>
      <c r="AG251" s="4"/>
      <c r="AL251" s="4"/>
      <c r="AQ251" s="4"/>
      <c r="AV251" s="4"/>
      <c r="BA251" s="4"/>
    </row>
    <row r="252" spans="8:53" s="1" customFormat="1" ht="53.45" customHeight="1">
      <c r="H252" s="4"/>
      <c r="M252" s="4"/>
      <c r="R252" s="4"/>
      <c r="W252" s="4"/>
      <c r="AB252" s="4"/>
      <c r="AG252" s="4"/>
      <c r="AL252" s="4"/>
      <c r="AQ252" s="4"/>
      <c r="AV252" s="4"/>
      <c r="BA252" s="4"/>
    </row>
    <row r="253" spans="8:53" s="1" customFormat="1" ht="53.45" customHeight="1">
      <c r="H253" s="4"/>
      <c r="M253" s="4"/>
      <c r="R253" s="4"/>
      <c r="W253" s="4"/>
      <c r="AB253" s="4"/>
      <c r="AG253" s="4"/>
      <c r="AL253" s="4"/>
      <c r="AQ253" s="4"/>
      <c r="AV253" s="4"/>
      <c r="BA253" s="4"/>
    </row>
    <row r="254" spans="8:53" s="1" customFormat="1" ht="53.45" customHeight="1">
      <c r="H254" s="4"/>
      <c r="M254" s="4"/>
      <c r="R254" s="4"/>
      <c r="W254" s="4"/>
      <c r="AB254" s="4"/>
      <c r="AG254" s="4"/>
      <c r="AL254" s="4"/>
      <c r="AQ254" s="4"/>
      <c r="AV254" s="4"/>
      <c r="BA254" s="4"/>
    </row>
    <row r="255" spans="8:53" s="1" customFormat="1" ht="53.45" customHeight="1">
      <c r="H255" s="4"/>
      <c r="M255" s="4"/>
      <c r="R255" s="4"/>
      <c r="W255" s="4"/>
      <c r="AB255" s="4"/>
      <c r="AG255" s="4"/>
      <c r="AL255" s="4"/>
      <c r="AQ255" s="4"/>
      <c r="AV255" s="4"/>
      <c r="BA255" s="4"/>
    </row>
    <row r="256" spans="8:53" s="1" customFormat="1" ht="53.45" customHeight="1">
      <c r="H256" s="4"/>
      <c r="M256" s="4"/>
      <c r="R256" s="4"/>
      <c r="W256" s="4"/>
      <c r="AB256" s="4"/>
      <c r="AG256" s="4"/>
      <c r="AL256" s="4"/>
      <c r="AQ256" s="4"/>
      <c r="AV256" s="4"/>
      <c r="BA256" s="4"/>
    </row>
    <row r="257" spans="8:53" s="1" customFormat="1" ht="53.45" customHeight="1">
      <c r="H257" s="4"/>
      <c r="M257" s="4"/>
      <c r="R257" s="4"/>
      <c r="W257" s="4"/>
      <c r="AB257" s="4"/>
      <c r="AG257" s="4"/>
      <c r="AL257" s="4"/>
      <c r="AQ257" s="4"/>
      <c r="AV257" s="4"/>
      <c r="BA257" s="4"/>
    </row>
    <row r="258" spans="8:53" s="1" customFormat="1" ht="53.45" customHeight="1">
      <c r="H258" s="4"/>
      <c r="M258" s="4"/>
      <c r="R258" s="4"/>
      <c r="W258" s="4"/>
      <c r="AB258" s="4"/>
      <c r="AG258" s="4"/>
      <c r="AL258" s="4"/>
      <c r="AQ258" s="4"/>
      <c r="AV258" s="4"/>
      <c r="BA258" s="4"/>
    </row>
    <row r="259" spans="8:53" s="1" customFormat="1" ht="53.45" customHeight="1">
      <c r="H259" s="4"/>
      <c r="M259" s="4"/>
      <c r="R259" s="4"/>
      <c r="W259" s="4"/>
      <c r="AB259" s="4"/>
      <c r="AG259" s="4"/>
      <c r="AL259" s="4"/>
      <c r="AQ259" s="4"/>
      <c r="AV259" s="4"/>
      <c r="BA259" s="4"/>
    </row>
    <row r="260" spans="8:53" s="1" customFormat="1" ht="53.45" customHeight="1">
      <c r="H260" s="4"/>
      <c r="M260" s="4"/>
      <c r="R260" s="4"/>
      <c r="W260" s="4"/>
      <c r="AB260" s="4"/>
      <c r="AG260" s="4"/>
      <c r="AL260" s="4"/>
      <c r="AQ260" s="4"/>
      <c r="AV260" s="4"/>
      <c r="BA260" s="4"/>
    </row>
    <row r="261" spans="8:53" s="1" customFormat="1" ht="53.45" customHeight="1">
      <c r="H261" s="4"/>
      <c r="M261" s="4"/>
      <c r="R261" s="4"/>
      <c r="W261" s="4"/>
      <c r="AB261" s="4"/>
      <c r="AG261" s="4"/>
      <c r="AL261" s="4"/>
      <c r="AQ261" s="4"/>
      <c r="AV261" s="4"/>
      <c r="BA261" s="4"/>
    </row>
    <row r="262" spans="8:53" s="1" customFormat="1" ht="53.45" customHeight="1">
      <c r="H262" s="4"/>
      <c r="M262" s="4"/>
      <c r="R262" s="4"/>
      <c r="W262" s="4"/>
      <c r="AB262" s="4"/>
      <c r="AG262" s="4"/>
      <c r="AL262" s="4"/>
      <c r="AQ262" s="4"/>
      <c r="AV262" s="4"/>
      <c r="BA262" s="4"/>
    </row>
    <row r="263" spans="8:53" s="1" customFormat="1" ht="53.45" customHeight="1">
      <c r="H263" s="4"/>
      <c r="M263" s="4"/>
      <c r="R263" s="4"/>
      <c r="W263" s="4"/>
      <c r="AB263" s="4"/>
      <c r="AG263" s="4"/>
      <c r="AL263" s="4"/>
      <c r="AQ263" s="4"/>
      <c r="AV263" s="4"/>
      <c r="BA263" s="4"/>
    </row>
    <row r="264" spans="8:53" s="1" customFormat="1" ht="53.45" customHeight="1">
      <c r="H264" s="4"/>
      <c r="M264" s="4"/>
      <c r="R264" s="4"/>
      <c r="W264" s="4"/>
      <c r="AB264" s="4"/>
      <c r="AG264" s="4"/>
      <c r="AL264" s="4"/>
      <c r="AQ264" s="4"/>
      <c r="AV264" s="4"/>
      <c r="BA264" s="4"/>
    </row>
    <row r="265" spans="8:53" s="1" customFormat="1" ht="53.45" customHeight="1">
      <c r="H265" s="4"/>
      <c r="M265" s="4"/>
      <c r="R265" s="4"/>
      <c r="W265" s="4"/>
      <c r="AB265" s="4"/>
      <c r="AG265" s="4"/>
      <c r="AL265" s="4"/>
      <c r="AQ265" s="4"/>
      <c r="AV265" s="4"/>
      <c r="BA265" s="4"/>
    </row>
    <row r="266" spans="8:53" s="1" customFormat="1" ht="53.45" customHeight="1">
      <c r="H266" s="4"/>
      <c r="M266" s="4"/>
      <c r="R266" s="4"/>
      <c r="W266" s="4"/>
      <c r="AB266" s="4"/>
      <c r="AG266" s="4"/>
      <c r="AL266" s="4"/>
      <c r="AQ266" s="4"/>
      <c r="AV266" s="4"/>
      <c r="BA266" s="4"/>
    </row>
    <row r="267" spans="8:53" s="1" customFormat="1" ht="53.45" customHeight="1">
      <c r="H267" s="4"/>
      <c r="M267" s="4"/>
      <c r="R267" s="4"/>
      <c r="W267" s="4"/>
      <c r="AB267" s="4"/>
      <c r="AG267" s="4"/>
      <c r="AL267" s="4"/>
      <c r="AQ267" s="4"/>
      <c r="AV267" s="4"/>
      <c r="BA267" s="4"/>
    </row>
    <row r="268" spans="8:53" s="1" customFormat="1" ht="53.45" customHeight="1">
      <c r="H268" s="4"/>
      <c r="M268" s="4"/>
      <c r="R268" s="4"/>
      <c r="W268" s="4"/>
      <c r="AB268" s="4"/>
      <c r="AG268" s="4"/>
      <c r="AL268" s="4"/>
      <c r="AQ268" s="4"/>
      <c r="AV268" s="4"/>
      <c r="BA268" s="4"/>
    </row>
    <row r="269" spans="8:53" s="1" customFormat="1" ht="53.45" customHeight="1">
      <c r="H269" s="4"/>
      <c r="M269" s="4"/>
      <c r="R269" s="4"/>
      <c r="W269" s="4"/>
      <c r="AB269" s="4"/>
      <c r="AG269" s="4"/>
      <c r="AL269" s="4"/>
      <c r="AQ269" s="4"/>
      <c r="AV269" s="4"/>
      <c r="BA269" s="4"/>
    </row>
    <row r="270" spans="8:53" s="1" customFormat="1" ht="53.45" customHeight="1">
      <c r="H270" s="4"/>
      <c r="M270" s="4"/>
      <c r="R270" s="4"/>
      <c r="W270" s="4"/>
      <c r="AB270" s="4"/>
      <c r="AG270" s="4"/>
      <c r="AL270" s="4"/>
      <c r="AQ270" s="4"/>
      <c r="AV270" s="4"/>
      <c r="BA270" s="4"/>
    </row>
    <row r="271" spans="8:53" s="1" customFormat="1" ht="53.45" customHeight="1">
      <c r="H271" s="4"/>
      <c r="M271" s="4"/>
      <c r="R271" s="4"/>
      <c r="W271" s="4"/>
      <c r="AB271" s="4"/>
      <c r="AG271" s="4"/>
      <c r="AL271" s="4"/>
      <c r="AQ271" s="4"/>
      <c r="AV271" s="4"/>
      <c r="BA271" s="4"/>
    </row>
    <row r="272" spans="8:53" s="1" customFormat="1" ht="53.45" customHeight="1">
      <c r="H272" s="4"/>
      <c r="M272" s="4"/>
      <c r="R272" s="4"/>
      <c r="W272" s="4"/>
      <c r="AB272" s="4"/>
      <c r="AG272" s="4"/>
      <c r="AL272" s="4"/>
      <c r="AQ272" s="4"/>
      <c r="AV272" s="4"/>
      <c r="BA272" s="4"/>
    </row>
    <row r="273" spans="8:53" s="1" customFormat="1" ht="53.45" customHeight="1">
      <c r="H273" s="4"/>
      <c r="M273" s="4"/>
      <c r="R273" s="4"/>
      <c r="W273" s="4"/>
      <c r="AB273" s="4"/>
      <c r="AG273" s="4"/>
      <c r="AL273" s="4"/>
      <c r="AQ273" s="4"/>
      <c r="AV273" s="4"/>
      <c r="BA273" s="4"/>
    </row>
    <row r="274" spans="8:53" s="1" customFormat="1" ht="53.45" customHeight="1">
      <c r="H274" s="4"/>
      <c r="M274" s="4"/>
      <c r="R274" s="4"/>
      <c r="W274" s="4"/>
      <c r="AB274" s="4"/>
      <c r="AG274" s="4"/>
      <c r="AL274" s="4"/>
      <c r="AQ274" s="4"/>
      <c r="AV274" s="4"/>
      <c r="BA274" s="4"/>
    </row>
    <row r="275" spans="8:53" s="1" customFormat="1" ht="53.45" customHeight="1">
      <c r="H275" s="4"/>
      <c r="M275" s="4"/>
      <c r="R275" s="4"/>
      <c r="W275" s="4"/>
      <c r="AB275" s="4"/>
      <c r="AG275" s="4"/>
      <c r="AL275" s="4"/>
      <c r="AQ275" s="4"/>
      <c r="AV275" s="4"/>
      <c r="BA275" s="4"/>
    </row>
    <row r="276" spans="8:53" s="1" customFormat="1" ht="53.45" customHeight="1">
      <c r="H276" s="4"/>
      <c r="M276" s="4"/>
      <c r="R276" s="4"/>
      <c r="W276" s="4"/>
      <c r="AB276" s="4"/>
      <c r="AG276" s="4"/>
      <c r="AL276" s="4"/>
      <c r="AQ276" s="4"/>
      <c r="AV276" s="4"/>
      <c r="BA276" s="4"/>
    </row>
    <row r="277" spans="8:53" s="1" customFormat="1" ht="53.45" customHeight="1">
      <c r="H277" s="4"/>
      <c r="M277" s="4"/>
      <c r="R277" s="4"/>
      <c r="W277" s="4"/>
      <c r="AB277" s="4"/>
      <c r="AG277" s="4"/>
      <c r="AL277" s="4"/>
      <c r="AQ277" s="4"/>
      <c r="AV277" s="4"/>
      <c r="BA277" s="4"/>
    </row>
    <row r="278" spans="8:53" s="1" customFormat="1" ht="53.45" customHeight="1">
      <c r="H278" s="4"/>
      <c r="M278" s="4"/>
      <c r="R278" s="4"/>
      <c r="W278" s="4"/>
      <c r="AB278" s="4"/>
      <c r="AG278" s="4"/>
      <c r="AL278" s="4"/>
      <c r="AQ278" s="4"/>
      <c r="AV278" s="4"/>
      <c r="BA278" s="4"/>
    </row>
    <row r="279" spans="8:53" s="1" customFormat="1" ht="53.45" customHeight="1">
      <c r="H279" s="4"/>
      <c r="M279" s="4"/>
      <c r="R279" s="4"/>
      <c r="W279" s="4"/>
      <c r="AB279" s="4"/>
      <c r="AG279" s="4"/>
      <c r="AL279" s="4"/>
      <c r="AQ279" s="4"/>
      <c r="AV279" s="4"/>
      <c r="BA279" s="4"/>
    </row>
    <row r="280" spans="8:53" s="1" customFormat="1" ht="53.45" customHeight="1">
      <c r="H280" s="4"/>
      <c r="M280" s="4"/>
      <c r="R280" s="4"/>
      <c r="W280" s="4"/>
      <c r="AB280" s="4"/>
      <c r="AG280" s="4"/>
      <c r="AL280" s="4"/>
      <c r="AQ280" s="4"/>
      <c r="AV280" s="4"/>
      <c r="BA280" s="4"/>
    </row>
    <row r="281" spans="8:53" s="1" customFormat="1" ht="53.45" customHeight="1">
      <c r="H281" s="4"/>
      <c r="M281" s="4"/>
      <c r="R281" s="4"/>
      <c r="W281" s="4"/>
      <c r="AB281" s="4"/>
      <c r="AG281" s="4"/>
      <c r="AL281" s="4"/>
      <c r="AQ281" s="4"/>
      <c r="AV281" s="4"/>
      <c r="BA281" s="4"/>
    </row>
    <row r="282" spans="8:53" s="1" customFormat="1" ht="53.45" customHeight="1">
      <c r="H282" s="4"/>
      <c r="M282" s="4"/>
      <c r="R282" s="4"/>
      <c r="W282" s="4"/>
      <c r="AB282" s="4"/>
      <c r="AG282" s="4"/>
      <c r="AL282" s="4"/>
      <c r="AQ282" s="4"/>
      <c r="AV282" s="4"/>
      <c r="BA282" s="4"/>
    </row>
    <row r="283" spans="8:53" s="1" customFormat="1" ht="53.45" customHeight="1">
      <c r="H283" s="4"/>
      <c r="M283" s="4"/>
      <c r="R283" s="4"/>
      <c r="W283" s="4"/>
      <c r="AB283" s="4"/>
      <c r="AG283" s="4"/>
      <c r="AL283" s="4"/>
      <c r="AQ283" s="4"/>
      <c r="AV283" s="4"/>
      <c r="BA283" s="4"/>
    </row>
    <row r="284" spans="8:53" s="1" customFormat="1" ht="53.45" customHeight="1">
      <c r="H284" s="4"/>
      <c r="M284" s="4"/>
      <c r="R284" s="4"/>
      <c r="W284" s="4"/>
      <c r="AB284" s="4"/>
      <c r="AG284" s="4"/>
      <c r="AL284" s="4"/>
      <c r="AQ284" s="4"/>
      <c r="AV284" s="4"/>
      <c r="BA284" s="4"/>
    </row>
    <row r="285" spans="8:53" s="1" customFormat="1" ht="53.45" customHeight="1">
      <c r="H285" s="4"/>
      <c r="M285" s="4"/>
      <c r="R285" s="4"/>
      <c r="W285" s="4"/>
      <c r="AB285" s="4"/>
      <c r="AG285" s="4"/>
      <c r="AL285" s="4"/>
      <c r="AQ285" s="4"/>
      <c r="AV285" s="4"/>
      <c r="BA285" s="4"/>
    </row>
    <row r="286" spans="8:53" s="1" customFormat="1" ht="53.45" customHeight="1">
      <c r="H286" s="4"/>
      <c r="M286" s="4"/>
      <c r="R286" s="4"/>
      <c r="W286" s="4"/>
      <c r="AB286" s="4"/>
      <c r="AG286" s="4"/>
      <c r="AL286" s="4"/>
      <c r="AQ286" s="4"/>
      <c r="AV286" s="4"/>
      <c r="BA286" s="4"/>
    </row>
    <row r="287" spans="8:53" s="1" customFormat="1" ht="53.45" customHeight="1">
      <c r="H287" s="4"/>
      <c r="M287" s="4"/>
      <c r="R287" s="4"/>
      <c r="W287" s="4"/>
      <c r="AB287" s="4"/>
      <c r="AG287" s="4"/>
      <c r="AL287" s="4"/>
      <c r="AQ287" s="4"/>
      <c r="AV287" s="4"/>
      <c r="BA287" s="4"/>
    </row>
    <row r="288" spans="8:53" s="1" customFormat="1" ht="53.45" customHeight="1">
      <c r="H288" s="4"/>
      <c r="M288" s="4"/>
      <c r="R288" s="4"/>
      <c r="W288" s="4"/>
      <c r="AB288" s="4"/>
      <c r="AG288" s="4"/>
      <c r="AL288" s="4"/>
      <c r="AQ288" s="4"/>
      <c r="AV288" s="4"/>
      <c r="BA288" s="4"/>
    </row>
    <row r="289" spans="8:53" s="1" customFormat="1" ht="53.45" customHeight="1">
      <c r="H289" s="4"/>
      <c r="M289" s="4"/>
      <c r="R289" s="4"/>
      <c r="W289" s="4"/>
      <c r="AB289" s="4"/>
      <c r="AG289" s="4"/>
      <c r="AL289" s="4"/>
      <c r="AQ289" s="4"/>
      <c r="AV289" s="4"/>
      <c r="BA289" s="4"/>
    </row>
    <row r="290" spans="8:53" s="1" customFormat="1" ht="53.45" customHeight="1">
      <c r="H290" s="4"/>
      <c r="M290" s="4"/>
      <c r="R290" s="4"/>
      <c r="W290" s="4"/>
      <c r="AB290" s="4"/>
      <c r="AG290" s="4"/>
      <c r="AL290" s="4"/>
      <c r="AQ290" s="4"/>
      <c r="AV290" s="4"/>
      <c r="BA290" s="4"/>
    </row>
    <row r="291" spans="8:53" s="1" customFormat="1" ht="53.45" customHeight="1">
      <c r="H291" s="4"/>
      <c r="M291" s="4"/>
      <c r="R291" s="4"/>
      <c r="W291" s="4"/>
      <c r="AB291" s="4"/>
      <c r="AG291" s="4"/>
      <c r="AL291" s="4"/>
      <c r="AQ291" s="4"/>
      <c r="AV291" s="4"/>
      <c r="BA291" s="4"/>
    </row>
    <row r="292" spans="8:53" s="1" customFormat="1" ht="53.45" customHeight="1">
      <c r="H292" s="4"/>
      <c r="M292" s="4"/>
      <c r="R292" s="4"/>
      <c r="W292" s="4"/>
      <c r="AB292" s="4"/>
      <c r="AG292" s="4"/>
      <c r="AL292" s="4"/>
      <c r="AQ292" s="4"/>
      <c r="AV292" s="4"/>
      <c r="BA292" s="4"/>
    </row>
    <row r="293" spans="8:53" s="1" customFormat="1" ht="53.45" customHeight="1">
      <c r="H293" s="4"/>
      <c r="M293" s="4"/>
      <c r="R293" s="4"/>
      <c r="W293" s="4"/>
      <c r="AB293" s="4"/>
      <c r="AG293" s="4"/>
      <c r="AL293" s="4"/>
      <c r="AQ293" s="4"/>
      <c r="AV293" s="4"/>
      <c r="BA293" s="4"/>
    </row>
    <row r="294" spans="8:53" s="1" customFormat="1" ht="53.45" customHeight="1">
      <c r="H294" s="4"/>
      <c r="M294" s="4"/>
      <c r="R294" s="4"/>
      <c r="W294" s="4"/>
      <c r="AB294" s="4"/>
      <c r="AG294" s="4"/>
      <c r="AL294" s="4"/>
      <c r="AQ294" s="4"/>
      <c r="AV294" s="4"/>
      <c r="BA294" s="4"/>
    </row>
    <row r="295" spans="8:53" s="1" customFormat="1" ht="53.45" customHeight="1">
      <c r="H295" s="4"/>
      <c r="M295" s="4"/>
      <c r="R295" s="4"/>
      <c r="W295" s="4"/>
      <c r="AB295" s="4"/>
      <c r="AG295" s="4"/>
      <c r="AL295" s="4"/>
      <c r="AQ295" s="4"/>
      <c r="AV295" s="4"/>
      <c r="BA295" s="4"/>
    </row>
    <row r="296" spans="8:53" s="1" customFormat="1" ht="53.45" customHeight="1">
      <c r="H296" s="4"/>
      <c r="M296" s="4"/>
      <c r="R296" s="4"/>
      <c r="W296" s="4"/>
      <c r="AB296" s="4"/>
      <c r="AG296" s="4"/>
      <c r="AL296" s="4"/>
      <c r="AQ296" s="4"/>
      <c r="AV296" s="4"/>
      <c r="BA296" s="4"/>
    </row>
    <row r="297" spans="8:53" s="1" customFormat="1" ht="53.45" customHeight="1">
      <c r="H297" s="4"/>
      <c r="M297" s="4"/>
      <c r="R297" s="4"/>
      <c r="W297" s="4"/>
      <c r="AB297" s="4"/>
      <c r="AG297" s="4"/>
      <c r="AL297" s="4"/>
      <c r="AQ297" s="4"/>
      <c r="AV297" s="4"/>
      <c r="BA297" s="4"/>
    </row>
    <row r="298" spans="8:53" s="1" customFormat="1" ht="53.45" customHeight="1">
      <c r="H298" s="4"/>
      <c r="M298" s="4"/>
      <c r="R298" s="4"/>
      <c r="W298" s="4"/>
      <c r="AB298" s="4"/>
      <c r="AG298" s="4"/>
      <c r="AL298" s="4"/>
      <c r="AQ298" s="4"/>
      <c r="AV298" s="4"/>
      <c r="BA298" s="4"/>
    </row>
    <row r="299" spans="8:53" s="1" customFormat="1" ht="53.45" customHeight="1">
      <c r="H299" s="4"/>
      <c r="M299" s="4"/>
      <c r="R299" s="4"/>
      <c r="W299" s="4"/>
      <c r="AB299" s="4"/>
      <c r="AG299" s="4"/>
      <c r="AL299" s="4"/>
      <c r="AQ299" s="4"/>
      <c r="AV299" s="4"/>
      <c r="BA299" s="4"/>
    </row>
    <row r="300" spans="8:53" s="1" customFormat="1" ht="53.45" customHeight="1">
      <c r="H300" s="4"/>
      <c r="M300" s="4"/>
      <c r="R300" s="4"/>
      <c r="W300" s="4"/>
      <c r="AB300" s="4"/>
      <c r="AG300" s="4"/>
      <c r="AL300" s="4"/>
      <c r="AQ300" s="4"/>
      <c r="AV300" s="4"/>
      <c r="BA300" s="4"/>
    </row>
    <row r="301" spans="8:53" s="1" customFormat="1" ht="53.45" customHeight="1">
      <c r="H301" s="4"/>
      <c r="M301" s="4"/>
      <c r="R301" s="4"/>
      <c r="W301" s="4"/>
      <c r="AB301" s="4"/>
      <c r="AG301" s="4"/>
      <c r="AL301" s="4"/>
      <c r="AQ301" s="4"/>
      <c r="AV301" s="4"/>
      <c r="BA301" s="4"/>
    </row>
    <row r="302" spans="8:53" s="1" customFormat="1" ht="53.45" customHeight="1">
      <c r="H302" s="4"/>
      <c r="M302" s="4"/>
      <c r="R302" s="4"/>
      <c r="W302" s="4"/>
      <c r="AB302" s="4"/>
      <c r="AG302" s="4"/>
      <c r="AL302" s="4"/>
      <c r="AQ302" s="4"/>
      <c r="AV302" s="4"/>
      <c r="BA302" s="4"/>
    </row>
    <row r="303" spans="8:53" s="1" customFormat="1" ht="53.45" customHeight="1">
      <c r="H303" s="4"/>
      <c r="M303" s="4"/>
      <c r="R303" s="4"/>
      <c r="W303" s="4"/>
      <c r="AB303" s="4"/>
      <c r="AG303" s="4"/>
      <c r="AL303" s="4"/>
      <c r="AQ303" s="4"/>
      <c r="AV303" s="4"/>
      <c r="BA303" s="4"/>
    </row>
    <row r="304" spans="8:53" s="1" customFormat="1" ht="53.45" customHeight="1">
      <c r="H304" s="4"/>
      <c r="M304" s="4"/>
      <c r="R304" s="4"/>
      <c r="W304" s="4"/>
      <c r="AB304" s="4"/>
      <c r="AG304" s="4"/>
      <c r="AL304" s="4"/>
      <c r="AQ304" s="4"/>
      <c r="AV304" s="4"/>
      <c r="BA304" s="4"/>
    </row>
    <row r="305" spans="8:53" s="1" customFormat="1" ht="53.45" customHeight="1">
      <c r="H305" s="4"/>
      <c r="M305" s="4"/>
      <c r="R305" s="4"/>
      <c r="W305" s="4"/>
      <c r="AB305" s="4"/>
      <c r="AG305" s="4"/>
      <c r="AL305" s="4"/>
      <c r="AQ305" s="4"/>
      <c r="AV305" s="4"/>
      <c r="BA305" s="4"/>
    </row>
    <row r="306" spans="8:53" s="1" customFormat="1" ht="53.45" customHeight="1">
      <c r="H306" s="4"/>
      <c r="M306" s="4"/>
      <c r="R306" s="4"/>
      <c r="W306" s="4"/>
      <c r="AB306" s="4"/>
      <c r="AG306" s="4"/>
      <c r="AL306" s="4"/>
      <c r="AQ306" s="4"/>
      <c r="AV306" s="4"/>
      <c r="BA306" s="4"/>
    </row>
    <row r="307" spans="8:53" s="1" customFormat="1" ht="53.45" customHeight="1">
      <c r="H307" s="4"/>
      <c r="M307" s="4"/>
      <c r="R307" s="4"/>
      <c r="W307" s="4"/>
      <c r="AB307" s="4"/>
      <c r="AG307" s="4"/>
      <c r="AL307" s="4"/>
      <c r="AQ307" s="4"/>
      <c r="AV307" s="4"/>
      <c r="BA307" s="4"/>
    </row>
    <row r="308" spans="8:53" s="1" customFormat="1" ht="53.45" customHeight="1">
      <c r="H308" s="4"/>
      <c r="M308" s="4"/>
      <c r="R308" s="4"/>
      <c r="W308" s="4"/>
      <c r="AB308" s="4"/>
      <c r="AG308" s="4"/>
      <c r="AL308" s="4"/>
      <c r="AQ308" s="4"/>
      <c r="AV308" s="4"/>
      <c r="BA308" s="4"/>
    </row>
    <row r="309" spans="8:53" s="1" customFormat="1" ht="53.45" customHeight="1">
      <c r="H309" s="4"/>
      <c r="M309" s="4"/>
      <c r="R309" s="4"/>
      <c r="W309" s="4"/>
      <c r="AB309" s="4"/>
      <c r="AG309" s="4"/>
      <c r="AL309" s="4"/>
      <c r="AQ309" s="4"/>
      <c r="AV309" s="4"/>
      <c r="BA309" s="4"/>
    </row>
    <row r="310" spans="8:53" s="1" customFormat="1" ht="53.45" customHeight="1">
      <c r="H310" s="4"/>
      <c r="M310" s="4"/>
      <c r="R310" s="4"/>
      <c r="W310" s="4"/>
      <c r="AB310" s="4"/>
      <c r="AG310" s="4"/>
      <c r="AL310" s="4"/>
      <c r="AQ310" s="4"/>
      <c r="AV310" s="4"/>
      <c r="BA310" s="4"/>
    </row>
    <row r="311" spans="8:53" s="1" customFormat="1" ht="53.45" customHeight="1">
      <c r="H311" s="4"/>
      <c r="M311" s="4"/>
      <c r="R311" s="4"/>
      <c r="W311" s="4"/>
      <c r="AB311" s="4"/>
      <c r="AG311" s="4"/>
      <c r="AL311" s="4"/>
      <c r="AQ311" s="4"/>
      <c r="AV311" s="4"/>
      <c r="BA311" s="4"/>
    </row>
    <row r="312" spans="8:53" s="1" customFormat="1" ht="53.45" customHeight="1">
      <c r="H312" s="4"/>
      <c r="M312" s="4"/>
      <c r="R312" s="4"/>
      <c r="W312" s="4"/>
      <c r="AB312" s="4"/>
      <c r="AG312" s="4"/>
      <c r="AL312" s="4"/>
      <c r="AQ312" s="4"/>
      <c r="AV312" s="4"/>
      <c r="BA312" s="4"/>
    </row>
    <row r="313" spans="8:53" s="1" customFormat="1" ht="53.45" customHeight="1">
      <c r="H313" s="4"/>
      <c r="M313" s="4"/>
      <c r="R313" s="4"/>
      <c r="W313" s="4"/>
      <c r="AB313" s="4"/>
      <c r="AG313" s="4"/>
      <c r="AL313" s="4"/>
      <c r="AQ313" s="4"/>
      <c r="AV313" s="4"/>
      <c r="BA313" s="4"/>
    </row>
    <row r="314" spans="8:53" s="1" customFormat="1" ht="53.45" customHeight="1">
      <c r="H314" s="4"/>
      <c r="M314" s="4"/>
      <c r="R314" s="4"/>
      <c r="W314" s="4"/>
      <c r="AB314" s="4"/>
      <c r="AG314" s="4"/>
      <c r="AL314" s="4"/>
      <c r="AQ314" s="4"/>
      <c r="AV314" s="4"/>
      <c r="BA314" s="4"/>
    </row>
    <row r="315" spans="8:53" s="1" customFormat="1" ht="53.45" customHeight="1">
      <c r="H315" s="4"/>
      <c r="M315" s="4"/>
      <c r="R315" s="4"/>
      <c r="W315" s="4"/>
      <c r="AB315" s="4"/>
      <c r="AG315" s="4"/>
      <c r="AL315" s="4"/>
      <c r="AQ315" s="4"/>
      <c r="AV315" s="4"/>
      <c r="BA315" s="4"/>
    </row>
    <row r="316" spans="8:53" s="1" customFormat="1" ht="53.45" customHeight="1">
      <c r="H316" s="4"/>
      <c r="M316" s="4"/>
      <c r="R316" s="4"/>
      <c r="W316" s="4"/>
      <c r="AB316" s="4"/>
      <c r="AG316" s="4"/>
      <c r="AL316" s="4"/>
      <c r="AQ316" s="4"/>
      <c r="AV316" s="4"/>
      <c r="BA316" s="4"/>
    </row>
    <row r="317" spans="8:53" s="1" customFormat="1" ht="53.45" customHeight="1">
      <c r="H317" s="4"/>
      <c r="M317" s="4"/>
      <c r="R317" s="4"/>
      <c r="W317" s="4"/>
      <c r="AB317" s="4"/>
      <c r="AG317" s="4"/>
      <c r="AL317" s="4"/>
      <c r="AQ317" s="4"/>
      <c r="AV317" s="4"/>
      <c r="BA317" s="4"/>
    </row>
    <row r="318" spans="8:53" s="1" customFormat="1" ht="53.45" customHeight="1">
      <c r="H318" s="4"/>
      <c r="M318" s="4"/>
      <c r="R318" s="4"/>
      <c r="W318" s="4"/>
      <c r="AB318" s="4"/>
      <c r="AG318" s="4"/>
      <c r="AL318" s="4"/>
      <c r="AQ318" s="4"/>
      <c r="AV318" s="4"/>
      <c r="BA318" s="4"/>
    </row>
    <row r="319" spans="8:53" s="1" customFormat="1" ht="53.45" customHeight="1">
      <c r="H319" s="4"/>
      <c r="M319" s="4"/>
      <c r="R319" s="4"/>
      <c r="W319" s="4"/>
      <c r="AB319" s="4"/>
      <c r="AG319" s="4"/>
      <c r="AL319" s="4"/>
      <c r="AQ319" s="4"/>
      <c r="AV319" s="4"/>
      <c r="BA319" s="4"/>
    </row>
    <row r="320" spans="8:53" s="1" customFormat="1" ht="53.45" customHeight="1">
      <c r="H320" s="4"/>
      <c r="M320" s="4"/>
      <c r="R320" s="4"/>
      <c r="W320" s="4"/>
      <c r="AB320" s="4"/>
      <c r="AG320" s="4"/>
      <c r="AL320" s="4"/>
      <c r="AQ320" s="4"/>
      <c r="AV320" s="4"/>
      <c r="BA320" s="4"/>
    </row>
    <row r="321" spans="8:53" s="1" customFormat="1" ht="53.45" customHeight="1">
      <c r="H321" s="4"/>
      <c r="M321" s="4"/>
      <c r="R321" s="4"/>
      <c r="W321" s="4"/>
      <c r="AB321" s="4"/>
      <c r="AG321" s="4"/>
      <c r="AL321" s="4"/>
      <c r="AQ321" s="4"/>
      <c r="AV321" s="4"/>
      <c r="BA321" s="4"/>
    </row>
    <row r="322" spans="8:53" s="1" customFormat="1" ht="53.45" customHeight="1">
      <c r="H322" s="4"/>
      <c r="M322" s="4"/>
      <c r="R322" s="4"/>
      <c r="W322" s="4"/>
      <c r="AB322" s="4"/>
      <c r="AG322" s="4"/>
      <c r="AL322" s="4"/>
      <c r="AQ322" s="4"/>
      <c r="AV322" s="4"/>
      <c r="BA322" s="4"/>
    </row>
    <row r="323" spans="8:53" s="1" customFormat="1" ht="53.45" customHeight="1">
      <c r="H323" s="4"/>
      <c r="M323" s="4"/>
      <c r="R323" s="4"/>
      <c r="W323" s="4"/>
      <c r="AB323" s="4"/>
      <c r="AG323" s="4"/>
      <c r="AL323" s="4"/>
      <c r="AQ323" s="4"/>
      <c r="AV323" s="4"/>
      <c r="BA323" s="4"/>
    </row>
    <row r="324" spans="8:53" s="1" customFormat="1" ht="53.45" customHeight="1">
      <c r="H324" s="4"/>
      <c r="M324" s="4"/>
      <c r="R324" s="4"/>
      <c r="W324" s="4"/>
      <c r="AB324" s="4"/>
      <c r="AG324" s="4"/>
      <c r="AL324" s="4"/>
      <c r="AQ324" s="4"/>
      <c r="AV324" s="4"/>
      <c r="BA324" s="4"/>
    </row>
    <row r="325" spans="8:53" s="1" customFormat="1" ht="53.45" customHeight="1">
      <c r="H325" s="4"/>
      <c r="M325" s="4"/>
      <c r="R325" s="4"/>
      <c r="W325" s="4"/>
      <c r="AB325" s="4"/>
      <c r="AG325" s="4"/>
      <c r="AL325" s="4"/>
      <c r="AQ325" s="4"/>
      <c r="AV325" s="4"/>
      <c r="BA325" s="4"/>
    </row>
    <row r="326" spans="8:53" s="1" customFormat="1" ht="53.45" customHeight="1">
      <c r="H326" s="4"/>
      <c r="M326" s="4"/>
      <c r="R326" s="4"/>
      <c r="W326" s="4"/>
      <c r="AB326" s="4"/>
      <c r="AG326" s="4"/>
      <c r="AL326" s="4"/>
      <c r="AQ326" s="4"/>
      <c r="AV326" s="4"/>
      <c r="BA326" s="4"/>
    </row>
    <row r="327" spans="8:53" s="1" customFormat="1" ht="53.45" customHeight="1">
      <c r="H327" s="4"/>
      <c r="M327" s="4"/>
      <c r="R327" s="4"/>
      <c r="W327" s="4"/>
      <c r="AB327" s="4"/>
      <c r="AG327" s="4"/>
      <c r="AL327" s="4"/>
      <c r="AQ327" s="4"/>
      <c r="AV327" s="4"/>
      <c r="BA327" s="4"/>
    </row>
    <row r="328" spans="8:53" s="1" customFormat="1" ht="53.45" customHeight="1">
      <c r="H328" s="4"/>
      <c r="M328" s="4"/>
      <c r="R328" s="4"/>
      <c r="W328" s="4"/>
      <c r="AB328" s="4"/>
      <c r="AG328" s="4"/>
      <c r="AL328" s="4"/>
      <c r="AQ328" s="4"/>
      <c r="AV328" s="4"/>
      <c r="BA328" s="4"/>
    </row>
    <row r="329" spans="8:53" s="1" customFormat="1" ht="53.45" customHeight="1">
      <c r="H329" s="4"/>
      <c r="M329" s="4"/>
      <c r="R329" s="4"/>
      <c r="W329" s="4"/>
      <c r="AB329" s="4"/>
      <c r="AG329" s="4"/>
      <c r="AL329" s="4"/>
      <c r="AQ329" s="4"/>
      <c r="AV329" s="4"/>
      <c r="BA329" s="4"/>
    </row>
    <row r="330" spans="8:53" s="1" customFormat="1" ht="53.45" customHeight="1">
      <c r="H330" s="4"/>
      <c r="M330" s="4"/>
      <c r="R330" s="4"/>
      <c r="W330" s="4"/>
      <c r="AB330" s="4"/>
      <c r="AG330" s="4"/>
      <c r="AL330" s="4"/>
      <c r="AQ330" s="4"/>
      <c r="AV330" s="4"/>
      <c r="BA330" s="4"/>
    </row>
    <row r="331" spans="8:53" s="1" customFormat="1" ht="53.45" customHeight="1">
      <c r="H331" s="4"/>
      <c r="M331" s="4"/>
      <c r="R331" s="4"/>
      <c r="W331" s="4"/>
      <c r="AB331" s="4"/>
      <c r="AG331" s="4"/>
      <c r="AL331" s="4"/>
      <c r="AQ331" s="4"/>
      <c r="AV331" s="4"/>
      <c r="BA331" s="4"/>
    </row>
    <row r="332" spans="8:53" s="1" customFormat="1" ht="53.45" customHeight="1">
      <c r="H332" s="4"/>
      <c r="M332" s="4"/>
      <c r="R332" s="4"/>
      <c r="W332" s="4"/>
      <c r="AB332" s="4"/>
      <c r="AG332" s="4"/>
      <c r="AL332" s="4"/>
      <c r="AQ332" s="4"/>
      <c r="AV332" s="4"/>
      <c r="BA332" s="4"/>
    </row>
    <row r="333" spans="8:53" s="1" customFormat="1" ht="53.45" customHeight="1">
      <c r="H333" s="4"/>
      <c r="M333" s="4"/>
      <c r="R333" s="4"/>
      <c r="W333" s="4"/>
      <c r="AB333" s="4"/>
      <c r="AG333" s="4"/>
      <c r="AL333" s="4"/>
      <c r="AQ333" s="4"/>
      <c r="AV333" s="4"/>
      <c r="BA333" s="4"/>
    </row>
    <row r="334" spans="8:53" s="1" customFormat="1" ht="53.45" customHeight="1">
      <c r="H334" s="4"/>
      <c r="M334" s="4"/>
      <c r="R334" s="4"/>
      <c r="W334" s="4"/>
      <c r="AB334" s="4"/>
      <c r="AG334" s="4"/>
      <c r="AL334" s="4"/>
      <c r="AQ334" s="4"/>
      <c r="AV334" s="4"/>
      <c r="BA334" s="4"/>
    </row>
    <row r="335" spans="8:53" s="1" customFormat="1" ht="53.45" customHeight="1">
      <c r="H335" s="4"/>
      <c r="M335" s="4"/>
      <c r="R335" s="4"/>
      <c r="W335" s="4"/>
      <c r="AB335" s="4"/>
      <c r="AG335" s="4"/>
      <c r="AL335" s="4"/>
      <c r="AQ335" s="4"/>
      <c r="AV335" s="4"/>
      <c r="BA335" s="4"/>
    </row>
    <row r="336" spans="8:53" s="1" customFormat="1" ht="53.45" customHeight="1">
      <c r="H336" s="4"/>
      <c r="M336" s="4"/>
      <c r="R336" s="4"/>
      <c r="W336" s="4"/>
      <c r="AB336" s="4"/>
      <c r="AG336" s="4"/>
      <c r="AL336" s="4"/>
      <c r="AQ336" s="4"/>
      <c r="AV336" s="4"/>
      <c r="BA336" s="4"/>
    </row>
    <row r="337" spans="8:53" s="1" customFormat="1" ht="53.45" customHeight="1">
      <c r="H337" s="4"/>
      <c r="M337" s="4"/>
      <c r="R337" s="4"/>
      <c r="W337" s="4"/>
      <c r="AB337" s="4"/>
      <c r="AG337" s="4"/>
      <c r="AL337" s="4"/>
      <c r="AQ337" s="4"/>
      <c r="AV337" s="4"/>
      <c r="BA337" s="4"/>
    </row>
    <row r="338" spans="8:53" s="1" customFormat="1" ht="53.45" customHeight="1">
      <c r="H338" s="4"/>
      <c r="M338" s="4"/>
      <c r="R338" s="4"/>
      <c r="W338" s="4"/>
      <c r="AB338" s="4"/>
      <c r="AG338" s="4"/>
      <c r="AL338" s="4"/>
      <c r="AQ338" s="4"/>
      <c r="AV338" s="4"/>
      <c r="BA338" s="4"/>
    </row>
    <row r="339" spans="8:53" s="1" customFormat="1" ht="53.45" customHeight="1">
      <c r="H339" s="4"/>
      <c r="M339" s="4"/>
      <c r="R339" s="4"/>
      <c r="W339" s="4"/>
      <c r="AB339" s="4"/>
      <c r="AG339" s="4"/>
      <c r="AL339" s="4"/>
      <c r="AQ339" s="4"/>
      <c r="AV339" s="4"/>
      <c r="BA339" s="4"/>
    </row>
    <row r="340" spans="8:53" s="1" customFormat="1" ht="53.45" customHeight="1">
      <c r="H340" s="4"/>
      <c r="M340" s="4"/>
      <c r="R340" s="4"/>
      <c r="W340" s="4"/>
      <c r="AB340" s="4"/>
      <c r="AG340" s="4"/>
      <c r="AL340" s="4"/>
      <c r="AQ340" s="4"/>
      <c r="AV340" s="4"/>
      <c r="BA340" s="4"/>
    </row>
    <row r="341" spans="8:53" s="1" customFormat="1" ht="53.45" customHeight="1">
      <c r="H341" s="4"/>
      <c r="M341" s="4"/>
      <c r="R341" s="4"/>
      <c r="W341" s="4"/>
      <c r="AB341" s="4"/>
      <c r="AG341" s="4"/>
      <c r="AL341" s="4"/>
      <c r="AQ341" s="4"/>
      <c r="AV341" s="4"/>
      <c r="BA341" s="4"/>
    </row>
    <row r="342" spans="8:53" s="1" customFormat="1" ht="53.45" customHeight="1">
      <c r="H342" s="4"/>
      <c r="M342" s="4"/>
      <c r="R342" s="4"/>
      <c r="W342" s="4"/>
      <c r="AB342" s="4"/>
      <c r="AG342" s="4"/>
      <c r="AL342" s="4"/>
      <c r="AQ342" s="4"/>
      <c r="AV342" s="4"/>
      <c r="BA342" s="4"/>
    </row>
    <row r="343" spans="8:53" s="1" customFormat="1" ht="53.45" customHeight="1">
      <c r="H343" s="4"/>
      <c r="M343" s="4"/>
      <c r="R343" s="4"/>
      <c r="W343" s="4"/>
      <c r="AB343" s="4"/>
      <c r="AG343" s="4"/>
      <c r="AL343" s="4"/>
      <c r="AQ343" s="4"/>
      <c r="AV343" s="4"/>
      <c r="BA343" s="4"/>
    </row>
    <row r="344" spans="8:53" s="1" customFormat="1" ht="53.45" customHeight="1">
      <c r="H344" s="4"/>
      <c r="M344" s="4"/>
      <c r="R344" s="4"/>
      <c r="W344" s="4"/>
      <c r="AB344" s="4"/>
      <c r="AG344" s="4"/>
      <c r="AL344" s="4"/>
      <c r="AQ344" s="4"/>
      <c r="AV344" s="4"/>
      <c r="BA344" s="4"/>
    </row>
    <row r="345" spans="8:53" s="1" customFormat="1" ht="53.45" customHeight="1">
      <c r="H345" s="4"/>
      <c r="M345" s="4"/>
      <c r="R345" s="4"/>
      <c r="W345" s="4"/>
      <c r="AB345" s="4"/>
      <c r="AG345" s="4"/>
      <c r="AL345" s="4"/>
      <c r="AQ345" s="4"/>
      <c r="AV345" s="4"/>
      <c r="BA345" s="4"/>
    </row>
    <row r="346" spans="8:53" s="1" customFormat="1" ht="53.45" customHeight="1">
      <c r="H346" s="4"/>
      <c r="M346" s="4"/>
      <c r="R346" s="4"/>
      <c r="W346" s="4"/>
      <c r="AB346" s="4"/>
      <c r="AG346" s="4"/>
      <c r="AL346" s="4"/>
      <c r="AQ346" s="4"/>
      <c r="AV346" s="4"/>
      <c r="BA346" s="4"/>
    </row>
    <row r="347" spans="8:53" s="1" customFormat="1" ht="53.45" customHeight="1">
      <c r="H347" s="4"/>
      <c r="M347" s="4"/>
      <c r="R347" s="4"/>
      <c r="W347" s="4"/>
      <c r="AB347" s="4"/>
      <c r="AG347" s="4"/>
      <c r="AL347" s="4"/>
      <c r="AQ347" s="4"/>
      <c r="AV347" s="4"/>
      <c r="BA347" s="4"/>
    </row>
    <row r="348" spans="8:53" s="1" customFormat="1" ht="53.45" customHeight="1">
      <c r="H348" s="4"/>
      <c r="M348" s="4"/>
      <c r="R348" s="4"/>
      <c r="W348" s="4"/>
      <c r="AB348" s="4"/>
      <c r="AG348" s="4"/>
      <c r="AL348" s="4"/>
      <c r="AQ348" s="4"/>
      <c r="AV348" s="4"/>
      <c r="BA348" s="4"/>
    </row>
    <row r="349" spans="8:53" s="1" customFormat="1" ht="53.45" customHeight="1">
      <c r="H349" s="4"/>
      <c r="M349" s="4"/>
      <c r="R349" s="4"/>
      <c r="W349" s="4"/>
      <c r="AB349" s="4"/>
      <c r="AG349" s="4"/>
      <c r="AL349" s="4"/>
      <c r="AQ349" s="4"/>
      <c r="AV349" s="4"/>
      <c r="BA349" s="4"/>
    </row>
    <row r="350" spans="8:53" s="1" customFormat="1" ht="53.45" customHeight="1">
      <c r="H350" s="4"/>
      <c r="M350" s="4"/>
      <c r="R350" s="4"/>
      <c r="W350" s="4"/>
      <c r="AB350" s="4"/>
      <c r="AG350" s="4"/>
      <c r="AL350" s="4"/>
      <c r="AQ350" s="4"/>
      <c r="AV350" s="4"/>
      <c r="BA350" s="4"/>
    </row>
    <row r="351" spans="8:53" s="1" customFormat="1" ht="53.45" customHeight="1">
      <c r="H351" s="4"/>
      <c r="M351" s="4"/>
      <c r="R351" s="4"/>
      <c r="W351" s="4"/>
      <c r="AB351" s="4"/>
      <c r="AG351" s="4"/>
      <c r="AL351" s="4"/>
      <c r="AQ351" s="4"/>
      <c r="AV351" s="4"/>
      <c r="BA351" s="4"/>
    </row>
    <row r="352" spans="8:53" s="1" customFormat="1" ht="53.45" customHeight="1">
      <c r="H352" s="4"/>
      <c r="M352" s="4"/>
      <c r="R352" s="4"/>
      <c r="W352" s="4"/>
      <c r="AB352" s="4"/>
      <c r="AG352" s="4"/>
      <c r="AL352" s="4"/>
      <c r="AQ352" s="4"/>
      <c r="AV352" s="4"/>
      <c r="BA352" s="4"/>
    </row>
    <row r="353" spans="8:53" s="1" customFormat="1" ht="53.45" customHeight="1">
      <c r="H353" s="4"/>
      <c r="M353" s="4"/>
      <c r="R353" s="4"/>
      <c r="W353" s="4"/>
      <c r="AB353" s="4"/>
      <c r="AG353" s="4"/>
      <c r="AL353" s="4"/>
      <c r="AQ353" s="4"/>
      <c r="AV353" s="4"/>
      <c r="BA353" s="4"/>
    </row>
    <row r="354" spans="8:53" s="1" customFormat="1" ht="53.45" customHeight="1">
      <c r="H354" s="4"/>
      <c r="M354" s="4"/>
      <c r="R354" s="4"/>
      <c r="W354" s="4"/>
      <c r="AB354" s="4"/>
      <c r="AG354" s="4"/>
      <c r="AL354" s="4"/>
      <c r="AQ354" s="4"/>
      <c r="AV354" s="4"/>
      <c r="BA354" s="4"/>
    </row>
    <row r="355" spans="8:53" s="1" customFormat="1" ht="53.45" customHeight="1">
      <c r="H355" s="4"/>
      <c r="M355" s="4"/>
      <c r="R355" s="4"/>
      <c r="W355" s="4"/>
      <c r="AB355" s="4"/>
      <c r="AG355" s="4"/>
      <c r="AL355" s="4"/>
      <c r="AQ355" s="4"/>
      <c r="AV355" s="4"/>
      <c r="BA355" s="4"/>
    </row>
    <row r="356" spans="8:53" s="1" customFormat="1" ht="53.45" customHeight="1">
      <c r="H356" s="4"/>
      <c r="M356" s="4"/>
      <c r="R356" s="4"/>
      <c r="W356" s="4"/>
      <c r="AB356" s="4"/>
      <c r="AG356" s="4"/>
      <c r="AL356" s="4"/>
      <c r="AQ356" s="4"/>
      <c r="AV356" s="4"/>
      <c r="BA356" s="4"/>
    </row>
    <row r="357" spans="8:53" s="1" customFormat="1" ht="53.45" customHeight="1">
      <c r="H357" s="4"/>
      <c r="M357" s="4"/>
      <c r="R357" s="4"/>
      <c r="W357" s="4"/>
      <c r="AB357" s="4"/>
      <c r="AG357" s="4"/>
      <c r="AL357" s="4"/>
      <c r="AQ357" s="4"/>
      <c r="AV357" s="4"/>
      <c r="BA357" s="4"/>
    </row>
    <row r="358" spans="8:53" s="1" customFormat="1" ht="53.45" customHeight="1">
      <c r="H358" s="4"/>
      <c r="M358" s="4"/>
      <c r="R358" s="4"/>
      <c r="W358" s="4"/>
      <c r="AB358" s="4"/>
      <c r="AG358" s="4"/>
      <c r="AL358" s="4"/>
      <c r="AQ358" s="4"/>
      <c r="AV358" s="4"/>
      <c r="BA358" s="4"/>
    </row>
    <row r="359" spans="8:53" s="1" customFormat="1" ht="53.45" customHeight="1">
      <c r="H359" s="4"/>
      <c r="M359" s="4"/>
      <c r="R359" s="4"/>
      <c r="W359" s="4"/>
      <c r="AB359" s="4"/>
      <c r="AG359" s="4"/>
      <c r="AL359" s="4"/>
      <c r="AQ359" s="4"/>
      <c r="AV359" s="4"/>
      <c r="BA359" s="4"/>
    </row>
    <row r="360" spans="8:53" s="1" customFormat="1" ht="53.45" customHeight="1">
      <c r="H360" s="4"/>
      <c r="M360" s="4"/>
      <c r="R360" s="4"/>
      <c r="W360" s="4"/>
      <c r="AB360" s="4"/>
      <c r="AG360" s="4"/>
      <c r="AL360" s="4"/>
      <c r="AQ360" s="4"/>
      <c r="AV360" s="4"/>
      <c r="BA360" s="4"/>
    </row>
    <row r="361" spans="8:53" s="1" customFormat="1" ht="53.45" customHeight="1">
      <c r="H361" s="4"/>
      <c r="M361" s="4"/>
      <c r="R361" s="4"/>
      <c r="W361" s="4"/>
      <c r="AB361" s="4"/>
      <c r="AG361" s="4"/>
      <c r="AL361" s="4"/>
      <c r="AQ361" s="4"/>
      <c r="AV361" s="4"/>
      <c r="BA361" s="4"/>
    </row>
    <row r="362" spans="8:53" s="1" customFormat="1" ht="53.45" customHeight="1">
      <c r="H362" s="4"/>
      <c r="M362" s="4"/>
      <c r="R362" s="4"/>
      <c r="W362" s="4"/>
      <c r="AB362" s="4"/>
      <c r="AG362" s="4"/>
      <c r="AL362" s="4"/>
      <c r="AQ362" s="4"/>
      <c r="AV362" s="4"/>
      <c r="BA362" s="4"/>
    </row>
    <row r="363" spans="8:53" s="1" customFormat="1" ht="53.45" customHeight="1">
      <c r="H363" s="4"/>
      <c r="M363" s="4"/>
      <c r="R363" s="4"/>
      <c r="W363" s="4"/>
      <c r="AB363" s="4"/>
      <c r="AG363" s="4"/>
      <c r="AL363" s="4"/>
      <c r="AQ363" s="4"/>
      <c r="AV363" s="4"/>
      <c r="BA363" s="4"/>
    </row>
    <row r="364" spans="8:53" s="1" customFormat="1" ht="53.45" customHeight="1">
      <c r="H364" s="4"/>
      <c r="M364" s="4"/>
      <c r="R364" s="4"/>
      <c r="W364" s="4"/>
      <c r="AB364" s="4"/>
      <c r="AG364" s="4"/>
      <c r="AL364" s="4"/>
      <c r="AQ364" s="4"/>
      <c r="AV364" s="4"/>
      <c r="BA364" s="4"/>
    </row>
    <row r="365" spans="8:53" s="1" customFormat="1" ht="53.45" customHeight="1">
      <c r="H365" s="4"/>
      <c r="M365" s="4"/>
      <c r="R365" s="4"/>
      <c r="W365" s="4"/>
      <c r="AB365" s="4"/>
      <c r="AG365" s="4"/>
      <c r="AL365" s="4"/>
      <c r="AQ365" s="4"/>
      <c r="AV365" s="4"/>
      <c r="BA365" s="4"/>
    </row>
    <row r="366" spans="8:53" s="1" customFormat="1" ht="53.45" customHeight="1">
      <c r="H366" s="4"/>
      <c r="M366" s="4"/>
      <c r="R366" s="4"/>
      <c r="W366" s="4"/>
      <c r="AB366" s="4"/>
      <c r="AG366" s="4"/>
      <c r="AL366" s="4"/>
      <c r="AQ366" s="4"/>
      <c r="AV366" s="4"/>
      <c r="BA366" s="4"/>
    </row>
    <row r="367" spans="8:53" s="1" customFormat="1" ht="53.45" customHeight="1">
      <c r="H367" s="4"/>
      <c r="M367" s="4"/>
      <c r="R367" s="4"/>
      <c r="W367" s="4"/>
      <c r="AB367" s="4"/>
      <c r="AG367" s="4"/>
      <c r="AL367" s="4"/>
      <c r="AQ367" s="4"/>
      <c r="AV367" s="4"/>
      <c r="BA367" s="4"/>
    </row>
    <row r="368" spans="8:53" s="1" customFormat="1" ht="53.45" customHeight="1">
      <c r="H368" s="4"/>
      <c r="M368" s="4"/>
      <c r="R368" s="4"/>
      <c r="W368" s="4"/>
      <c r="AB368" s="4"/>
      <c r="AG368" s="4"/>
      <c r="AL368" s="4"/>
      <c r="AQ368" s="4"/>
      <c r="AV368" s="4"/>
      <c r="BA368" s="4"/>
    </row>
    <row r="369" spans="8:53" s="1" customFormat="1" ht="53.45" customHeight="1">
      <c r="H369" s="4"/>
      <c r="M369" s="4"/>
      <c r="R369" s="4"/>
      <c r="W369" s="4"/>
      <c r="AB369" s="4"/>
      <c r="AG369" s="4"/>
      <c r="AL369" s="4"/>
      <c r="AQ369" s="4"/>
      <c r="AV369" s="4"/>
      <c r="BA369" s="4"/>
    </row>
    <row r="370" spans="8:53" s="1" customFormat="1" ht="53.45" customHeight="1">
      <c r="H370" s="4"/>
      <c r="M370" s="4"/>
      <c r="R370" s="4"/>
      <c r="W370" s="4"/>
      <c r="AB370" s="4"/>
      <c r="AG370" s="4"/>
      <c r="AL370" s="4"/>
      <c r="AQ370" s="4"/>
      <c r="AV370" s="4"/>
      <c r="BA370" s="4"/>
    </row>
    <row r="371" spans="8:53" s="1" customFormat="1" ht="53.45" customHeight="1">
      <c r="H371" s="4"/>
      <c r="M371" s="4"/>
      <c r="R371" s="4"/>
      <c r="W371" s="4"/>
      <c r="AB371" s="4"/>
      <c r="AG371" s="4"/>
      <c r="AL371" s="4"/>
      <c r="AQ371" s="4"/>
      <c r="AV371" s="4"/>
      <c r="BA371" s="4"/>
    </row>
    <row r="372" spans="8:53" s="1" customFormat="1" ht="53.45" customHeight="1">
      <c r="H372" s="4"/>
      <c r="M372" s="4"/>
      <c r="R372" s="4"/>
      <c r="W372" s="4"/>
      <c r="AB372" s="4"/>
      <c r="AG372" s="4"/>
      <c r="AL372" s="4"/>
      <c r="AQ372" s="4"/>
      <c r="AV372" s="4"/>
      <c r="BA372" s="4"/>
    </row>
    <row r="373" spans="8:53" s="1" customFormat="1" ht="53.45" customHeight="1">
      <c r="H373" s="4"/>
      <c r="M373" s="4"/>
      <c r="R373" s="4"/>
      <c r="W373" s="4"/>
      <c r="AB373" s="4"/>
      <c r="AG373" s="4"/>
      <c r="AL373" s="4"/>
      <c r="AQ373" s="4"/>
      <c r="AV373" s="4"/>
      <c r="BA373" s="4"/>
    </row>
    <row r="374" spans="8:53" s="1" customFormat="1" ht="53.45" customHeight="1">
      <c r="H374" s="4"/>
      <c r="M374" s="4"/>
      <c r="R374" s="4"/>
      <c r="W374" s="4"/>
      <c r="AB374" s="4"/>
      <c r="AG374" s="4"/>
      <c r="AL374" s="4"/>
      <c r="AQ374" s="4"/>
      <c r="AV374" s="4"/>
      <c r="BA374" s="4"/>
    </row>
    <row r="375" spans="8:53" s="1" customFormat="1" ht="53.45" customHeight="1">
      <c r="H375" s="4"/>
      <c r="M375" s="4"/>
      <c r="R375" s="4"/>
      <c r="W375" s="4"/>
      <c r="AB375" s="4"/>
      <c r="AG375" s="4"/>
      <c r="AL375" s="4"/>
      <c r="AQ375" s="4"/>
      <c r="AV375" s="4"/>
      <c r="BA375" s="4"/>
    </row>
    <row r="376" spans="8:53" s="1" customFormat="1" ht="53.45" customHeight="1">
      <c r="H376" s="4"/>
      <c r="M376" s="4"/>
      <c r="R376" s="4"/>
      <c r="W376" s="4"/>
      <c r="AB376" s="4"/>
      <c r="AG376" s="4"/>
      <c r="AL376" s="4"/>
      <c r="AQ376" s="4"/>
      <c r="AV376" s="4"/>
      <c r="BA376" s="4"/>
    </row>
    <row r="377" spans="8:53" s="1" customFormat="1" ht="53.45" customHeight="1">
      <c r="H377" s="4"/>
      <c r="M377" s="4"/>
      <c r="R377" s="4"/>
      <c r="W377" s="4"/>
      <c r="AB377" s="4"/>
      <c r="AG377" s="4"/>
      <c r="AL377" s="4"/>
      <c r="AQ377" s="4"/>
      <c r="AV377" s="4"/>
      <c r="BA377" s="4"/>
    </row>
    <row r="378" spans="8:53" s="1" customFormat="1" ht="53.45" customHeight="1">
      <c r="H378" s="4"/>
      <c r="M378" s="4"/>
      <c r="R378" s="4"/>
      <c r="W378" s="4"/>
      <c r="AB378" s="4"/>
      <c r="AG378" s="4"/>
      <c r="AL378" s="4"/>
      <c r="AQ378" s="4"/>
      <c r="AV378" s="4"/>
      <c r="BA378" s="4"/>
    </row>
    <row r="379" spans="8:53" s="1" customFormat="1" ht="53.45" customHeight="1">
      <c r="H379" s="4"/>
      <c r="M379" s="4"/>
      <c r="R379" s="4"/>
      <c r="W379" s="4"/>
      <c r="AB379" s="4"/>
      <c r="AG379" s="4"/>
      <c r="AL379" s="4"/>
      <c r="AQ379" s="4"/>
      <c r="AV379" s="4"/>
      <c r="BA379" s="4"/>
    </row>
    <row r="380" spans="8:53" s="1" customFormat="1" ht="53.45" customHeight="1">
      <c r="H380" s="4"/>
      <c r="M380" s="4"/>
      <c r="R380" s="4"/>
      <c r="W380" s="4"/>
      <c r="AB380" s="4"/>
      <c r="AG380" s="4"/>
      <c r="AL380" s="4"/>
      <c r="AQ380" s="4"/>
      <c r="AV380" s="4"/>
      <c r="BA380" s="4"/>
    </row>
    <row r="381" spans="8:53" s="1" customFormat="1" ht="53.45" customHeight="1">
      <c r="H381" s="4"/>
      <c r="M381" s="4"/>
      <c r="R381" s="4"/>
      <c r="W381" s="4"/>
      <c r="AB381" s="4"/>
      <c r="AG381" s="4"/>
      <c r="AL381" s="4"/>
      <c r="AQ381" s="4"/>
      <c r="AV381" s="4"/>
      <c r="BA381" s="4"/>
    </row>
    <row r="382" spans="8:53" s="1" customFormat="1" ht="53.45" customHeight="1">
      <c r="H382" s="4"/>
      <c r="M382" s="4"/>
      <c r="R382" s="4"/>
      <c r="W382" s="4"/>
      <c r="AB382" s="4"/>
      <c r="AG382" s="4"/>
      <c r="AL382" s="4"/>
      <c r="AQ382" s="4"/>
      <c r="AV382" s="4"/>
      <c r="BA382" s="4"/>
    </row>
    <row r="383" spans="8:53" s="1" customFormat="1" ht="53.45" customHeight="1">
      <c r="H383" s="4"/>
      <c r="M383" s="4"/>
      <c r="R383" s="4"/>
      <c r="W383" s="4"/>
      <c r="AB383" s="4"/>
      <c r="AG383" s="4"/>
      <c r="AL383" s="4"/>
      <c r="AQ383" s="4"/>
      <c r="AV383" s="4"/>
      <c r="BA383" s="4"/>
    </row>
    <row r="384" spans="8:53" s="1" customFormat="1" ht="53.45" customHeight="1">
      <c r="H384" s="4"/>
      <c r="M384" s="4"/>
      <c r="R384" s="4"/>
      <c r="W384" s="4"/>
      <c r="AB384" s="4"/>
      <c r="AG384" s="4"/>
      <c r="AL384" s="4"/>
      <c r="AQ384" s="4"/>
      <c r="AV384" s="4"/>
      <c r="BA384" s="4"/>
    </row>
    <row r="385" spans="8:53" s="1" customFormat="1" ht="53.45" customHeight="1">
      <c r="H385" s="4"/>
      <c r="M385" s="4"/>
      <c r="R385" s="4"/>
      <c r="W385" s="4"/>
      <c r="AB385" s="4"/>
      <c r="AG385" s="4"/>
      <c r="AL385" s="4"/>
      <c r="AQ385" s="4"/>
      <c r="AV385" s="4"/>
      <c r="BA385" s="4"/>
    </row>
    <row r="386" spans="8:53" s="1" customFormat="1" ht="53.45" customHeight="1">
      <c r="H386" s="4"/>
      <c r="M386" s="4"/>
      <c r="R386" s="4"/>
      <c r="W386" s="4"/>
      <c r="AB386" s="4"/>
      <c r="AG386" s="4"/>
      <c r="AL386" s="4"/>
      <c r="AQ386" s="4"/>
      <c r="AV386" s="4"/>
      <c r="BA386" s="4"/>
    </row>
    <row r="387" spans="8:53" s="1" customFormat="1" ht="53.45" customHeight="1">
      <c r="H387" s="4"/>
      <c r="M387" s="4"/>
      <c r="R387" s="4"/>
      <c r="W387" s="4"/>
      <c r="AB387" s="4"/>
      <c r="AG387" s="4"/>
      <c r="AL387" s="4"/>
      <c r="AQ387" s="4"/>
      <c r="AV387" s="4"/>
      <c r="BA387" s="4"/>
    </row>
    <row r="388" spans="8:53" s="1" customFormat="1" ht="53.45" customHeight="1">
      <c r="H388" s="4"/>
      <c r="M388" s="4"/>
      <c r="R388" s="4"/>
      <c r="W388" s="4"/>
      <c r="AB388" s="4"/>
      <c r="AG388" s="4"/>
      <c r="AL388" s="4"/>
      <c r="AQ388" s="4"/>
      <c r="AV388" s="4"/>
      <c r="BA388" s="4"/>
    </row>
    <row r="389" spans="8:53" s="1" customFormat="1" ht="53.45" customHeight="1">
      <c r="H389" s="4"/>
      <c r="M389" s="4"/>
      <c r="R389" s="4"/>
      <c r="W389" s="4"/>
      <c r="AB389" s="4"/>
      <c r="AG389" s="4"/>
      <c r="AL389" s="4"/>
      <c r="AQ389" s="4"/>
      <c r="AV389" s="4"/>
      <c r="BA389" s="4"/>
    </row>
    <row r="390" spans="8:53" s="1" customFormat="1" ht="53.45" customHeight="1">
      <c r="H390" s="4"/>
      <c r="M390" s="4"/>
      <c r="R390" s="4"/>
      <c r="W390" s="4"/>
      <c r="AB390" s="4"/>
      <c r="AG390" s="4"/>
      <c r="AL390" s="4"/>
      <c r="AQ390" s="4"/>
      <c r="AV390" s="4"/>
      <c r="BA390" s="4"/>
    </row>
    <row r="391" spans="8:53" s="1" customFormat="1" ht="53.45" customHeight="1">
      <c r="H391" s="4"/>
      <c r="M391" s="4"/>
      <c r="R391" s="4"/>
      <c r="W391" s="4"/>
      <c r="AB391" s="4"/>
      <c r="AG391" s="4"/>
      <c r="AL391" s="4"/>
      <c r="AQ391" s="4"/>
      <c r="AV391" s="4"/>
      <c r="BA391" s="4"/>
    </row>
    <row r="392" spans="8:53" s="1" customFormat="1" ht="53.45" customHeight="1">
      <c r="H392" s="4"/>
      <c r="M392" s="4"/>
      <c r="R392" s="4"/>
      <c r="W392" s="4"/>
      <c r="AB392" s="4"/>
      <c r="AG392" s="4"/>
      <c r="AL392" s="4"/>
      <c r="AQ392" s="4"/>
      <c r="AV392" s="4"/>
      <c r="BA392" s="4"/>
    </row>
    <row r="393" spans="8:53" s="1" customFormat="1" ht="53.45" customHeight="1">
      <c r="H393" s="4"/>
      <c r="M393" s="4"/>
      <c r="R393" s="4"/>
      <c r="W393" s="4"/>
      <c r="AB393" s="4"/>
      <c r="AG393" s="4"/>
      <c r="AL393" s="4"/>
      <c r="AQ393" s="4"/>
      <c r="AV393" s="4"/>
      <c r="BA393" s="4"/>
    </row>
    <row r="394" spans="8:53" s="1" customFormat="1" ht="53.45" customHeight="1">
      <c r="H394" s="4"/>
      <c r="M394" s="4"/>
      <c r="R394" s="4"/>
      <c r="W394" s="4"/>
      <c r="AB394" s="4"/>
      <c r="AG394" s="4"/>
      <c r="AL394" s="4"/>
      <c r="AQ394" s="4"/>
      <c r="AV394" s="4"/>
      <c r="BA394" s="4"/>
    </row>
    <row r="395" spans="8:53" s="1" customFormat="1" ht="53.45" customHeight="1">
      <c r="H395" s="4"/>
      <c r="M395" s="4"/>
      <c r="R395" s="4"/>
      <c r="W395" s="4"/>
      <c r="AB395" s="4"/>
      <c r="AG395" s="4"/>
      <c r="AL395" s="4"/>
      <c r="AQ395" s="4"/>
      <c r="AV395" s="4"/>
      <c r="BA395" s="4"/>
    </row>
    <row r="396" spans="8:53" s="1" customFormat="1" ht="53.45" customHeight="1">
      <c r="H396" s="4"/>
      <c r="M396" s="4"/>
      <c r="R396" s="4"/>
      <c r="W396" s="4"/>
      <c r="AB396" s="4"/>
      <c r="AG396" s="4"/>
      <c r="AL396" s="4"/>
      <c r="AQ396" s="4"/>
      <c r="AV396" s="4"/>
      <c r="BA396" s="4"/>
    </row>
    <row r="397" spans="8:53" s="1" customFormat="1" ht="53.45" customHeight="1">
      <c r="H397" s="4"/>
      <c r="M397" s="4"/>
      <c r="R397" s="4"/>
      <c r="W397" s="4"/>
      <c r="AB397" s="4"/>
      <c r="AG397" s="4"/>
      <c r="AL397" s="4"/>
      <c r="AQ397" s="4"/>
      <c r="AV397" s="4"/>
      <c r="BA397" s="4"/>
    </row>
    <row r="398" spans="8:53" s="1" customFormat="1" ht="53.45" customHeight="1">
      <c r="H398" s="4"/>
      <c r="M398" s="4"/>
      <c r="R398" s="4"/>
      <c r="W398" s="4"/>
      <c r="AB398" s="4"/>
      <c r="AG398" s="4"/>
      <c r="AL398" s="4"/>
      <c r="AQ398" s="4"/>
      <c r="AV398" s="4"/>
      <c r="BA398" s="4"/>
    </row>
    <row r="399" spans="8:53" s="1" customFormat="1" ht="53.45" customHeight="1">
      <c r="H399" s="4"/>
      <c r="M399" s="4"/>
      <c r="R399" s="4"/>
      <c r="W399" s="4"/>
      <c r="AB399" s="4"/>
      <c r="AG399" s="4"/>
      <c r="AL399" s="4"/>
      <c r="AQ399" s="4"/>
      <c r="AV399" s="4"/>
      <c r="BA399" s="4"/>
    </row>
    <row r="400" spans="8:53" s="1" customFormat="1" ht="53.45" customHeight="1">
      <c r="H400" s="4"/>
      <c r="M400" s="4"/>
      <c r="R400" s="4"/>
      <c r="W400" s="4"/>
      <c r="AB400" s="4"/>
      <c r="AG400" s="4"/>
      <c r="AL400" s="4"/>
      <c r="AQ400" s="4"/>
      <c r="AV400" s="4"/>
      <c r="BA400" s="4"/>
    </row>
    <row r="401" spans="8:53" s="1" customFormat="1" ht="53.45" customHeight="1">
      <c r="H401" s="4"/>
      <c r="M401" s="4"/>
      <c r="R401" s="4"/>
      <c r="W401" s="4"/>
      <c r="AB401" s="4"/>
      <c r="AG401" s="4"/>
      <c r="AL401" s="4"/>
      <c r="AQ401" s="4"/>
      <c r="AV401" s="4"/>
      <c r="BA401" s="4"/>
    </row>
    <row r="402" spans="8:53" s="1" customFormat="1" ht="53.45" customHeight="1">
      <c r="H402" s="4"/>
      <c r="M402" s="4"/>
      <c r="R402" s="4"/>
      <c r="W402" s="4"/>
      <c r="AB402" s="4"/>
      <c r="AG402" s="4"/>
      <c r="AL402" s="4"/>
      <c r="AQ402" s="4"/>
      <c r="AV402" s="4"/>
      <c r="BA402" s="4"/>
    </row>
    <row r="403" spans="8:53" s="1" customFormat="1" ht="53.45" customHeight="1">
      <c r="H403" s="4"/>
      <c r="M403" s="4"/>
      <c r="R403" s="4"/>
      <c r="W403" s="4"/>
      <c r="AB403" s="4"/>
      <c r="AG403" s="4"/>
      <c r="AL403" s="4"/>
      <c r="AQ403" s="4"/>
      <c r="AV403" s="4"/>
      <c r="BA403" s="4"/>
    </row>
    <row r="404" spans="8:53" s="1" customFormat="1" ht="53.45" customHeight="1">
      <c r="H404" s="4"/>
      <c r="M404" s="4"/>
      <c r="R404" s="4"/>
      <c r="W404" s="4"/>
      <c r="AB404" s="4"/>
      <c r="AG404" s="4"/>
      <c r="AL404" s="4"/>
      <c r="AQ404" s="4"/>
      <c r="AV404" s="4"/>
      <c r="BA404" s="4"/>
    </row>
    <row r="405" spans="8:53" s="1" customFormat="1" ht="53.45" customHeight="1">
      <c r="H405" s="4"/>
      <c r="M405" s="4"/>
      <c r="R405" s="4"/>
      <c r="W405" s="4"/>
      <c r="AB405" s="4"/>
      <c r="AG405" s="4"/>
      <c r="AL405" s="4"/>
      <c r="AQ405" s="4"/>
      <c r="AV405" s="4"/>
      <c r="BA405" s="4"/>
    </row>
    <row r="406" spans="8:53" s="1" customFormat="1" ht="53.45" customHeight="1">
      <c r="H406" s="4"/>
      <c r="M406" s="4"/>
      <c r="R406" s="4"/>
      <c r="W406" s="4"/>
      <c r="AB406" s="4"/>
      <c r="AG406" s="4"/>
      <c r="AL406" s="4"/>
      <c r="AQ406" s="4"/>
      <c r="AV406" s="4"/>
      <c r="BA406" s="4"/>
    </row>
    <row r="407" spans="8:53" s="1" customFormat="1" ht="53.45" customHeight="1">
      <c r="H407" s="4"/>
      <c r="M407" s="4"/>
      <c r="R407" s="4"/>
      <c r="W407" s="4"/>
      <c r="AB407" s="4"/>
      <c r="AG407" s="4"/>
      <c r="AL407" s="4"/>
      <c r="AQ407" s="4"/>
      <c r="AV407" s="4"/>
      <c r="BA407" s="4"/>
    </row>
    <row r="408" spans="8:53" s="1" customFormat="1" ht="53.45" customHeight="1">
      <c r="H408" s="4"/>
      <c r="M408" s="4"/>
      <c r="R408" s="4"/>
      <c r="W408" s="4"/>
      <c r="AB408" s="4"/>
      <c r="AG408" s="4"/>
      <c r="AL408" s="4"/>
      <c r="AQ408" s="4"/>
      <c r="AV408" s="4"/>
      <c r="BA408" s="4"/>
    </row>
    <row r="409" spans="8:53" s="1" customFormat="1" ht="53.45" customHeight="1">
      <c r="H409" s="4"/>
      <c r="M409" s="4"/>
      <c r="R409" s="4"/>
      <c r="W409" s="4"/>
      <c r="AB409" s="4"/>
      <c r="AG409" s="4"/>
      <c r="AL409" s="4"/>
      <c r="AQ409" s="4"/>
      <c r="AV409" s="4"/>
      <c r="BA409" s="4"/>
    </row>
    <row r="410" spans="8:53" s="1" customFormat="1" ht="53.45" customHeight="1">
      <c r="H410" s="4"/>
      <c r="M410" s="4"/>
      <c r="R410" s="4"/>
      <c r="W410" s="4"/>
      <c r="AB410" s="4"/>
      <c r="AG410" s="4"/>
      <c r="AL410" s="4"/>
      <c r="AQ410" s="4"/>
      <c r="AV410" s="4"/>
      <c r="BA410" s="4"/>
    </row>
    <row r="411" spans="8:53" s="1" customFormat="1" ht="53.45" customHeight="1">
      <c r="H411" s="4"/>
      <c r="M411" s="4"/>
      <c r="R411" s="4"/>
      <c r="W411" s="4"/>
      <c r="AB411" s="4"/>
      <c r="AG411" s="4"/>
      <c r="AL411" s="4"/>
      <c r="AQ411" s="4"/>
      <c r="AV411" s="4"/>
      <c r="BA411" s="4"/>
    </row>
    <row r="412" spans="8:53" s="1" customFormat="1" ht="53.45" customHeight="1">
      <c r="H412" s="4"/>
      <c r="M412" s="4"/>
      <c r="R412" s="4"/>
      <c r="W412" s="4"/>
      <c r="AB412" s="4"/>
      <c r="AG412" s="4"/>
      <c r="AL412" s="4"/>
      <c r="AQ412" s="4"/>
      <c r="AV412" s="4"/>
      <c r="BA412" s="4"/>
    </row>
    <row r="413" spans="8:53" s="1" customFormat="1" ht="53.45" customHeight="1">
      <c r="H413" s="4"/>
      <c r="M413" s="4"/>
      <c r="R413" s="4"/>
      <c r="W413" s="4"/>
      <c r="AB413" s="4"/>
      <c r="AG413" s="4"/>
      <c r="AL413" s="4"/>
      <c r="AQ413" s="4"/>
      <c r="AV413" s="4"/>
      <c r="BA413" s="4"/>
    </row>
    <row r="414" spans="8:53" s="1" customFormat="1" ht="53.45" customHeight="1">
      <c r="H414" s="4"/>
      <c r="M414" s="4"/>
      <c r="R414" s="4"/>
      <c r="W414" s="4"/>
      <c r="AB414" s="4"/>
      <c r="AG414" s="4"/>
      <c r="AL414" s="4"/>
      <c r="AQ414" s="4"/>
      <c r="AV414" s="4"/>
      <c r="BA414" s="4"/>
    </row>
    <row r="415" spans="8:53" s="1" customFormat="1" ht="53.45" customHeight="1">
      <c r="H415" s="4"/>
      <c r="M415" s="4"/>
      <c r="R415" s="4"/>
      <c r="W415" s="4"/>
      <c r="AB415" s="4"/>
      <c r="AG415" s="4"/>
      <c r="AL415" s="4"/>
      <c r="AQ415" s="4"/>
      <c r="AV415" s="4"/>
      <c r="BA415" s="4"/>
    </row>
    <row r="416" spans="8:53" s="1" customFormat="1" ht="53.45" customHeight="1">
      <c r="H416" s="4"/>
      <c r="M416" s="4"/>
      <c r="R416" s="4"/>
      <c r="W416" s="4"/>
      <c r="AB416" s="4"/>
      <c r="AG416" s="4"/>
      <c r="AL416" s="4"/>
      <c r="AQ416" s="4"/>
      <c r="AV416" s="4"/>
      <c r="BA416" s="4"/>
    </row>
    <row r="417" spans="8:53" s="1" customFormat="1" ht="53.45" customHeight="1">
      <c r="H417" s="4"/>
      <c r="M417" s="4"/>
      <c r="R417" s="4"/>
      <c r="W417" s="4"/>
      <c r="AB417" s="4"/>
      <c r="AG417" s="4"/>
      <c r="AL417" s="4"/>
      <c r="AQ417" s="4"/>
      <c r="AV417" s="4"/>
      <c r="BA417" s="4"/>
    </row>
    <row r="418" spans="8:53" s="1" customFormat="1" ht="53.45" customHeight="1">
      <c r="H418" s="4"/>
      <c r="M418" s="4"/>
      <c r="R418" s="4"/>
      <c r="W418" s="4"/>
      <c r="AB418" s="4"/>
      <c r="AG418" s="4"/>
      <c r="AL418" s="4"/>
      <c r="AQ418" s="4"/>
      <c r="AV418" s="4"/>
      <c r="BA418" s="4"/>
    </row>
    <row r="419" spans="8:53" s="1" customFormat="1" ht="53.45" customHeight="1">
      <c r="H419" s="4"/>
      <c r="M419" s="4"/>
      <c r="R419" s="4"/>
      <c r="W419" s="4"/>
      <c r="AB419" s="4"/>
      <c r="AG419" s="4"/>
      <c r="AL419" s="4"/>
      <c r="AQ419" s="4"/>
      <c r="AV419" s="4"/>
      <c r="BA419" s="4"/>
    </row>
    <row r="420" spans="8:53" s="1" customFormat="1" ht="53.45" customHeight="1">
      <c r="H420" s="4"/>
      <c r="M420" s="4"/>
      <c r="R420" s="4"/>
      <c r="W420" s="4"/>
      <c r="AB420" s="4"/>
      <c r="AG420" s="4"/>
      <c r="AL420" s="4"/>
      <c r="AQ420" s="4"/>
      <c r="AV420" s="4"/>
      <c r="BA420" s="4"/>
    </row>
    <row r="421" spans="8:53" s="1" customFormat="1" ht="53.45" customHeight="1">
      <c r="H421" s="4"/>
      <c r="M421" s="4"/>
      <c r="R421" s="4"/>
      <c r="W421" s="4"/>
      <c r="AB421" s="4"/>
      <c r="AG421" s="4"/>
      <c r="AL421" s="4"/>
      <c r="AQ421" s="4"/>
      <c r="AV421" s="4"/>
      <c r="BA421" s="4"/>
    </row>
    <row r="422" spans="8:53" s="1" customFormat="1" ht="53.45" customHeight="1">
      <c r="H422" s="4"/>
      <c r="M422" s="4"/>
      <c r="R422" s="4"/>
      <c r="W422" s="4"/>
      <c r="AB422" s="4"/>
      <c r="AG422" s="4"/>
      <c r="AL422" s="4"/>
      <c r="AQ422" s="4"/>
      <c r="AV422" s="4"/>
      <c r="BA422" s="4"/>
    </row>
    <row r="423" spans="8:53" s="1" customFormat="1" ht="53.45" customHeight="1">
      <c r="H423" s="4"/>
      <c r="M423" s="4"/>
      <c r="R423" s="4"/>
      <c r="W423" s="4"/>
      <c r="AB423" s="4"/>
      <c r="AG423" s="4"/>
      <c r="AL423" s="4"/>
      <c r="AQ423" s="4"/>
      <c r="AV423" s="4"/>
      <c r="BA423" s="4"/>
    </row>
    <row r="424" spans="8:53" s="1" customFormat="1" ht="53.45" customHeight="1">
      <c r="H424" s="4"/>
      <c r="M424" s="4"/>
      <c r="R424" s="4"/>
      <c r="W424" s="4"/>
      <c r="AB424" s="4"/>
      <c r="AG424" s="4"/>
      <c r="AL424" s="4"/>
      <c r="AQ424" s="4"/>
      <c r="AV424" s="4"/>
      <c r="BA424" s="4"/>
    </row>
    <row r="425" spans="8:53" s="1" customFormat="1" ht="53.45" customHeight="1">
      <c r="H425" s="4"/>
      <c r="M425" s="4"/>
      <c r="R425" s="4"/>
      <c r="W425" s="4"/>
      <c r="AB425" s="4"/>
      <c r="AG425" s="4"/>
      <c r="AL425" s="4"/>
      <c r="AQ425" s="4"/>
      <c r="AV425" s="4"/>
      <c r="BA425" s="4"/>
    </row>
    <row r="426" spans="8:53" s="1" customFormat="1" ht="53.45" customHeight="1">
      <c r="H426" s="4"/>
      <c r="M426" s="4"/>
      <c r="R426" s="4"/>
      <c r="W426" s="4"/>
      <c r="AB426" s="4"/>
      <c r="AG426" s="4"/>
      <c r="AL426" s="4"/>
      <c r="AQ426" s="4"/>
      <c r="AV426" s="4"/>
      <c r="BA426" s="4"/>
    </row>
    <row r="427" spans="8:53" s="1" customFormat="1" ht="53.45" customHeight="1">
      <c r="H427" s="4"/>
      <c r="M427" s="4"/>
      <c r="R427" s="4"/>
      <c r="W427" s="4"/>
      <c r="AB427" s="4"/>
      <c r="AG427" s="4"/>
      <c r="AL427" s="4"/>
      <c r="AQ427" s="4"/>
      <c r="AV427" s="4"/>
      <c r="BA427" s="4"/>
    </row>
    <row r="428" spans="8:53" s="1" customFormat="1" ht="53.45" customHeight="1">
      <c r="H428" s="4"/>
      <c r="M428" s="4"/>
      <c r="R428" s="4"/>
      <c r="W428" s="4"/>
      <c r="AB428" s="4"/>
      <c r="AG428" s="4"/>
      <c r="AL428" s="4"/>
      <c r="AQ428" s="4"/>
      <c r="AV428" s="4"/>
      <c r="BA428" s="4"/>
    </row>
    <row r="429" spans="8:53" s="1" customFormat="1" ht="53.45" customHeight="1">
      <c r="H429" s="4"/>
      <c r="M429" s="4"/>
      <c r="R429" s="4"/>
      <c r="W429" s="4"/>
      <c r="AB429" s="4"/>
      <c r="AG429" s="4"/>
      <c r="AL429" s="4"/>
      <c r="AQ429" s="4"/>
      <c r="AV429" s="4"/>
      <c r="BA429" s="4"/>
    </row>
    <row r="430" spans="8:53" s="1" customFormat="1" ht="53.45" customHeight="1">
      <c r="H430" s="4"/>
      <c r="M430" s="4"/>
      <c r="R430" s="4"/>
      <c r="W430" s="4"/>
      <c r="AB430" s="4"/>
      <c r="AG430" s="4"/>
      <c r="AL430" s="4"/>
      <c r="AQ430" s="4"/>
      <c r="AV430" s="4"/>
      <c r="BA430" s="4"/>
    </row>
    <row r="431" spans="8:53" s="1" customFormat="1" ht="53.45" customHeight="1">
      <c r="H431" s="4"/>
      <c r="M431" s="4"/>
      <c r="R431" s="4"/>
      <c r="W431" s="4"/>
      <c r="AB431" s="4"/>
      <c r="AG431" s="4"/>
      <c r="AL431" s="4"/>
      <c r="AQ431" s="4"/>
      <c r="AV431" s="4"/>
      <c r="BA431" s="4"/>
    </row>
    <row r="432" spans="8:53" s="1" customFormat="1" ht="53.45" customHeight="1">
      <c r="H432" s="4"/>
      <c r="M432" s="4"/>
      <c r="R432" s="4"/>
      <c r="W432" s="4"/>
      <c r="AB432" s="4"/>
      <c r="AG432" s="4"/>
      <c r="AL432" s="4"/>
      <c r="AQ432" s="4"/>
      <c r="AV432" s="4"/>
      <c r="BA432" s="4"/>
    </row>
    <row r="433" spans="8:53" s="1" customFormat="1" ht="53.45" customHeight="1">
      <c r="H433" s="4"/>
      <c r="M433" s="4"/>
      <c r="R433" s="4"/>
      <c r="W433" s="4"/>
      <c r="AB433" s="4"/>
      <c r="AG433" s="4"/>
      <c r="AL433" s="4"/>
      <c r="AQ433" s="4"/>
      <c r="AV433" s="4"/>
      <c r="BA433" s="4"/>
    </row>
    <row r="434" spans="8:53" s="1" customFormat="1" ht="53.45" customHeight="1">
      <c r="H434" s="4"/>
      <c r="M434" s="4"/>
      <c r="R434" s="4"/>
      <c r="W434" s="4"/>
      <c r="AB434" s="4"/>
      <c r="AG434" s="4"/>
      <c r="AL434" s="4"/>
      <c r="AQ434" s="4"/>
      <c r="AV434" s="4"/>
      <c r="BA434" s="4"/>
    </row>
    <row r="435" spans="8:53" s="1" customFormat="1" ht="53.45" customHeight="1">
      <c r="H435" s="4"/>
      <c r="M435" s="4"/>
      <c r="R435" s="4"/>
      <c r="W435" s="4"/>
      <c r="AB435" s="4"/>
      <c r="AG435" s="4"/>
      <c r="AL435" s="4"/>
      <c r="AQ435" s="4"/>
      <c r="AV435" s="4"/>
      <c r="BA435" s="4"/>
    </row>
    <row r="436" spans="8:53" s="1" customFormat="1" ht="53.45" customHeight="1">
      <c r="H436" s="4"/>
      <c r="M436" s="4"/>
      <c r="R436" s="4"/>
      <c r="W436" s="4"/>
      <c r="AB436" s="4"/>
      <c r="AG436" s="4"/>
      <c r="AL436" s="4"/>
      <c r="AQ436" s="4"/>
      <c r="AV436" s="4"/>
      <c r="BA436" s="4"/>
    </row>
    <row r="437" spans="8:53" s="1" customFormat="1" ht="53.45" customHeight="1">
      <c r="H437" s="4"/>
      <c r="M437" s="4"/>
      <c r="R437" s="4"/>
      <c r="W437" s="4"/>
      <c r="AB437" s="4"/>
      <c r="AG437" s="4"/>
      <c r="AL437" s="4"/>
      <c r="AQ437" s="4"/>
      <c r="AV437" s="4"/>
      <c r="BA437" s="4"/>
    </row>
    <row r="438" spans="8:53" s="1" customFormat="1" ht="53.45" customHeight="1">
      <c r="H438" s="4"/>
      <c r="M438" s="4"/>
      <c r="R438" s="4"/>
      <c r="W438" s="4"/>
      <c r="AB438" s="4"/>
      <c r="AG438" s="4"/>
      <c r="AL438" s="4"/>
      <c r="AQ438" s="4"/>
      <c r="AV438" s="4"/>
      <c r="BA438" s="4"/>
    </row>
    <row r="439" spans="8:53" s="1" customFormat="1" ht="53.45" customHeight="1">
      <c r="H439" s="4"/>
      <c r="M439" s="4"/>
      <c r="R439" s="4"/>
      <c r="W439" s="4"/>
      <c r="AB439" s="4"/>
      <c r="AG439" s="4"/>
      <c r="AL439" s="4"/>
      <c r="AQ439" s="4"/>
      <c r="AV439" s="4"/>
      <c r="BA439" s="4"/>
    </row>
    <row r="440" spans="8:53" s="1" customFormat="1" ht="53.45" customHeight="1">
      <c r="H440" s="4"/>
      <c r="M440" s="4"/>
      <c r="R440" s="4"/>
      <c r="W440" s="4"/>
      <c r="AB440" s="4"/>
      <c r="AG440" s="4"/>
      <c r="AL440" s="4"/>
      <c r="AQ440" s="4"/>
      <c r="AV440" s="4"/>
      <c r="BA440" s="4"/>
    </row>
    <row r="441" spans="8:53" s="1" customFormat="1" ht="53.45" customHeight="1">
      <c r="H441" s="4"/>
      <c r="M441" s="4"/>
      <c r="R441" s="4"/>
      <c r="W441" s="4"/>
      <c r="AB441" s="4"/>
      <c r="AG441" s="4"/>
      <c r="AL441" s="4"/>
      <c r="AQ441" s="4"/>
      <c r="AV441" s="4"/>
      <c r="BA441" s="4"/>
    </row>
    <row r="442" spans="8:53" s="1" customFormat="1" ht="53.45" customHeight="1">
      <c r="H442" s="4"/>
      <c r="M442" s="4"/>
      <c r="R442" s="4"/>
      <c r="W442" s="4"/>
      <c r="AB442" s="4"/>
      <c r="AG442" s="4"/>
      <c r="AL442" s="4"/>
      <c r="AQ442" s="4"/>
      <c r="AV442" s="4"/>
      <c r="BA442" s="4"/>
    </row>
    <row r="443" spans="8:53" s="1" customFormat="1" ht="53.45" customHeight="1">
      <c r="H443" s="4"/>
      <c r="M443" s="4"/>
      <c r="R443" s="4"/>
      <c r="W443" s="4"/>
      <c r="AB443" s="4"/>
      <c r="AG443" s="4"/>
      <c r="AL443" s="4"/>
      <c r="AQ443" s="4"/>
      <c r="AV443" s="4"/>
      <c r="BA443" s="4"/>
    </row>
    <row r="444" spans="8:53" s="1" customFormat="1" ht="53.45" customHeight="1">
      <c r="H444" s="4"/>
      <c r="M444" s="4"/>
      <c r="R444" s="4"/>
      <c r="W444" s="4"/>
      <c r="AB444" s="4"/>
      <c r="AG444" s="4"/>
      <c r="AL444" s="4"/>
      <c r="AQ444" s="4"/>
      <c r="AV444" s="4"/>
      <c r="BA444" s="4"/>
    </row>
    <row r="445" spans="8:53" s="1" customFormat="1" ht="53.45" customHeight="1">
      <c r="H445" s="4"/>
      <c r="M445" s="4"/>
      <c r="R445" s="4"/>
      <c r="W445" s="4"/>
      <c r="AB445" s="4"/>
      <c r="AG445" s="4"/>
      <c r="AL445" s="4"/>
      <c r="AQ445" s="4"/>
      <c r="AV445" s="4"/>
      <c r="BA445" s="4"/>
    </row>
    <row r="446" spans="8:53" s="1" customFormat="1" ht="53.45" customHeight="1">
      <c r="H446" s="4"/>
      <c r="M446" s="4"/>
      <c r="R446" s="4"/>
      <c r="W446" s="4"/>
      <c r="AB446" s="4"/>
      <c r="AG446" s="4"/>
      <c r="AL446" s="4"/>
      <c r="AQ446" s="4"/>
      <c r="AV446" s="4"/>
      <c r="BA446" s="4"/>
    </row>
    <row r="447" spans="8:53" s="1" customFormat="1" ht="53.45" customHeight="1">
      <c r="H447" s="4"/>
      <c r="M447" s="4"/>
      <c r="R447" s="4"/>
      <c r="W447" s="4"/>
      <c r="AB447" s="4"/>
      <c r="AG447" s="4"/>
      <c r="AL447" s="4"/>
      <c r="AQ447" s="4"/>
      <c r="AV447" s="4"/>
      <c r="BA447" s="4"/>
    </row>
    <row r="448" spans="8:53" s="1" customFormat="1" ht="53.45" customHeight="1">
      <c r="H448" s="4"/>
      <c r="M448" s="4"/>
      <c r="R448" s="4"/>
      <c r="W448" s="4"/>
      <c r="AB448" s="4"/>
      <c r="AG448" s="4"/>
      <c r="AL448" s="4"/>
      <c r="AQ448" s="4"/>
      <c r="AV448" s="4"/>
      <c r="BA448" s="4"/>
    </row>
    <row r="449" spans="8:53" s="1" customFormat="1" ht="53.45" customHeight="1">
      <c r="H449" s="4"/>
      <c r="M449" s="4"/>
      <c r="R449" s="4"/>
      <c r="W449" s="4"/>
      <c r="AB449" s="4"/>
      <c r="AG449" s="4"/>
      <c r="AL449" s="4"/>
      <c r="AQ449" s="4"/>
      <c r="AV449" s="4"/>
      <c r="BA449" s="4"/>
    </row>
    <row r="450" spans="8:53" s="1" customFormat="1" ht="53.45" customHeight="1">
      <c r="H450" s="4"/>
      <c r="M450" s="4"/>
      <c r="R450" s="4"/>
      <c r="W450" s="4"/>
      <c r="AB450" s="4"/>
      <c r="AG450" s="4"/>
      <c r="AL450" s="4"/>
      <c r="AQ450" s="4"/>
      <c r="AV450" s="4"/>
      <c r="BA450" s="4"/>
    </row>
    <row r="451" spans="8:53" s="1" customFormat="1" ht="53.45" customHeight="1">
      <c r="H451" s="4"/>
      <c r="M451" s="4"/>
      <c r="R451" s="4"/>
      <c r="W451" s="4"/>
      <c r="AB451" s="4"/>
      <c r="AG451" s="4"/>
      <c r="AL451" s="4"/>
      <c r="AQ451" s="4"/>
      <c r="AV451" s="4"/>
      <c r="BA451" s="4"/>
    </row>
    <row r="452" spans="8:53" s="1" customFormat="1" ht="53.45" customHeight="1">
      <c r="H452" s="4"/>
      <c r="M452" s="4"/>
      <c r="R452" s="4"/>
      <c r="W452" s="4"/>
      <c r="AB452" s="4"/>
      <c r="AG452" s="4"/>
      <c r="AL452" s="4"/>
      <c r="AQ452" s="4"/>
      <c r="AV452" s="4"/>
      <c r="BA452" s="4"/>
    </row>
    <row r="453" spans="8:53" s="1" customFormat="1" ht="53.45" customHeight="1">
      <c r="H453" s="4"/>
      <c r="M453" s="4"/>
      <c r="R453" s="4"/>
      <c r="W453" s="4"/>
      <c r="AB453" s="4"/>
      <c r="AG453" s="4"/>
      <c r="AL453" s="4"/>
      <c r="AQ453" s="4"/>
      <c r="AV453" s="4"/>
      <c r="BA453" s="4"/>
    </row>
    <row r="454" spans="8:53" s="1" customFormat="1" ht="53.45" customHeight="1">
      <c r="H454" s="4"/>
      <c r="M454" s="4"/>
      <c r="R454" s="4"/>
      <c r="W454" s="4"/>
      <c r="AB454" s="4"/>
      <c r="AG454" s="4"/>
      <c r="AL454" s="4"/>
      <c r="AQ454" s="4"/>
      <c r="AV454" s="4"/>
      <c r="BA454" s="4"/>
    </row>
    <row r="455" spans="8:53" s="1" customFormat="1" ht="53.45" customHeight="1">
      <c r="H455" s="4"/>
      <c r="M455" s="4"/>
      <c r="R455" s="4"/>
      <c r="W455" s="4"/>
      <c r="AB455" s="4"/>
      <c r="AG455" s="4"/>
      <c r="AL455" s="4"/>
      <c r="AQ455" s="4"/>
      <c r="AV455" s="4"/>
      <c r="BA455" s="4"/>
    </row>
    <row r="456" spans="8:53" s="1" customFormat="1" ht="53.45" customHeight="1">
      <c r="H456" s="4"/>
      <c r="M456" s="4"/>
      <c r="R456" s="4"/>
      <c r="W456" s="4"/>
      <c r="AB456" s="4"/>
      <c r="AG456" s="4"/>
      <c r="AL456" s="4"/>
      <c r="AQ456" s="4"/>
      <c r="AV456" s="4"/>
      <c r="BA456" s="4"/>
    </row>
    <row r="457" spans="8:53" s="1" customFormat="1" ht="53.45" customHeight="1">
      <c r="H457" s="4"/>
      <c r="M457" s="4"/>
      <c r="R457" s="4"/>
      <c r="W457" s="4"/>
      <c r="AB457" s="4"/>
      <c r="AG457" s="4"/>
      <c r="AL457" s="4"/>
      <c r="AQ457" s="4"/>
      <c r="AV457" s="4"/>
      <c r="BA457" s="4"/>
    </row>
    <row r="458" spans="8:53" s="1" customFormat="1" ht="53.45" customHeight="1">
      <c r="H458" s="4"/>
      <c r="M458" s="4"/>
      <c r="R458" s="4"/>
      <c r="W458" s="4"/>
      <c r="AB458" s="4"/>
      <c r="AG458" s="4"/>
      <c r="AL458" s="4"/>
      <c r="AQ458" s="4"/>
      <c r="AV458" s="4"/>
      <c r="BA458" s="4"/>
    </row>
    <row r="459" spans="8:53" s="1" customFormat="1" ht="53.45" customHeight="1">
      <c r="H459" s="4"/>
      <c r="M459" s="4"/>
      <c r="R459" s="4"/>
      <c r="W459" s="4"/>
      <c r="AB459" s="4"/>
      <c r="AG459" s="4"/>
      <c r="AL459" s="4"/>
      <c r="AQ459" s="4"/>
      <c r="AV459" s="4"/>
      <c r="BA459" s="4"/>
    </row>
    <row r="460" spans="8:53" s="1" customFormat="1" ht="53.45" customHeight="1">
      <c r="H460" s="4"/>
      <c r="M460" s="4"/>
      <c r="R460" s="4"/>
      <c r="W460" s="4"/>
      <c r="AB460" s="4"/>
      <c r="AG460" s="4"/>
      <c r="AL460" s="4"/>
      <c r="AQ460" s="4"/>
      <c r="AV460" s="4"/>
      <c r="BA460" s="4"/>
    </row>
    <row r="461" spans="8:53" s="1" customFormat="1" ht="53.45" customHeight="1">
      <c r="H461" s="4"/>
      <c r="M461" s="4"/>
      <c r="R461" s="4"/>
      <c r="W461" s="4"/>
      <c r="AB461" s="4"/>
      <c r="AG461" s="4"/>
      <c r="AL461" s="4"/>
      <c r="AQ461" s="4"/>
      <c r="AV461" s="4"/>
      <c r="BA461" s="4"/>
    </row>
    <row r="462" spans="8:53" s="1" customFormat="1" ht="53.45" customHeight="1">
      <c r="H462" s="4"/>
      <c r="M462" s="4"/>
      <c r="R462" s="4"/>
      <c r="W462" s="4"/>
      <c r="AB462" s="4"/>
      <c r="AG462" s="4"/>
      <c r="AL462" s="4"/>
      <c r="AQ462" s="4"/>
      <c r="AV462" s="4"/>
      <c r="BA462" s="4"/>
    </row>
    <row r="463" spans="8:53" s="1" customFormat="1" ht="53.45" customHeight="1">
      <c r="H463" s="4"/>
      <c r="M463" s="4"/>
      <c r="R463" s="4"/>
      <c r="W463" s="4"/>
      <c r="AB463" s="4"/>
      <c r="AG463" s="4"/>
      <c r="AL463" s="4"/>
      <c r="AQ463" s="4"/>
      <c r="AV463" s="4"/>
      <c r="BA463" s="4"/>
    </row>
    <row r="464" spans="8:53" s="1" customFormat="1" ht="53.45" customHeight="1">
      <c r="H464" s="4"/>
      <c r="M464" s="4"/>
      <c r="R464" s="4"/>
      <c r="W464" s="4"/>
      <c r="AB464" s="4"/>
      <c r="AG464" s="4"/>
      <c r="AL464" s="4"/>
      <c r="AQ464" s="4"/>
      <c r="AV464" s="4"/>
      <c r="BA464" s="4"/>
    </row>
    <row r="465" spans="8:53" s="1" customFormat="1" ht="53.45" customHeight="1">
      <c r="H465" s="4"/>
      <c r="M465" s="4"/>
      <c r="R465" s="4"/>
      <c r="W465" s="4"/>
      <c r="AB465" s="4"/>
      <c r="AG465" s="4"/>
      <c r="AL465" s="4"/>
      <c r="AQ465" s="4"/>
      <c r="AV465" s="4"/>
      <c r="BA465" s="4"/>
    </row>
    <row r="466" spans="8:53" s="1" customFormat="1" ht="53.45" customHeight="1">
      <c r="H466" s="4"/>
      <c r="M466" s="4"/>
      <c r="R466" s="4"/>
      <c r="W466" s="4"/>
      <c r="AB466" s="4"/>
      <c r="AG466" s="4"/>
      <c r="AL466" s="4"/>
      <c r="AQ466" s="4"/>
      <c r="AV466" s="4"/>
      <c r="BA466" s="4"/>
    </row>
    <row r="467" spans="8:53" s="1" customFormat="1" ht="53.45" customHeight="1">
      <c r="H467" s="4"/>
      <c r="M467" s="4"/>
      <c r="R467" s="4"/>
      <c r="W467" s="4"/>
      <c r="AB467" s="4"/>
      <c r="AG467" s="4"/>
      <c r="AL467" s="4"/>
      <c r="AQ467" s="4"/>
      <c r="AV467" s="4"/>
      <c r="BA467" s="4"/>
    </row>
    <row r="468" spans="8:53" s="1" customFormat="1" ht="53.45" customHeight="1">
      <c r="H468" s="4"/>
      <c r="M468" s="4"/>
      <c r="R468" s="4"/>
      <c r="W468" s="4"/>
      <c r="AB468" s="4"/>
      <c r="AG468" s="4"/>
      <c r="AL468" s="4"/>
      <c r="AQ468" s="4"/>
      <c r="AV468" s="4"/>
      <c r="BA468" s="4"/>
    </row>
    <row r="469" spans="8:53" s="1" customFormat="1" ht="53.45" customHeight="1">
      <c r="H469" s="4"/>
      <c r="M469" s="4"/>
      <c r="R469" s="4"/>
      <c r="W469" s="4"/>
      <c r="AB469" s="4"/>
      <c r="AG469" s="4"/>
      <c r="AL469" s="4"/>
      <c r="AQ469" s="4"/>
      <c r="AV469" s="4"/>
      <c r="BA469" s="4"/>
    </row>
    <row r="470" spans="8:53" s="1" customFormat="1" ht="53.45" customHeight="1">
      <c r="H470" s="4"/>
      <c r="M470" s="4"/>
      <c r="R470" s="4"/>
      <c r="W470" s="4"/>
      <c r="AB470" s="4"/>
      <c r="AG470" s="4"/>
      <c r="AL470" s="4"/>
      <c r="AQ470" s="4"/>
      <c r="AV470" s="4"/>
      <c r="BA470" s="4"/>
    </row>
    <row r="471" spans="8:53" s="1" customFormat="1" ht="53.45" customHeight="1">
      <c r="H471" s="4"/>
      <c r="M471" s="4"/>
      <c r="R471" s="4"/>
      <c r="W471" s="4"/>
      <c r="AB471" s="4"/>
      <c r="AG471" s="4"/>
      <c r="AL471" s="4"/>
      <c r="AQ471" s="4"/>
      <c r="AV471" s="4"/>
      <c r="BA471" s="4"/>
    </row>
    <row r="472" spans="8:53" s="1" customFormat="1" ht="53.45" customHeight="1">
      <c r="H472" s="4"/>
      <c r="M472" s="4"/>
      <c r="R472" s="4"/>
      <c r="W472" s="4"/>
      <c r="AB472" s="4"/>
      <c r="AG472" s="4"/>
      <c r="AL472" s="4"/>
      <c r="AQ472" s="4"/>
      <c r="AV472" s="4"/>
      <c r="BA472" s="4"/>
    </row>
    <row r="473" spans="8:53" s="1" customFormat="1" ht="53.45" customHeight="1">
      <c r="H473" s="4"/>
      <c r="M473" s="4"/>
      <c r="R473" s="4"/>
      <c r="W473" s="4"/>
      <c r="AB473" s="4"/>
      <c r="AG473" s="4"/>
      <c r="AL473" s="4"/>
      <c r="AQ473" s="4"/>
      <c r="AV473" s="4"/>
      <c r="BA473" s="4"/>
    </row>
    <row r="474" spans="8:53" s="1" customFormat="1" ht="53.45" customHeight="1">
      <c r="H474" s="4"/>
      <c r="M474" s="4"/>
      <c r="R474" s="4"/>
      <c r="W474" s="4"/>
      <c r="AB474" s="4"/>
      <c r="AG474" s="4"/>
      <c r="AL474" s="4"/>
      <c r="AQ474" s="4"/>
      <c r="AV474" s="4"/>
      <c r="BA474" s="4"/>
    </row>
    <row r="475" spans="8:53" s="1" customFormat="1" ht="53.45" customHeight="1">
      <c r="H475" s="4"/>
      <c r="M475" s="4"/>
      <c r="R475" s="4"/>
      <c r="W475" s="4"/>
      <c r="AB475" s="4"/>
      <c r="AG475" s="4"/>
      <c r="AL475" s="4"/>
      <c r="AQ475" s="4"/>
      <c r="AV475" s="4"/>
      <c r="BA475" s="4"/>
    </row>
    <row r="476" spans="8:53" s="1" customFormat="1" ht="53.45" customHeight="1">
      <c r="H476" s="4"/>
      <c r="M476" s="4"/>
      <c r="R476" s="4"/>
      <c r="W476" s="4"/>
      <c r="AB476" s="4"/>
      <c r="AG476" s="4"/>
      <c r="AL476" s="4"/>
      <c r="AQ476" s="4"/>
      <c r="AV476" s="4"/>
      <c r="BA476" s="4"/>
    </row>
    <row r="477" spans="8:53" s="1" customFormat="1" ht="53.45" customHeight="1">
      <c r="H477" s="4"/>
      <c r="M477" s="4"/>
      <c r="R477" s="4"/>
      <c r="W477" s="4"/>
      <c r="AB477" s="4"/>
      <c r="AG477" s="4"/>
      <c r="AL477" s="4"/>
      <c r="AQ477" s="4"/>
      <c r="AV477" s="4"/>
      <c r="BA477" s="4"/>
    </row>
    <row r="478" spans="8:53" s="1" customFormat="1" ht="53.45" customHeight="1">
      <c r="H478" s="4"/>
      <c r="M478" s="4"/>
      <c r="R478" s="4"/>
      <c r="W478" s="4"/>
      <c r="AB478" s="4"/>
      <c r="AG478" s="4"/>
      <c r="AL478" s="4"/>
      <c r="AQ478" s="4"/>
      <c r="AV478" s="4"/>
      <c r="BA478" s="4"/>
    </row>
    <row r="479" spans="8:53" s="1" customFormat="1" ht="53.45" customHeight="1">
      <c r="H479" s="4"/>
      <c r="M479" s="4"/>
      <c r="R479" s="4"/>
      <c r="W479" s="4"/>
      <c r="AB479" s="4"/>
      <c r="AG479" s="4"/>
      <c r="AL479" s="4"/>
      <c r="AQ479" s="4"/>
      <c r="AV479" s="4"/>
      <c r="BA479" s="4"/>
    </row>
    <row r="480" spans="8:53" s="1" customFormat="1" ht="53.45" customHeight="1">
      <c r="H480" s="4"/>
      <c r="M480" s="4"/>
      <c r="R480" s="4"/>
      <c r="W480" s="4"/>
      <c r="AB480" s="4"/>
      <c r="AG480" s="4"/>
      <c r="AL480" s="4"/>
      <c r="AQ480" s="4"/>
      <c r="AV480" s="4"/>
      <c r="BA480" s="4"/>
    </row>
    <row r="481" spans="8:53" s="1" customFormat="1" ht="53.45" customHeight="1">
      <c r="H481" s="4"/>
      <c r="M481" s="4"/>
      <c r="R481" s="4"/>
      <c r="W481" s="4"/>
      <c r="AB481" s="4"/>
      <c r="AG481" s="4"/>
      <c r="AL481" s="4"/>
      <c r="AQ481" s="4"/>
      <c r="AV481" s="4"/>
      <c r="BA481" s="4"/>
    </row>
  </sheetData>
  <mergeCells count="23">
    <mergeCell ref="AE3:AF3"/>
    <mergeCell ref="H1:AF1"/>
    <mergeCell ref="H2:K2"/>
    <mergeCell ref="M2:P2"/>
    <mergeCell ref="R2:T2"/>
    <mergeCell ref="V2:X2"/>
    <mergeCell ref="Z2:AB2"/>
    <mergeCell ref="AE2:AF2"/>
    <mergeCell ref="H3:K3"/>
    <mergeCell ref="M3:P3"/>
    <mergeCell ref="R3:T3"/>
    <mergeCell ref="V3:X3"/>
    <mergeCell ref="Z3:AB3"/>
    <mergeCell ref="AL16:AL17"/>
    <mergeCell ref="AQ16:AQ17"/>
    <mergeCell ref="AV16:AV17"/>
    <mergeCell ref="BA16:BA17"/>
    <mergeCell ref="H16:H17"/>
    <mergeCell ref="M16:M17"/>
    <mergeCell ref="R16:R17"/>
    <mergeCell ref="W16:W17"/>
    <mergeCell ref="AB16:AB17"/>
    <mergeCell ref="AG16:AG17"/>
  </mergeCells>
  <printOptions horizontalCentered="1" verticalCentered="1"/>
  <pageMargins left="0" right="0" top="0" bottom="0" header="0" footer="0"/>
  <pageSetup paperSize="9" scale="2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481"/>
  <sheetViews>
    <sheetView view="pageBreakPreview" zoomScale="40" zoomScaleNormal="20" zoomScaleSheetLayoutView="40" workbookViewId="0">
      <selection activeCell="V4" sqref="V4"/>
    </sheetView>
  </sheetViews>
  <sheetFormatPr defaultRowHeight="15"/>
  <cols>
    <col min="1" max="1" width="2.42578125" customWidth="1"/>
    <col min="2" max="2" width="36.42578125" customWidth="1"/>
    <col min="4" max="4" width="8.85546875" customWidth="1"/>
    <col min="7" max="7" width="2.42578125" customWidth="1"/>
    <col min="8" max="8" width="6.5703125" style="15" bestFit="1" customWidth="1"/>
    <col min="9" max="9" width="60.7109375" customWidth="1"/>
    <col min="10" max="12" width="11.28515625" customWidth="1"/>
    <col min="13" max="13" width="6.5703125" style="15" bestFit="1" customWidth="1"/>
    <col min="14" max="14" width="60.7109375" customWidth="1"/>
    <col min="15" max="17" width="11.28515625" customWidth="1"/>
    <col min="18" max="18" width="6.5703125" style="15" bestFit="1" customWidth="1"/>
    <col min="19" max="19" width="60.7109375" customWidth="1"/>
    <col min="20" max="22" width="11.28515625" customWidth="1"/>
    <col min="23" max="23" width="6.5703125" style="15" bestFit="1" customWidth="1"/>
    <col min="24" max="24" width="60.7109375" customWidth="1"/>
    <col min="25" max="27" width="11.28515625" customWidth="1"/>
    <col min="28" max="28" width="6.5703125" style="15" bestFit="1" customWidth="1"/>
    <col min="29" max="29" width="60.7109375" customWidth="1"/>
    <col min="30" max="32" width="11.28515625" customWidth="1"/>
    <col min="33" max="33" width="6.5703125" style="15" bestFit="1" customWidth="1"/>
    <col min="34" max="34" width="60.7109375" customWidth="1"/>
    <col min="35" max="37" width="11.28515625" customWidth="1"/>
    <col min="38" max="38" width="5.7109375" style="15" customWidth="1"/>
    <col min="39" max="39" width="60.7109375" customWidth="1"/>
    <col min="40" max="42" width="11.28515625" customWidth="1"/>
    <col min="43" max="43" width="5.7109375" style="15" customWidth="1"/>
    <col min="44" max="44" width="60.7109375" customWidth="1"/>
    <col min="45" max="47" width="11.28515625" customWidth="1"/>
    <col min="48" max="48" width="5.7109375" style="15" customWidth="1"/>
    <col min="49" max="49" width="60.7109375" customWidth="1"/>
    <col min="50" max="52" width="11.28515625" customWidth="1"/>
    <col min="53" max="53" width="5.7109375" style="15" customWidth="1"/>
    <col min="54" max="54" width="60.7109375" customWidth="1"/>
    <col min="55" max="57" width="11.28515625" customWidth="1"/>
  </cols>
  <sheetData>
    <row r="1" spans="2:57" s="1" customFormat="1" ht="47.45" customHeight="1">
      <c r="C1" s="16"/>
      <c r="D1" s="16"/>
      <c r="E1" s="16"/>
      <c r="F1" s="16"/>
      <c r="G1" s="16"/>
      <c r="H1" s="46" t="str">
        <f>'YAMAZUMI цеха'!H1</f>
        <v>YAMAZUMI ""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</row>
    <row r="2" spans="2:57" s="1" customFormat="1" ht="51.6" customHeight="1">
      <c r="H2" s="47" t="s">
        <v>12</v>
      </c>
      <c r="I2" s="47"/>
      <c r="J2" s="47"/>
      <c r="K2" s="47"/>
      <c r="L2" s="2"/>
      <c r="M2" s="47" t="s">
        <v>6</v>
      </c>
      <c r="N2" s="47"/>
      <c r="O2" s="47"/>
      <c r="P2" s="47"/>
      <c r="Q2" s="2"/>
      <c r="R2" s="47" t="s">
        <v>7</v>
      </c>
      <c r="S2" s="47"/>
      <c r="T2" s="47"/>
      <c r="U2" s="2"/>
      <c r="V2" s="47" t="s">
        <v>0</v>
      </c>
      <c r="W2" s="47"/>
      <c r="X2" s="47"/>
      <c r="Y2" s="2"/>
      <c r="Z2" s="47" t="s">
        <v>13</v>
      </c>
      <c r="AA2" s="47"/>
      <c r="AB2" s="47"/>
      <c r="AC2" s="30">
        <f>MAX(E5:E14)*1.1</f>
        <v>0</v>
      </c>
      <c r="AE2" s="41" t="s">
        <v>30</v>
      </c>
      <c r="AF2" s="41"/>
      <c r="AG2" s="4"/>
      <c r="AL2" s="4"/>
      <c r="AQ2" s="4"/>
      <c r="AV2" s="4"/>
      <c r="BA2" s="4"/>
    </row>
    <row r="3" spans="2:57" s="1" customFormat="1" ht="51.6" customHeight="1">
      <c r="H3" s="47">
        <f>COUNTA(I18:I153,N18:N153,S18:S153,X18:X153,AC18:AC153)</f>
        <v>0</v>
      </c>
      <c r="I3" s="47"/>
      <c r="J3" s="47"/>
      <c r="K3" s="47"/>
      <c r="L3" s="2"/>
      <c r="M3" s="47">
        <f>COUNTA(I18,N18,S18,X18,AC18)</f>
        <v>0</v>
      </c>
      <c r="N3" s="47"/>
      <c r="O3" s="47"/>
      <c r="P3" s="47"/>
      <c r="Q3" s="2"/>
      <c r="R3" s="48">
        <f>'YAMAZUMI цеха'!R3</f>
        <v>0</v>
      </c>
      <c r="S3" s="47"/>
      <c r="T3" s="47"/>
      <c r="U3" s="2"/>
      <c r="V3" s="47"/>
      <c r="W3" s="47"/>
      <c r="X3" s="47"/>
      <c r="Y3" s="2"/>
      <c r="Z3" s="47" t="s">
        <v>8</v>
      </c>
      <c r="AA3" s="47"/>
      <c r="AB3" s="47"/>
      <c r="AC3" s="30">
        <f>MAX(E5:E14)</f>
        <v>0</v>
      </c>
      <c r="AE3" s="42" t="e">
        <f>26700/AC2</f>
        <v>#DIV/0!</v>
      </c>
      <c r="AF3" s="42"/>
      <c r="AG3" s="4"/>
      <c r="AL3" s="4"/>
      <c r="AQ3" s="4"/>
      <c r="AV3" s="4"/>
      <c r="BA3" s="4"/>
    </row>
    <row r="4" spans="2:57" s="1" customFormat="1" ht="81.599999999999994" customHeight="1">
      <c r="B4" s="28" t="s">
        <v>9</v>
      </c>
      <c r="C4" s="6" t="s">
        <v>2</v>
      </c>
      <c r="D4" s="6" t="s">
        <v>3</v>
      </c>
      <c r="E4" s="6" t="s">
        <v>10</v>
      </c>
      <c r="F4" s="6" t="s">
        <v>5</v>
      </c>
      <c r="H4" s="4"/>
      <c r="M4" s="4"/>
      <c r="R4" s="4"/>
      <c r="W4" s="4"/>
      <c r="AB4" s="4"/>
      <c r="AG4" s="4"/>
      <c r="AL4" s="4"/>
      <c r="AQ4" s="4"/>
      <c r="AV4" s="4"/>
      <c r="BA4" s="4"/>
    </row>
    <row r="5" spans="2:57" s="1" customFormat="1" ht="51.6" customHeight="1">
      <c r="B5" s="7" t="s">
        <v>20</v>
      </c>
      <c r="C5" s="30">
        <f>J17</f>
        <v>0</v>
      </c>
      <c r="D5" s="30">
        <f>K17</f>
        <v>0</v>
      </c>
      <c r="E5" s="30">
        <f>L17</f>
        <v>0</v>
      </c>
      <c r="F5" s="30">
        <f>AC2</f>
        <v>0</v>
      </c>
      <c r="H5" s="4"/>
      <c r="M5" s="4"/>
      <c r="R5" s="4"/>
      <c r="W5" s="4"/>
      <c r="AB5" s="4"/>
      <c r="AG5" s="4"/>
      <c r="AL5" s="4"/>
      <c r="AQ5" s="4"/>
      <c r="AV5" s="4"/>
      <c r="BA5" s="4"/>
    </row>
    <row r="6" spans="2:57" s="1" customFormat="1" ht="51.6" customHeight="1">
      <c r="B6" s="7" t="s">
        <v>21</v>
      </c>
      <c r="C6" s="30">
        <f>O17</f>
        <v>0</v>
      </c>
      <c r="D6" s="30">
        <f>P17</f>
        <v>0</v>
      </c>
      <c r="E6" s="30">
        <f>Q17</f>
        <v>0</v>
      </c>
      <c r="F6" s="30">
        <f>AC2</f>
        <v>0</v>
      </c>
      <c r="H6" s="4"/>
      <c r="M6" s="4"/>
      <c r="R6" s="4"/>
      <c r="W6" s="4"/>
      <c r="AB6" s="4"/>
      <c r="AG6" s="4"/>
      <c r="AL6" s="4"/>
      <c r="AQ6" s="4"/>
      <c r="AV6" s="4"/>
      <c r="BA6" s="4"/>
    </row>
    <row r="7" spans="2:57" s="1" customFormat="1" ht="51.6" customHeight="1">
      <c r="B7" s="7" t="s">
        <v>22</v>
      </c>
      <c r="C7" s="30">
        <f>T17</f>
        <v>0</v>
      </c>
      <c r="D7" s="30">
        <f>U17</f>
        <v>0</v>
      </c>
      <c r="E7" s="30">
        <f>V17</f>
        <v>0</v>
      </c>
      <c r="F7" s="30">
        <f>AC2</f>
        <v>0</v>
      </c>
      <c r="H7" s="4"/>
      <c r="M7" s="4"/>
      <c r="R7" s="4"/>
      <c r="W7" s="4"/>
      <c r="AB7" s="4"/>
      <c r="AG7" s="4"/>
      <c r="AL7" s="4"/>
      <c r="AQ7" s="4"/>
      <c r="AV7" s="4"/>
      <c r="BA7" s="4"/>
    </row>
    <row r="8" spans="2:57" s="1" customFormat="1" ht="51.6" customHeight="1">
      <c r="B8" s="7" t="s">
        <v>23</v>
      </c>
      <c r="C8" s="30">
        <f>Y17</f>
        <v>0</v>
      </c>
      <c r="D8" s="30">
        <f>Z17</f>
        <v>0</v>
      </c>
      <c r="E8" s="30">
        <f>AA17</f>
        <v>0</v>
      </c>
      <c r="F8" s="30">
        <f>AC2</f>
        <v>0</v>
      </c>
      <c r="H8" s="4"/>
      <c r="M8" s="4"/>
      <c r="R8" s="4"/>
      <c r="W8" s="4"/>
      <c r="AB8" s="4"/>
      <c r="AG8" s="4"/>
      <c r="AL8" s="4"/>
      <c r="AQ8" s="4"/>
      <c r="AV8" s="4"/>
      <c r="BA8" s="4"/>
    </row>
    <row r="9" spans="2:57" s="1" customFormat="1" ht="51.6" customHeight="1">
      <c r="B9" s="7" t="s">
        <v>24</v>
      </c>
      <c r="C9" s="30">
        <f>AD17</f>
        <v>0</v>
      </c>
      <c r="D9" s="30">
        <f>AE17</f>
        <v>0</v>
      </c>
      <c r="E9" s="30">
        <f>AF17</f>
        <v>0</v>
      </c>
      <c r="F9" s="30">
        <f>AC2</f>
        <v>0</v>
      </c>
      <c r="H9" s="4"/>
      <c r="M9" s="4"/>
      <c r="R9" s="4"/>
      <c r="W9" s="4"/>
      <c r="AB9" s="4"/>
      <c r="AG9" s="4"/>
      <c r="AL9" s="4"/>
      <c r="AQ9" s="4"/>
      <c r="AV9" s="4"/>
      <c r="BA9" s="4"/>
    </row>
    <row r="10" spans="2:57" s="1" customFormat="1" ht="51.6" customHeight="1">
      <c r="B10" s="7" t="s">
        <v>25</v>
      </c>
      <c r="C10" s="30">
        <f>AI17</f>
        <v>0</v>
      </c>
      <c r="D10" s="30">
        <f>AJ17</f>
        <v>0</v>
      </c>
      <c r="E10" s="30">
        <f>AK17</f>
        <v>0</v>
      </c>
      <c r="F10" s="30">
        <f>AC2</f>
        <v>0</v>
      </c>
      <c r="H10" s="4"/>
      <c r="M10" s="4"/>
      <c r="R10" s="4"/>
      <c r="W10" s="4"/>
      <c r="AB10" s="4"/>
      <c r="AG10" s="4"/>
      <c r="AL10" s="4"/>
      <c r="AQ10" s="4"/>
      <c r="AV10" s="4"/>
      <c r="BA10" s="4"/>
    </row>
    <row r="11" spans="2:57" s="1" customFormat="1" ht="51.6" customHeight="1">
      <c r="B11" s="7" t="s">
        <v>26</v>
      </c>
      <c r="C11" s="30">
        <f>AN17</f>
        <v>0</v>
      </c>
      <c r="D11" s="30">
        <f>AO17</f>
        <v>0</v>
      </c>
      <c r="E11" s="30">
        <f>AP17</f>
        <v>0</v>
      </c>
      <c r="F11" s="30">
        <f>AC2</f>
        <v>0</v>
      </c>
      <c r="H11" s="4"/>
      <c r="M11" s="4"/>
      <c r="R11" s="4"/>
      <c r="W11" s="4"/>
      <c r="AB11" s="4"/>
      <c r="AG11" s="4"/>
      <c r="AL11" s="4"/>
      <c r="AQ11" s="4"/>
      <c r="AV11" s="4"/>
      <c r="BA11" s="4"/>
    </row>
    <row r="12" spans="2:57" s="1" customFormat="1" ht="51.6" customHeight="1">
      <c r="B12" s="7" t="s">
        <v>27</v>
      </c>
      <c r="C12" s="30">
        <f>AS17</f>
        <v>0</v>
      </c>
      <c r="D12" s="30">
        <f>AT17</f>
        <v>0</v>
      </c>
      <c r="E12" s="30">
        <f>AU17</f>
        <v>0</v>
      </c>
      <c r="F12" s="30">
        <f>AC2</f>
        <v>0</v>
      </c>
      <c r="H12" s="4"/>
      <c r="M12" s="4"/>
      <c r="R12" s="4"/>
      <c r="W12" s="4"/>
      <c r="AB12" s="4"/>
      <c r="AG12" s="4"/>
      <c r="AL12" s="4"/>
      <c r="AQ12" s="4"/>
      <c r="AV12" s="4"/>
      <c r="BA12" s="4"/>
    </row>
    <row r="13" spans="2:57" s="1" customFormat="1" ht="51.6" customHeight="1">
      <c r="B13" s="7" t="s">
        <v>28</v>
      </c>
      <c r="C13" s="30">
        <f>AX17</f>
        <v>0</v>
      </c>
      <c r="D13" s="30">
        <f>AY17</f>
        <v>0</v>
      </c>
      <c r="E13" s="30">
        <f>AZ17</f>
        <v>0</v>
      </c>
      <c r="F13" s="30">
        <f>AC2</f>
        <v>0</v>
      </c>
      <c r="H13" s="4"/>
      <c r="M13" s="4"/>
      <c r="R13" s="4"/>
      <c r="W13" s="4"/>
      <c r="AB13" s="4"/>
      <c r="AG13" s="4"/>
      <c r="AL13" s="4"/>
      <c r="AQ13" s="4"/>
      <c r="AV13" s="4"/>
      <c r="BA13" s="4"/>
    </row>
    <row r="14" spans="2:57" s="1" customFormat="1" ht="51.6" customHeight="1">
      <c r="B14" s="7" t="s">
        <v>29</v>
      </c>
      <c r="C14" s="30">
        <f>BC17</f>
        <v>0</v>
      </c>
      <c r="D14" s="30">
        <f>BD17</f>
        <v>0</v>
      </c>
      <c r="E14" s="30">
        <f>BE17</f>
        <v>0</v>
      </c>
      <c r="F14" s="30">
        <f>AC2</f>
        <v>0</v>
      </c>
      <c r="H14" s="4"/>
      <c r="M14" s="4"/>
      <c r="R14" s="4"/>
      <c r="W14" s="4"/>
      <c r="AB14" s="4"/>
      <c r="AG14" s="4"/>
      <c r="AL14" s="4"/>
      <c r="AQ14" s="4"/>
      <c r="AV14" s="4"/>
      <c r="BA14" s="4"/>
    </row>
    <row r="15" spans="2:57" s="1" customFormat="1" ht="15.75">
      <c r="H15" s="4"/>
      <c r="M15" s="4"/>
      <c r="R15" s="4"/>
      <c r="W15" s="4"/>
      <c r="AB15" s="4"/>
      <c r="AG15" s="4"/>
      <c r="AL15" s="4"/>
      <c r="AQ15" s="4"/>
      <c r="AV15" s="4"/>
      <c r="BA15" s="4"/>
    </row>
    <row r="16" spans="2:57" s="2" customFormat="1" ht="94.15" customHeight="1">
      <c r="H16" s="43" t="s">
        <v>1</v>
      </c>
      <c r="I16" s="30" t="s">
        <v>20</v>
      </c>
      <c r="J16" s="8" t="s">
        <v>2</v>
      </c>
      <c r="K16" s="8" t="s">
        <v>3</v>
      </c>
      <c r="L16" s="8" t="s">
        <v>10</v>
      </c>
      <c r="M16" s="43" t="s">
        <v>1</v>
      </c>
      <c r="N16" s="30" t="s">
        <v>21</v>
      </c>
      <c r="O16" s="8" t="s">
        <v>2</v>
      </c>
      <c r="P16" s="8" t="s">
        <v>3</v>
      </c>
      <c r="Q16" s="8" t="s">
        <v>10</v>
      </c>
      <c r="R16" s="43" t="s">
        <v>1</v>
      </c>
      <c r="S16" s="30" t="s">
        <v>22</v>
      </c>
      <c r="T16" s="8" t="s">
        <v>2</v>
      </c>
      <c r="U16" s="8" t="s">
        <v>3</v>
      </c>
      <c r="V16" s="8" t="s">
        <v>10</v>
      </c>
      <c r="W16" s="43" t="s">
        <v>1</v>
      </c>
      <c r="X16" s="30" t="s">
        <v>23</v>
      </c>
      <c r="Y16" s="8" t="s">
        <v>2</v>
      </c>
      <c r="Z16" s="8" t="s">
        <v>3</v>
      </c>
      <c r="AA16" s="8" t="s">
        <v>10</v>
      </c>
      <c r="AB16" s="43" t="s">
        <v>1</v>
      </c>
      <c r="AC16" s="30" t="s">
        <v>24</v>
      </c>
      <c r="AD16" s="8" t="s">
        <v>2</v>
      </c>
      <c r="AE16" s="8" t="s">
        <v>3</v>
      </c>
      <c r="AF16" s="8" t="s">
        <v>10</v>
      </c>
      <c r="AG16" s="43" t="s">
        <v>1</v>
      </c>
      <c r="AH16" s="30" t="s">
        <v>25</v>
      </c>
      <c r="AI16" s="8" t="s">
        <v>2</v>
      </c>
      <c r="AJ16" s="8" t="s">
        <v>3</v>
      </c>
      <c r="AK16" s="8" t="s">
        <v>10</v>
      </c>
      <c r="AL16" s="43" t="s">
        <v>1</v>
      </c>
      <c r="AM16" s="30" t="s">
        <v>26</v>
      </c>
      <c r="AN16" s="8" t="s">
        <v>2</v>
      </c>
      <c r="AO16" s="8" t="s">
        <v>3</v>
      </c>
      <c r="AP16" s="8" t="s">
        <v>10</v>
      </c>
      <c r="AQ16" s="43" t="s">
        <v>1</v>
      </c>
      <c r="AR16" s="30" t="s">
        <v>27</v>
      </c>
      <c r="AS16" s="8" t="s">
        <v>2</v>
      </c>
      <c r="AT16" s="8" t="s">
        <v>3</v>
      </c>
      <c r="AU16" s="8" t="s">
        <v>10</v>
      </c>
      <c r="AV16" s="43" t="s">
        <v>1</v>
      </c>
      <c r="AW16" s="30" t="s">
        <v>28</v>
      </c>
      <c r="AX16" s="8" t="s">
        <v>2</v>
      </c>
      <c r="AY16" s="8" t="s">
        <v>3</v>
      </c>
      <c r="AZ16" s="8" t="s">
        <v>10</v>
      </c>
      <c r="BA16" s="43" t="s">
        <v>1</v>
      </c>
      <c r="BB16" s="30" t="s">
        <v>29</v>
      </c>
      <c r="BC16" s="8" t="s">
        <v>2</v>
      </c>
      <c r="BD16" s="8" t="s">
        <v>3</v>
      </c>
      <c r="BE16" s="8" t="s">
        <v>10</v>
      </c>
    </row>
    <row r="17" spans="1:57" s="2" customFormat="1" ht="63.6" customHeight="1">
      <c r="H17" s="43"/>
      <c r="I17" s="28" t="s">
        <v>4</v>
      </c>
      <c r="J17" s="9">
        <f>SUM(J18:J73)</f>
        <v>0</v>
      </c>
      <c r="K17" s="9">
        <f>SUM(K18:K73)</f>
        <v>0</v>
      </c>
      <c r="L17" s="9">
        <f>SUM(L18:L73)</f>
        <v>0</v>
      </c>
      <c r="M17" s="43"/>
      <c r="N17" s="28" t="s">
        <v>4</v>
      </c>
      <c r="O17" s="9">
        <f>SUM(O18:O73)</f>
        <v>0</v>
      </c>
      <c r="P17" s="9">
        <f>SUM(P18:P73)</f>
        <v>0</v>
      </c>
      <c r="Q17" s="9">
        <f>SUM(Q18:Q73)</f>
        <v>0</v>
      </c>
      <c r="R17" s="43"/>
      <c r="S17" s="28" t="s">
        <v>4</v>
      </c>
      <c r="T17" s="9">
        <f>SUM(T18:T73)</f>
        <v>0</v>
      </c>
      <c r="U17" s="9">
        <f>SUM(U18:U73)</f>
        <v>0</v>
      </c>
      <c r="V17" s="9">
        <f>SUM(V18:V73)</f>
        <v>0</v>
      </c>
      <c r="W17" s="43"/>
      <c r="X17" s="28" t="s">
        <v>4</v>
      </c>
      <c r="Y17" s="9">
        <f>SUM(Y18:Y73)</f>
        <v>0</v>
      </c>
      <c r="Z17" s="9">
        <f>SUM(Z18:Z73)</f>
        <v>0</v>
      </c>
      <c r="AA17" s="9">
        <f>SUM(AA18:AA73)</f>
        <v>0</v>
      </c>
      <c r="AB17" s="43"/>
      <c r="AC17" s="28" t="s">
        <v>4</v>
      </c>
      <c r="AD17" s="9">
        <f>SUM(AD18:AD73)</f>
        <v>0</v>
      </c>
      <c r="AE17" s="9">
        <f>SUM(AE18:AE73)</f>
        <v>0</v>
      </c>
      <c r="AF17" s="9">
        <f>SUM(AF18:AF73)</f>
        <v>0</v>
      </c>
      <c r="AG17" s="43"/>
      <c r="AH17" s="28" t="s">
        <v>4</v>
      </c>
      <c r="AI17" s="9">
        <f>SUM(AI18:AI73)</f>
        <v>0</v>
      </c>
      <c r="AJ17" s="9">
        <f>SUM(AJ18:AJ73)</f>
        <v>0</v>
      </c>
      <c r="AK17" s="9">
        <f>SUM(AK18:AK73)</f>
        <v>0</v>
      </c>
      <c r="AL17" s="43"/>
      <c r="AM17" s="28" t="s">
        <v>4</v>
      </c>
      <c r="AN17" s="9">
        <f>SUM(AN18:AN73)</f>
        <v>0</v>
      </c>
      <c r="AO17" s="9">
        <f>SUM(AO18:AO73)</f>
        <v>0</v>
      </c>
      <c r="AP17" s="9">
        <f>SUM(AP18:AP73)</f>
        <v>0</v>
      </c>
      <c r="AQ17" s="43"/>
      <c r="AR17" s="28" t="s">
        <v>4</v>
      </c>
      <c r="AS17" s="9">
        <f>SUM(AS18:AS73)</f>
        <v>0</v>
      </c>
      <c r="AT17" s="9">
        <f>SUM(AT18:AT73)</f>
        <v>0</v>
      </c>
      <c r="AU17" s="9">
        <f>SUM(AU18:AU73)</f>
        <v>0</v>
      </c>
      <c r="AV17" s="43"/>
      <c r="AW17" s="28" t="s">
        <v>4</v>
      </c>
      <c r="AX17" s="9">
        <f>SUM(AX18:AX73)</f>
        <v>0</v>
      </c>
      <c r="AY17" s="9">
        <f>SUM(AY18:AY73)</f>
        <v>0</v>
      </c>
      <c r="AZ17" s="9">
        <f>SUM(AZ18:AZ73)</f>
        <v>0</v>
      </c>
      <c r="BA17" s="43"/>
      <c r="BB17" s="28" t="s">
        <v>4</v>
      </c>
      <c r="BC17" s="9">
        <f>SUM(BC18:BC73)</f>
        <v>0</v>
      </c>
      <c r="BD17" s="9">
        <f>SUM(BD18:BD73)</f>
        <v>0</v>
      </c>
      <c r="BE17" s="9">
        <f>SUM(BE18:BE73)</f>
        <v>0</v>
      </c>
    </row>
    <row r="18" spans="1:57" s="2" customFormat="1" ht="90" customHeight="1">
      <c r="H18" s="29">
        <v>1</v>
      </c>
      <c r="I18" s="11"/>
      <c r="J18" s="12"/>
      <c r="K18" s="12"/>
      <c r="L18" s="12">
        <f>SUM(J18:K18)</f>
        <v>0</v>
      </c>
      <c r="M18" s="29">
        <v>1</v>
      </c>
      <c r="N18" s="11"/>
      <c r="O18" s="12"/>
      <c r="P18" s="12"/>
      <c r="Q18" s="12">
        <f>SUM(O18:P18)</f>
        <v>0</v>
      </c>
      <c r="R18" s="29">
        <v>1</v>
      </c>
      <c r="S18" s="13"/>
      <c r="T18" s="14"/>
      <c r="U18" s="14"/>
      <c r="V18" s="12">
        <f>SUM(T18:U18)</f>
        <v>0</v>
      </c>
      <c r="W18" s="29">
        <v>1</v>
      </c>
      <c r="X18" s="13"/>
      <c r="Y18" s="14"/>
      <c r="Z18" s="14"/>
      <c r="AA18" s="12">
        <f>SUM(Y18:Z18)</f>
        <v>0</v>
      </c>
      <c r="AB18" s="29">
        <v>1</v>
      </c>
      <c r="AC18" s="11"/>
      <c r="AD18" s="12"/>
      <c r="AE18" s="12"/>
      <c r="AF18" s="12">
        <f>SUM(AD18:AE18)</f>
        <v>0</v>
      </c>
      <c r="AG18" s="29">
        <v>1</v>
      </c>
      <c r="AH18" s="11"/>
      <c r="AI18" s="12"/>
      <c r="AJ18" s="12"/>
      <c r="AK18" s="12">
        <f>SUM(AI18:AJ18)</f>
        <v>0</v>
      </c>
      <c r="AL18" s="29">
        <v>1</v>
      </c>
      <c r="AM18" s="11"/>
      <c r="AN18" s="12"/>
      <c r="AO18" s="12"/>
      <c r="AP18" s="12">
        <f>SUM(AN18:AO18)</f>
        <v>0</v>
      </c>
      <c r="AQ18" s="29">
        <v>1</v>
      </c>
      <c r="AR18" s="11"/>
      <c r="AS18" s="12"/>
      <c r="AT18" s="12"/>
      <c r="AU18" s="12">
        <f>SUM(AS18:AT18)</f>
        <v>0</v>
      </c>
      <c r="AV18" s="29">
        <v>1</v>
      </c>
      <c r="AW18" s="11"/>
      <c r="AX18" s="12"/>
      <c r="AY18" s="12"/>
      <c r="AZ18" s="12">
        <f>SUM(AX18:AY18)</f>
        <v>0</v>
      </c>
      <c r="BA18" s="29">
        <v>1</v>
      </c>
      <c r="BB18" s="11"/>
      <c r="BC18" s="12"/>
      <c r="BD18" s="12"/>
      <c r="BE18" s="12">
        <f>SUM(BC18:BD18)</f>
        <v>0</v>
      </c>
    </row>
    <row r="19" spans="1:57" s="2" customFormat="1" ht="90" customHeight="1">
      <c r="H19" s="28">
        <v>2</v>
      </c>
      <c r="I19" s="13"/>
      <c r="J19" s="14"/>
      <c r="K19" s="14"/>
      <c r="L19" s="14">
        <f t="shared" ref="L19:L73" si="0">SUM(J19:K19)</f>
        <v>0</v>
      </c>
      <c r="M19" s="28">
        <v>2</v>
      </c>
      <c r="N19" s="13"/>
      <c r="O19" s="14"/>
      <c r="P19" s="14"/>
      <c r="Q19" s="14">
        <f t="shared" ref="Q19:Q73" si="1">SUM(O19:P19)</f>
        <v>0</v>
      </c>
      <c r="R19" s="28">
        <v>2</v>
      </c>
      <c r="S19" s="11"/>
      <c r="T19" s="12"/>
      <c r="U19" s="12"/>
      <c r="V19" s="14">
        <f t="shared" ref="V19:V73" si="2">SUM(T19:U19)</f>
        <v>0</v>
      </c>
      <c r="W19" s="28">
        <v>2</v>
      </c>
      <c r="X19" s="11"/>
      <c r="Y19" s="12"/>
      <c r="Z19" s="12"/>
      <c r="AA19" s="14">
        <f t="shared" ref="AA19:AA73" si="3">SUM(Y19:Z19)</f>
        <v>0</v>
      </c>
      <c r="AB19" s="28">
        <v>2</v>
      </c>
      <c r="AC19" s="13"/>
      <c r="AD19" s="14"/>
      <c r="AE19" s="14"/>
      <c r="AF19" s="14">
        <f t="shared" ref="AF19:AF73" si="4">SUM(AD19:AE19)</f>
        <v>0</v>
      </c>
      <c r="AG19" s="28">
        <v>2</v>
      </c>
      <c r="AH19" s="13"/>
      <c r="AI19" s="14"/>
      <c r="AJ19" s="14"/>
      <c r="AK19" s="14">
        <f t="shared" ref="AK19:AK73" si="5">SUM(AI19:AJ19)</f>
        <v>0</v>
      </c>
      <c r="AL19" s="28">
        <v>2</v>
      </c>
      <c r="AM19" s="13"/>
      <c r="AN19" s="14"/>
      <c r="AO19" s="14"/>
      <c r="AP19" s="14">
        <f t="shared" ref="AP19:AP73" si="6">SUM(AN19:AO19)</f>
        <v>0</v>
      </c>
      <c r="AQ19" s="28">
        <v>2</v>
      </c>
      <c r="AR19" s="13"/>
      <c r="AS19" s="14"/>
      <c r="AT19" s="14"/>
      <c r="AU19" s="14">
        <f t="shared" ref="AU19:AU73" si="7">SUM(AS19:AT19)</f>
        <v>0</v>
      </c>
      <c r="AV19" s="28">
        <v>2</v>
      </c>
      <c r="AW19" s="13"/>
      <c r="AX19" s="14"/>
      <c r="AY19" s="14"/>
      <c r="AZ19" s="14">
        <f t="shared" ref="AZ19:AZ73" si="8">SUM(AX19:AY19)</f>
        <v>0</v>
      </c>
      <c r="BA19" s="28">
        <v>2</v>
      </c>
      <c r="BB19" s="13"/>
      <c r="BC19" s="14"/>
      <c r="BD19" s="14"/>
      <c r="BE19" s="14">
        <f t="shared" ref="BE19:BE73" si="9">SUM(BC19:BD19)</f>
        <v>0</v>
      </c>
    </row>
    <row r="20" spans="1:57" s="2" customFormat="1" ht="90" customHeight="1">
      <c r="A20" s="18"/>
      <c r="H20" s="28">
        <v>3</v>
      </c>
      <c r="I20" s="13"/>
      <c r="J20" s="14"/>
      <c r="K20" s="14"/>
      <c r="L20" s="14">
        <f t="shared" si="0"/>
        <v>0</v>
      </c>
      <c r="M20" s="28">
        <v>3</v>
      </c>
      <c r="N20" s="13"/>
      <c r="O20" s="14"/>
      <c r="P20" s="14"/>
      <c r="Q20" s="14">
        <f t="shared" si="1"/>
        <v>0</v>
      </c>
      <c r="R20" s="28">
        <v>3</v>
      </c>
      <c r="S20" s="13"/>
      <c r="T20" s="14"/>
      <c r="U20" s="14"/>
      <c r="V20" s="14">
        <f t="shared" si="2"/>
        <v>0</v>
      </c>
      <c r="W20" s="28">
        <v>3</v>
      </c>
      <c r="X20" s="13"/>
      <c r="Y20" s="14"/>
      <c r="Z20" s="14"/>
      <c r="AA20" s="14">
        <f t="shared" si="3"/>
        <v>0</v>
      </c>
      <c r="AB20" s="28">
        <v>3</v>
      </c>
      <c r="AC20" s="13"/>
      <c r="AD20" s="14"/>
      <c r="AE20" s="14"/>
      <c r="AF20" s="14">
        <f t="shared" si="4"/>
        <v>0</v>
      </c>
      <c r="AG20" s="28">
        <v>3</v>
      </c>
      <c r="AH20" s="13"/>
      <c r="AI20" s="14"/>
      <c r="AJ20" s="14"/>
      <c r="AK20" s="14">
        <f t="shared" si="5"/>
        <v>0</v>
      </c>
      <c r="AL20" s="28">
        <v>3</v>
      </c>
      <c r="AM20" s="13"/>
      <c r="AN20" s="14"/>
      <c r="AO20" s="14"/>
      <c r="AP20" s="14">
        <f t="shared" si="6"/>
        <v>0</v>
      </c>
      <c r="AQ20" s="28">
        <v>3</v>
      </c>
      <c r="AR20" s="13"/>
      <c r="AS20" s="14"/>
      <c r="AT20" s="14"/>
      <c r="AU20" s="14">
        <f t="shared" si="7"/>
        <v>0</v>
      </c>
      <c r="AV20" s="28">
        <v>3</v>
      </c>
      <c r="AW20" s="13"/>
      <c r="AX20" s="14"/>
      <c r="AY20" s="14"/>
      <c r="AZ20" s="14">
        <f t="shared" si="8"/>
        <v>0</v>
      </c>
      <c r="BA20" s="28">
        <v>3</v>
      </c>
      <c r="BB20" s="13"/>
      <c r="BC20" s="14"/>
      <c r="BD20" s="14"/>
      <c r="BE20" s="14">
        <f t="shared" si="9"/>
        <v>0</v>
      </c>
    </row>
    <row r="21" spans="1:57" s="2" customFormat="1" ht="90" customHeight="1">
      <c r="H21" s="28">
        <v>4</v>
      </c>
      <c r="I21" s="13"/>
      <c r="J21" s="14"/>
      <c r="K21" s="14"/>
      <c r="L21" s="14">
        <f t="shared" si="0"/>
        <v>0</v>
      </c>
      <c r="M21" s="28">
        <v>4</v>
      </c>
      <c r="N21" s="13"/>
      <c r="O21" s="14"/>
      <c r="P21" s="14"/>
      <c r="Q21" s="14">
        <f t="shared" si="1"/>
        <v>0</v>
      </c>
      <c r="R21" s="28">
        <v>4</v>
      </c>
      <c r="S21" s="13"/>
      <c r="T21" s="14"/>
      <c r="U21" s="14"/>
      <c r="V21" s="14">
        <f t="shared" si="2"/>
        <v>0</v>
      </c>
      <c r="W21" s="28">
        <v>4</v>
      </c>
      <c r="X21" s="13"/>
      <c r="Y21" s="14"/>
      <c r="Z21" s="14"/>
      <c r="AA21" s="14">
        <f t="shared" si="3"/>
        <v>0</v>
      </c>
      <c r="AB21" s="28">
        <v>4</v>
      </c>
      <c r="AC21" s="13"/>
      <c r="AD21" s="14"/>
      <c r="AE21" s="14"/>
      <c r="AF21" s="14">
        <f t="shared" si="4"/>
        <v>0</v>
      </c>
      <c r="AG21" s="28">
        <v>4</v>
      </c>
      <c r="AH21" s="13"/>
      <c r="AI21" s="14"/>
      <c r="AJ21" s="14"/>
      <c r="AK21" s="14">
        <f t="shared" si="5"/>
        <v>0</v>
      </c>
      <c r="AL21" s="28">
        <v>4</v>
      </c>
      <c r="AM21" s="13"/>
      <c r="AN21" s="14"/>
      <c r="AO21" s="14"/>
      <c r="AP21" s="14">
        <f t="shared" si="6"/>
        <v>0</v>
      </c>
      <c r="AQ21" s="28">
        <v>4</v>
      </c>
      <c r="AR21" s="13"/>
      <c r="AS21" s="14"/>
      <c r="AT21" s="14"/>
      <c r="AU21" s="14">
        <f t="shared" si="7"/>
        <v>0</v>
      </c>
      <c r="AV21" s="28">
        <v>4</v>
      </c>
      <c r="AW21" s="13"/>
      <c r="AX21" s="14"/>
      <c r="AY21" s="14"/>
      <c r="AZ21" s="14">
        <f t="shared" si="8"/>
        <v>0</v>
      </c>
      <c r="BA21" s="28">
        <v>4</v>
      </c>
      <c r="BB21" s="13"/>
      <c r="BC21" s="14"/>
      <c r="BD21" s="14"/>
      <c r="BE21" s="14">
        <f t="shared" si="9"/>
        <v>0</v>
      </c>
    </row>
    <row r="22" spans="1:57" s="2" customFormat="1" ht="90" customHeight="1">
      <c r="H22" s="28">
        <v>5</v>
      </c>
      <c r="I22" s="13"/>
      <c r="J22" s="14"/>
      <c r="K22" s="14"/>
      <c r="L22" s="14">
        <f t="shared" si="0"/>
        <v>0</v>
      </c>
      <c r="M22" s="28">
        <v>5</v>
      </c>
      <c r="N22" s="13"/>
      <c r="O22" s="14"/>
      <c r="P22" s="14"/>
      <c r="Q22" s="14">
        <f t="shared" si="1"/>
        <v>0</v>
      </c>
      <c r="R22" s="28">
        <v>5</v>
      </c>
      <c r="S22" s="26"/>
      <c r="T22" s="14"/>
      <c r="U22" s="14"/>
      <c r="V22" s="14">
        <f t="shared" si="2"/>
        <v>0</v>
      </c>
      <c r="W22" s="28">
        <v>5</v>
      </c>
      <c r="X22" s="13"/>
      <c r="Y22" s="14"/>
      <c r="Z22" s="14"/>
      <c r="AA22" s="14">
        <f t="shared" si="3"/>
        <v>0</v>
      </c>
      <c r="AB22" s="28">
        <v>5</v>
      </c>
      <c r="AC22" s="13"/>
      <c r="AD22" s="14"/>
      <c r="AE22" s="14"/>
      <c r="AF22" s="14">
        <f t="shared" si="4"/>
        <v>0</v>
      </c>
      <c r="AG22" s="28">
        <v>5</v>
      </c>
      <c r="AH22" s="13"/>
      <c r="AI22" s="14"/>
      <c r="AJ22" s="14"/>
      <c r="AK22" s="14">
        <f t="shared" si="5"/>
        <v>0</v>
      </c>
      <c r="AL22" s="28">
        <v>5</v>
      </c>
      <c r="AM22" s="13"/>
      <c r="AN22" s="14"/>
      <c r="AO22" s="14"/>
      <c r="AP22" s="14">
        <f t="shared" si="6"/>
        <v>0</v>
      </c>
      <c r="AQ22" s="28">
        <v>5</v>
      </c>
      <c r="AR22" s="13"/>
      <c r="AS22" s="14"/>
      <c r="AT22" s="14"/>
      <c r="AU22" s="14">
        <f t="shared" si="7"/>
        <v>0</v>
      </c>
      <c r="AV22" s="28">
        <v>5</v>
      </c>
      <c r="AW22" s="13"/>
      <c r="AX22" s="14"/>
      <c r="AY22" s="14"/>
      <c r="AZ22" s="14">
        <f t="shared" si="8"/>
        <v>0</v>
      </c>
      <c r="BA22" s="28">
        <v>5</v>
      </c>
      <c r="BB22" s="13"/>
      <c r="BC22" s="14"/>
      <c r="BD22" s="14"/>
      <c r="BE22" s="14">
        <f t="shared" si="9"/>
        <v>0</v>
      </c>
    </row>
    <row r="23" spans="1:57" s="2" customFormat="1" ht="90" customHeight="1">
      <c r="H23" s="28">
        <v>6</v>
      </c>
      <c r="I23" s="13"/>
      <c r="J23" s="14"/>
      <c r="K23" s="14"/>
      <c r="L23" s="14">
        <f t="shared" si="0"/>
        <v>0</v>
      </c>
      <c r="M23" s="28">
        <v>6</v>
      </c>
      <c r="N23" s="13"/>
      <c r="O23" s="14"/>
      <c r="P23" s="14"/>
      <c r="Q23" s="14">
        <f t="shared" si="1"/>
        <v>0</v>
      </c>
      <c r="R23" s="28">
        <v>6</v>
      </c>
      <c r="S23" s="13"/>
      <c r="T23" s="14"/>
      <c r="U23" s="14"/>
      <c r="V23" s="14">
        <f t="shared" si="2"/>
        <v>0</v>
      </c>
      <c r="W23" s="28">
        <v>6</v>
      </c>
      <c r="X23" s="13"/>
      <c r="Y23" s="14"/>
      <c r="Z23" s="14"/>
      <c r="AA23" s="14">
        <f t="shared" si="3"/>
        <v>0</v>
      </c>
      <c r="AB23" s="28">
        <v>6</v>
      </c>
      <c r="AC23" s="13"/>
      <c r="AD23" s="14"/>
      <c r="AE23" s="14"/>
      <c r="AF23" s="14">
        <f t="shared" si="4"/>
        <v>0</v>
      </c>
      <c r="AG23" s="28">
        <v>6</v>
      </c>
      <c r="AH23" s="13"/>
      <c r="AI23" s="14"/>
      <c r="AJ23" s="14"/>
      <c r="AK23" s="14">
        <f t="shared" si="5"/>
        <v>0</v>
      </c>
      <c r="AL23" s="28">
        <v>6</v>
      </c>
      <c r="AM23" s="13"/>
      <c r="AN23" s="14"/>
      <c r="AO23" s="14"/>
      <c r="AP23" s="14">
        <f t="shared" si="6"/>
        <v>0</v>
      </c>
      <c r="AQ23" s="28">
        <v>6</v>
      </c>
      <c r="AR23" s="13"/>
      <c r="AS23" s="14"/>
      <c r="AT23" s="14"/>
      <c r="AU23" s="14">
        <f t="shared" si="7"/>
        <v>0</v>
      </c>
      <c r="AV23" s="28">
        <v>6</v>
      </c>
      <c r="AW23" s="13"/>
      <c r="AX23" s="14"/>
      <c r="AY23" s="14"/>
      <c r="AZ23" s="14">
        <f t="shared" si="8"/>
        <v>0</v>
      </c>
      <c r="BA23" s="28">
        <v>6</v>
      </c>
      <c r="BB23" s="13"/>
      <c r="BC23" s="14"/>
      <c r="BD23" s="14"/>
      <c r="BE23" s="14">
        <f t="shared" si="9"/>
        <v>0</v>
      </c>
    </row>
    <row r="24" spans="1:57" s="2" customFormat="1" ht="90" customHeight="1">
      <c r="H24" s="28">
        <v>7</v>
      </c>
      <c r="I24" s="11"/>
      <c r="J24" s="12"/>
      <c r="K24" s="12"/>
      <c r="L24" s="14">
        <f t="shared" si="0"/>
        <v>0</v>
      </c>
      <c r="M24" s="28">
        <v>7</v>
      </c>
      <c r="N24" s="13"/>
      <c r="O24" s="14"/>
      <c r="P24" s="14"/>
      <c r="Q24" s="14">
        <f t="shared" si="1"/>
        <v>0</v>
      </c>
      <c r="R24" s="28">
        <v>7</v>
      </c>
      <c r="S24" s="13"/>
      <c r="T24" s="14"/>
      <c r="U24" s="14"/>
      <c r="V24" s="14">
        <f t="shared" si="2"/>
        <v>0</v>
      </c>
      <c r="W24" s="28">
        <v>7</v>
      </c>
      <c r="X24" s="13"/>
      <c r="Y24" s="14"/>
      <c r="Z24" s="14"/>
      <c r="AA24" s="14">
        <f t="shared" si="3"/>
        <v>0</v>
      </c>
      <c r="AB24" s="28">
        <v>7</v>
      </c>
      <c r="AC24" s="13"/>
      <c r="AD24" s="14"/>
      <c r="AE24" s="14"/>
      <c r="AF24" s="14">
        <f t="shared" si="4"/>
        <v>0</v>
      </c>
      <c r="AG24" s="28">
        <v>7</v>
      </c>
      <c r="AH24" s="13"/>
      <c r="AI24" s="14"/>
      <c r="AJ24" s="14"/>
      <c r="AK24" s="14">
        <f t="shared" si="5"/>
        <v>0</v>
      </c>
      <c r="AL24" s="28">
        <v>7</v>
      </c>
      <c r="AM24" s="13"/>
      <c r="AN24" s="14"/>
      <c r="AO24" s="14"/>
      <c r="AP24" s="14">
        <f t="shared" si="6"/>
        <v>0</v>
      </c>
      <c r="AQ24" s="28">
        <v>7</v>
      </c>
      <c r="AR24" s="13"/>
      <c r="AS24" s="14"/>
      <c r="AT24" s="14"/>
      <c r="AU24" s="14">
        <f t="shared" si="7"/>
        <v>0</v>
      </c>
      <c r="AV24" s="28">
        <v>7</v>
      </c>
      <c r="AW24" s="13"/>
      <c r="AX24" s="14"/>
      <c r="AY24" s="14"/>
      <c r="AZ24" s="14">
        <f t="shared" si="8"/>
        <v>0</v>
      </c>
      <c r="BA24" s="28">
        <v>7</v>
      </c>
      <c r="BB24" s="13"/>
      <c r="BC24" s="14"/>
      <c r="BD24" s="14"/>
      <c r="BE24" s="14">
        <f t="shared" si="9"/>
        <v>0</v>
      </c>
    </row>
    <row r="25" spans="1:57" s="2" customFormat="1" ht="90" customHeight="1">
      <c r="H25" s="28">
        <v>8</v>
      </c>
      <c r="I25" s="13"/>
      <c r="J25" s="14"/>
      <c r="K25" s="14"/>
      <c r="L25" s="14">
        <f t="shared" si="0"/>
        <v>0</v>
      </c>
      <c r="M25" s="28">
        <v>8</v>
      </c>
      <c r="N25" s="13"/>
      <c r="O25" s="14"/>
      <c r="P25" s="14"/>
      <c r="Q25" s="14">
        <f t="shared" si="1"/>
        <v>0</v>
      </c>
      <c r="R25" s="28">
        <v>8</v>
      </c>
      <c r="S25" s="13"/>
      <c r="T25" s="14"/>
      <c r="U25" s="14"/>
      <c r="V25" s="14">
        <f t="shared" si="2"/>
        <v>0</v>
      </c>
      <c r="W25" s="28">
        <v>8</v>
      </c>
      <c r="X25" s="13"/>
      <c r="Y25" s="14"/>
      <c r="Z25" s="14"/>
      <c r="AA25" s="14">
        <f t="shared" si="3"/>
        <v>0</v>
      </c>
      <c r="AB25" s="28">
        <v>8</v>
      </c>
      <c r="AC25" s="13"/>
      <c r="AD25" s="14"/>
      <c r="AE25" s="14"/>
      <c r="AF25" s="14">
        <f t="shared" si="4"/>
        <v>0</v>
      </c>
      <c r="AG25" s="28">
        <v>8</v>
      </c>
      <c r="AH25" s="13"/>
      <c r="AI25" s="14"/>
      <c r="AJ25" s="14"/>
      <c r="AK25" s="14">
        <f t="shared" si="5"/>
        <v>0</v>
      </c>
      <c r="AL25" s="28">
        <v>8</v>
      </c>
      <c r="AM25" s="13"/>
      <c r="AN25" s="14"/>
      <c r="AO25" s="14"/>
      <c r="AP25" s="14">
        <f t="shared" si="6"/>
        <v>0</v>
      </c>
      <c r="AQ25" s="28">
        <v>8</v>
      </c>
      <c r="AR25" s="13"/>
      <c r="AS25" s="14"/>
      <c r="AT25" s="14"/>
      <c r="AU25" s="14">
        <f t="shared" si="7"/>
        <v>0</v>
      </c>
      <c r="AV25" s="28">
        <v>8</v>
      </c>
      <c r="AW25" s="13"/>
      <c r="AX25" s="14"/>
      <c r="AY25" s="14"/>
      <c r="AZ25" s="14">
        <f t="shared" si="8"/>
        <v>0</v>
      </c>
      <c r="BA25" s="28">
        <v>8</v>
      </c>
      <c r="BB25" s="13"/>
      <c r="BC25" s="14"/>
      <c r="BD25" s="14"/>
      <c r="BE25" s="14">
        <f t="shared" si="9"/>
        <v>0</v>
      </c>
    </row>
    <row r="26" spans="1:57" s="2" customFormat="1" ht="90" customHeight="1">
      <c r="H26" s="28">
        <v>9</v>
      </c>
      <c r="I26" s="13"/>
      <c r="J26" s="14"/>
      <c r="K26" s="14"/>
      <c r="L26" s="14">
        <f t="shared" si="0"/>
        <v>0</v>
      </c>
      <c r="M26" s="28">
        <v>9</v>
      </c>
      <c r="N26" s="13"/>
      <c r="O26" s="14"/>
      <c r="P26" s="14"/>
      <c r="Q26" s="14">
        <f t="shared" si="1"/>
        <v>0</v>
      </c>
      <c r="R26" s="28">
        <v>9</v>
      </c>
      <c r="S26" s="13"/>
      <c r="T26" s="14"/>
      <c r="U26" s="14"/>
      <c r="V26" s="14">
        <f t="shared" si="2"/>
        <v>0</v>
      </c>
      <c r="W26" s="28">
        <v>9</v>
      </c>
      <c r="X26" s="13"/>
      <c r="Y26" s="14"/>
      <c r="Z26" s="14"/>
      <c r="AA26" s="14">
        <f t="shared" si="3"/>
        <v>0</v>
      </c>
      <c r="AB26" s="28">
        <v>9</v>
      </c>
      <c r="AC26" s="13"/>
      <c r="AD26" s="14"/>
      <c r="AE26" s="14"/>
      <c r="AF26" s="14">
        <f t="shared" si="4"/>
        <v>0</v>
      </c>
      <c r="AG26" s="28">
        <v>9</v>
      </c>
      <c r="AH26" s="13"/>
      <c r="AI26" s="14"/>
      <c r="AJ26" s="14"/>
      <c r="AK26" s="14">
        <f t="shared" si="5"/>
        <v>0</v>
      </c>
      <c r="AL26" s="28">
        <v>9</v>
      </c>
      <c r="AM26" s="13"/>
      <c r="AN26" s="14"/>
      <c r="AO26" s="14"/>
      <c r="AP26" s="14">
        <f t="shared" si="6"/>
        <v>0</v>
      </c>
      <c r="AQ26" s="28">
        <v>9</v>
      </c>
      <c r="AR26" s="13"/>
      <c r="AS26" s="14"/>
      <c r="AT26" s="14"/>
      <c r="AU26" s="14">
        <f t="shared" si="7"/>
        <v>0</v>
      </c>
      <c r="AV26" s="28">
        <v>9</v>
      </c>
      <c r="AW26" s="13"/>
      <c r="AX26" s="14"/>
      <c r="AY26" s="14"/>
      <c r="AZ26" s="14">
        <f t="shared" si="8"/>
        <v>0</v>
      </c>
      <c r="BA26" s="28">
        <v>9</v>
      </c>
      <c r="BB26" s="13"/>
      <c r="BC26" s="14"/>
      <c r="BD26" s="14"/>
      <c r="BE26" s="14">
        <f t="shared" si="9"/>
        <v>0</v>
      </c>
    </row>
    <row r="27" spans="1:57" s="2" customFormat="1" ht="85.15" customHeight="1">
      <c r="H27" s="28">
        <v>10</v>
      </c>
      <c r="I27" s="13"/>
      <c r="J27" s="14"/>
      <c r="K27" s="14"/>
      <c r="L27" s="14">
        <f t="shared" si="0"/>
        <v>0</v>
      </c>
      <c r="M27" s="28">
        <v>10</v>
      </c>
      <c r="N27" s="13"/>
      <c r="O27" s="14"/>
      <c r="P27" s="14"/>
      <c r="Q27" s="14">
        <f t="shared" si="1"/>
        <v>0</v>
      </c>
      <c r="R27" s="28">
        <v>10</v>
      </c>
      <c r="S27" s="13"/>
      <c r="T27" s="14"/>
      <c r="U27" s="14"/>
      <c r="V27" s="14">
        <f t="shared" si="2"/>
        <v>0</v>
      </c>
      <c r="W27" s="28">
        <v>10</v>
      </c>
      <c r="X27" s="13"/>
      <c r="Y27" s="14"/>
      <c r="Z27" s="14"/>
      <c r="AA27" s="14">
        <f t="shared" si="3"/>
        <v>0</v>
      </c>
      <c r="AB27" s="28">
        <v>10</v>
      </c>
      <c r="AC27" s="13"/>
      <c r="AD27" s="14"/>
      <c r="AE27" s="14"/>
      <c r="AF27" s="14">
        <f t="shared" si="4"/>
        <v>0</v>
      </c>
      <c r="AG27" s="28">
        <v>10</v>
      </c>
      <c r="AH27" s="13"/>
      <c r="AI27" s="14"/>
      <c r="AJ27" s="14"/>
      <c r="AK27" s="14">
        <f t="shared" si="5"/>
        <v>0</v>
      </c>
      <c r="AL27" s="28">
        <v>10</v>
      </c>
      <c r="AM27" s="13"/>
      <c r="AN27" s="14"/>
      <c r="AO27" s="14"/>
      <c r="AP27" s="14">
        <f t="shared" si="6"/>
        <v>0</v>
      </c>
      <c r="AQ27" s="28">
        <v>10</v>
      </c>
      <c r="AR27" s="13"/>
      <c r="AS27" s="14"/>
      <c r="AT27" s="14"/>
      <c r="AU27" s="14">
        <f t="shared" si="7"/>
        <v>0</v>
      </c>
      <c r="AV27" s="28">
        <v>10</v>
      </c>
      <c r="AW27" s="13"/>
      <c r="AX27" s="14"/>
      <c r="AY27" s="14"/>
      <c r="AZ27" s="14">
        <f t="shared" si="8"/>
        <v>0</v>
      </c>
      <c r="BA27" s="28">
        <v>10</v>
      </c>
      <c r="BB27" s="13"/>
      <c r="BC27" s="14"/>
      <c r="BD27" s="14"/>
      <c r="BE27" s="14">
        <f t="shared" si="9"/>
        <v>0</v>
      </c>
    </row>
    <row r="28" spans="1:57" s="2" customFormat="1" ht="85.15" customHeight="1">
      <c r="H28" s="28">
        <v>11</v>
      </c>
      <c r="I28" s="13"/>
      <c r="J28" s="14"/>
      <c r="K28" s="14"/>
      <c r="L28" s="14">
        <f t="shared" si="0"/>
        <v>0</v>
      </c>
      <c r="M28" s="28">
        <v>11</v>
      </c>
      <c r="N28" s="13"/>
      <c r="O28" s="14"/>
      <c r="P28" s="14"/>
      <c r="Q28" s="14">
        <f t="shared" si="1"/>
        <v>0</v>
      </c>
      <c r="R28" s="28">
        <v>11</v>
      </c>
      <c r="S28" s="13"/>
      <c r="T28" s="14"/>
      <c r="U28" s="14"/>
      <c r="V28" s="14">
        <f t="shared" si="2"/>
        <v>0</v>
      </c>
      <c r="W28" s="28">
        <v>11</v>
      </c>
      <c r="X28" s="13"/>
      <c r="Y28" s="14"/>
      <c r="Z28" s="14"/>
      <c r="AA28" s="14">
        <f t="shared" si="3"/>
        <v>0</v>
      </c>
      <c r="AB28" s="28">
        <v>11</v>
      </c>
      <c r="AC28" s="13"/>
      <c r="AD28" s="14"/>
      <c r="AE28" s="14"/>
      <c r="AF28" s="14">
        <f t="shared" si="4"/>
        <v>0</v>
      </c>
      <c r="AG28" s="28">
        <v>11</v>
      </c>
      <c r="AH28" s="13"/>
      <c r="AI28" s="14"/>
      <c r="AJ28" s="14"/>
      <c r="AK28" s="14">
        <f t="shared" si="5"/>
        <v>0</v>
      </c>
      <c r="AL28" s="28">
        <v>11</v>
      </c>
      <c r="AM28" s="13"/>
      <c r="AN28" s="14"/>
      <c r="AO28" s="14"/>
      <c r="AP28" s="14">
        <f t="shared" si="6"/>
        <v>0</v>
      </c>
      <c r="AQ28" s="28">
        <v>11</v>
      </c>
      <c r="AR28" s="13"/>
      <c r="AS28" s="14"/>
      <c r="AT28" s="14"/>
      <c r="AU28" s="14">
        <f t="shared" si="7"/>
        <v>0</v>
      </c>
      <c r="AV28" s="28">
        <v>11</v>
      </c>
      <c r="AW28" s="13"/>
      <c r="AX28" s="14"/>
      <c r="AY28" s="14"/>
      <c r="AZ28" s="14">
        <f t="shared" si="8"/>
        <v>0</v>
      </c>
      <c r="BA28" s="28">
        <v>11</v>
      </c>
      <c r="BB28" s="13"/>
      <c r="BC28" s="14"/>
      <c r="BD28" s="14"/>
      <c r="BE28" s="14">
        <f t="shared" si="9"/>
        <v>0</v>
      </c>
    </row>
    <row r="29" spans="1:57" s="2" customFormat="1" ht="85.15" customHeight="1">
      <c r="H29" s="28">
        <v>12</v>
      </c>
      <c r="I29" s="13"/>
      <c r="J29" s="14"/>
      <c r="K29" s="14"/>
      <c r="L29" s="14">
        <f t="shared" si="0"/>
        <v>0</v>
      </c>
      <c r="M29" s="28">
        <v>12</v>
      </c>
      <c r="N29" s="13"/>
      <c r="O29" s="14"/>
      <c r="P29" s="14"/>
      <c r="Q29" s="14">
        <f t="shared" si="1"/>
        <v>0</v>
      </c>
      <c r="R29" s="28">
        <v>12</v>
      </c>
      <c r="S29" s="13"/>
      <c r="T29" s="14"/>
      <c r="U29" s="14"/>
      <c r="V29" s="14">
        <f t="shared" si="2"/>
        <v>0</v>
      </c>
      <c r="W29" s="28">
        <v>12</v>
      </c>
      <c r="X29" s="13"/>
      <c r="Y29" s="14"/>
      <c r="Z29" s="14"/>
      <c r="AA29" s="14">
        <f t="shared" si="3"/>
        <v>0</v>
      </c>
      <c r="AB29" s="28">
        <v>12</v>
      </c>
      <c r="AC29" s="13"/>
      <c r="AD29" s="14"/>
      <c r="AE29" s="14"/>
      <c r="AF29" s="14">
        <f t="shared" si="4"/>
        <v>0</v>
      </c>
      <c r="AG29" s="28">
        <v>12</v>
      </c>
      <c r="AH29" s="13"/>
      <c r="AI29" s="14"/>
      <c r="AJ29" s="14"/>
      <c r="AK29" s="14">
        <f t="shared" si="5"/>
        <v>0</v>
      </c>
      <c r="AL29" s="28">
        <v>12</v>
      </c>
      <c r="AM29" s="13"/>
      <c r="AN29" s="14"/>
      <c r="AO29" s="14"/>
      <c r="AP29" s="14">
        <f t="shared" si="6"/>
        <v>0</v>
      </c>
      <c r="AQ29" s="28">
        <v>12</v>
      </c>
      <c r="AR29" s="13"/>
      <c r="AS29" s="14"/>
      <c r="AT29" s="14"/>
      <c r="AU29" s="14">
        <f t="shared" si="7"/>
        <v>0</v>
      </c>
      <c r="AV29" s="28">
        <v>12</v>
      </c>
      <c r="AW29" s="13"/>
      <c r="AX29" s="14"/>
      <c r="AY29" s="14"/>
      <c r="AZ29" s="14">
        <f t="shared" si="8"/>
        <v>0</v>
      </c>
      <c r="BA29" s="28">
        <v>12</v>
      </c>
      <c r="BB29" s="13"/>
      <c r="BC29" s="14"/>
      <c r="BD29" s="14"/>
      <c r="BE29" s="14">
        <f t="shared" si="9"/>
        <v>0</v>
      </c>
    </row>
    <row r="30" spans="1:57" s="2" customFormat="1" ht="85.15" customHeight="1">
      <c r="H30" s="28">
        <v>13</v>
      </c>
      <c r="I30" s="13"/>
      <c r="J30" s="14"/>
      <c r="K30" s="14"/>
      <c r="L30" s="14">
        <f t="shared" si="0"/>
        <v>0</v>
      </c>
      <c r="M30" s="28">
        <v>13</v>
      </c>
      <c r="N30" s="13"/>
      <c r="O30" s="14"/>
      <c r="P30" s="14"/>
      <c r="Q30" s="14">
        <f t="shared" si="1"/>
        <v>0</v>
      </c>
      <c r="R30" s="28">
        <v>13</v>
      </c>
      <c r="S30" s="13"/>
      <c r="T30" s="14"/>
      <c r="U30" s="14"/>
      <c r="V30" s="14">
        <f t="shared" si="2"/>
        <v>0</v>
      </c>
      <c r="W30" s="28">
        <v>13</v>
      </c>
      <c r="X30" s="13"/>
      <c r="Y30" s="14"/>
      <c r="Z30" s="14"/>
      <c r="AA30" s="14">
        <f t="shared" si="3"/>
        <v>0</v>
      </c>
      <c r="AB30" s="28">
        <v>13</v>
      </c>
      <c r="AC30" s="13"/>
      <c r="AD30" s="14"/>
      <c r="AE30" s="14"/>
      <c r="AF30" s="14">
        <f t="shared" si="4"/>
        <v>0</v>
      </c>
      <c r="AG30" s="28">
        <v>13</v>
      </c>
      <c r="AH30" s="13"/>
      <c r="AI30" s="14"/>
      <c r="AJ30" s="14"/>
      <c r="AK30" s="14">
        <f t="shared" si="5"/>
        <v>0</v>
      </c>
      <c r="AL30" s="28">
        <v>13</v>
      </c>
      <c r="AM30" s="13"/>
      <c r="AN30" s="14"/>
      <c r="AO30" s="14"/>
      <c r="AP30" s="14">
        <f t="shared" si="6"/>
        <v>0</v>
      </c>
      <c r="AQ30" s="28">
        <v>13</v>
      </c>
      <c r="AR30" s="13"/>
      <c r="AS30" s="14"/>
      <c r="AT30" s="14"/>
      <c r="AU30" s="14">
        <f t="shared" si="7"/>
        <v>0</v>
      </c>
      <c r="AV30" s="28">
        <v>13</v>
      </c>
      <c r="AW30" s="13"/>
      <c r="AX30" s="14"/>
      <c r="AY30" s="14"/>
      <c r="AZ30" s="14">
        <f t="shared" si="8"/>
        <v>0</v>
      </c>
      <c r="BA30" s="28">
        <v>13</v>
      </c>
      <c r="BB30" s="13"/>
      <c r="BC30" s="14"/>
      <c r="BD30" s="14"/>
      <c r="BE30" s="14">
        <f t="shared" si="9"/>
        <v>0</v>
      </c>
    </row>
    <row r="31" spans="1:57" s="2" customFormat="1" ht="85.15" customHeight="1">
      <c r="H31" s="28">
        <v>14</v>
      </c>
      <c r="I31" s="13"/>
      <c r="J31" s="14"/>
      <c r="K31" s="14"/>
      <c r="L31" s="14">
        <f t="shared" si="0"/>
        <v>0</v>
      </c>
      <c r="M31" s="28">
        <v>14</v>
      </c>
      <c r="N31" s="13"/>
      <c r="O31" s="14"/>
      <c r="P31" s="14"/>
      <c r="Q31" s="14">
        <f t="shared" si="1"/>
        <v>0</v>
      </c>
      <c r="R31" s="28">
        <v>14</v>
      </c>
      <c r="S31" s="13"/>
      <c r="T31" s="14"/>
      <c r="U31" s="14"/>
      <c r="V31" s="14">
        <f t="shared" si="2"/>
        <v>0</v>
      </c>
      <c r="W31" s="28">
        <v>14</v>
      </c>
      <c r="X31" s="13"/>
      <c r="Y31" s="14"/>
      <c r="Z31" s="14"/>
      <c r="AA31" s="14">
        <f t="shared" si="3"/>
        <v>0</v>
      </c>
      <c r="AB31" s="28">
        <v>14</v>
      </c>
      <c r="AC31" s="13"/>
      <c r="AD31" s="14"/>
      <c r="AE31" s="14"/>
      <c r="AF31" s="14">
        <f t="shared" si="4"/>
        <v>0</v>
      </c>
      <c r="AG31" s="28">
        <v>14</v>
      </c>
      <c r="AH31" s="13"/>
      <c r="AI31" s="14"/>
      <c r="AJ31" s="14"/>
      <c r="AK31" s="14">
        <f t="shared" si="5"/>
        <v>0</v>
      </c>
      <c r="AL31" s="28">
        <v>14</v>
      </c>
      <c r="AM31" s="13"/>
      <c r="AN31" s="14"/>
      <c r="AO31" s="14"/>
      <c r="AP31" s="14">
        <f t="shared" si="6"/>
        <v>0</v>
      </c>
      <c r="AQ31" s="28">
        <v>14</v>
      </c>
      <c r="AR31" s="13"/>
      <c r="AS31" s="14"/>
      <c r="AT31" s="14"/>
      <c r="AU31" s="14">
        <f t="shared" si="7"/>
        <v>0</v>
      </c>
      <c r="AV31" s="28">
        <v>14</v>
      </c>
      <c r="AW31" s="13"/>
      <c r="AX31" s="14"/>
      <c r="AY31" s="14"/>
      <c r="AZ31" s="14">
        <f t="shared" si="8"/>
        <v>0</v>
      </c>
      <c r="BA31" s="28">
        <v>14</v>
      </c>
      <c r="BB31" s="13"/>
      <c r="BC31" s="14"/>
      <c r="BD31" s="14"/>
      <c r="BE31" s="14">
        <f t="shared" si="9"/>
        <v>0</v>
      </c>
    </row>
    <row r="32" spans="1:57" s="2" customFormat="1" ht="85.15" customHeight="1">
      <c r="H32" s="28">
        <v>15</v>
      </c>
      <c r="I32" s="13"/>
      <c r="J32" s="14"/>
      <c r="K32" s="14"/>
      <c r="L32" s="14">
        <f t="shared" si="0"/>
        <v>0</v>
      </c>
      <c r="M32" s="28">
        <v>15</v>
      </c>
      <c r="N32" s="13"/>
      <c r="O32" s="14"/>
      <c r="P32" s="14"/>
      <c r="Q32" s="14">
        <f t="shared" si="1"/>
        <v>0</v>
      </c>
      <c r="R32" s="28">
        <v>15</v>
      </c>
      <c r="S32" s="13"/>
      <c r="T32" s="14"/>
      <c r="U32" s="14"/>
      <c r="V32" s="14">
        <f t="shared" si="2"/>
        <v>0</v>
      </c>
      <c r="W32" s="28">
        <v>15</v>
      </c>
      <c r="X32" s="13"/>
      <c r="Y32" s="14"/>
      <c r="Z32" s="14"/>
      <c r="AA32" s="14">
        <f t="shared" si="3"/>
        <v>0</v>
      </c>
      <c r="AB32" s="28">
        <v>15</v>
      </c>
      <c r="AC32" s="13"/>
      <c r="AD32" s="14"/>
      <c r="AE32" s="14"/>
      <c r="AF32" s="14">
        <f t="shared" si="4"/>
        <v>0</v>
      </c>
      <c r="AG32" s="28">
        <v>15</v>
      </c>
      <c r="AH32" s="13"/>
      <c r="AI32" s="14"/>
      <c r="AJ32" s="14"/>
      <c r="AK32" s="14">
        <f t="shared" si="5"/>
        <v>0</v>
      </c>
      <c r="AL32" s="28">
        <v>15</v>
      </c>
      <c r="AM32" s="13"/>
      <c r="AN32" s="14"/>
      <c r="AO32" s="14"/>
      <c r="AP32" s="14">
        <f t="shared" si="6"/>
        <v>0</v>
      </c>
      <c r="AQ32" s="28">
        <v>15</v>
      </c>
      <c r="AR32" s="13"/>
      <c r="AS32" s="14"/>
      <c r="AT32" s="14"/>
      <c r="AU32" s="14">
        <f t="shared" si="7"/>
        <v>0</v>
      </c>
      <c r="AV32" s="28">
        <v>15</v>
      </c>
      <c r="AW32" s="13"/>
      <c r="AX32" s="14"/>
      <c r="AY32" s="14"/>
      <c r="AZ32" s="14">
        <f t="shared" si="8"/>
        <v>0</v>
      </c>
      <c r="BA32" s="28">
        <v>15</v>
      </c>
      <c r="BB32" s="13"/>
      <c r="BC32" s="14"/>
      <c r="BD32" s="14"/>
      <c r="BE32" s="14">
        <f t="shared" si="9"/>
        <v>0</v>
      </c>
    </row>
    <row r="33" spans="8:57" s="2" customFormat="1" ht="85.15" customHeight="1">
      <c r="H33" s="28">
        <v>16</v>
      </c>
      <c r="I33" s="13"/>
      <c r="J33" s="14"/>
      <c r="K33" s="14"/>
      <c r="L33" s="14">
        <f t="shared" si="0"/>
        <v>0</v>
      </c>
      <c r="M33" s="28">
        <v>16</v>
      </c>
      <c r="N33" s="13"/>
      <c r="O33" s="14"/>
      <c r="P33" s="14"/>
      <c r="Q33" s="14">
        <f t="shared" si="1"/>
        <v>0</v>
      </c>
      <c r="R33" s="28">
        <v>16</v>
      </c>
      <c r="S33" s="13"/>
      <c r="T33" s="14"/>
      <c r="U33" s="14"/>
      <c r="V33" s="14">
        <f t="shared" si="2"/>
        <v>0</v>
      </c>
      <c r="W33" s="28">
        <v>16</v>
      </c>
      <c r="X33" s="13"/>
      <c r="Y33" s="14"/>
      <c r="Z33" s="14"/>
      <c r="AA33" s="14">
        <f t="shared" si="3"/>
        <v>0</v>
      </c>
      <c r="AB33" s="28">
        <v>16</v>
      </c>
      <c r="AC33" s="13"/>
      <c r="AD33" s="14"/>
      <c r="AE33" s="14"/>
      <c r="AF33" s="14">
        <f t="shared" si="4"/>
        <v>0</v>
      </c>
      <c r="AG33" s="28">
        <v>16</v>
      </c>
      <c r="AH33" s="13"/>
      <c r="AI33" s="14"/>
      <c r="AJ33" s="14"/>
      <c r="AK33" s="14">
        <f t="shared" si="5"/>
        <v>0</v>
      </c>
      <c r="AL33" s="28">
        <v>16</v>
      </c>
      <c r="AM33" s="13"/>
      <c r="AN33" s="14"/>
      <c r="AO33" s="14"/>
      <c r="AP33" s="14">
        <f t="shared" si="6"/>
        <v>0</v>
      </c>
      <c r="AQ33" s="28">
        <v>16</v>
      </c>
      <c r="AR33" s="13"/>
      <c r="AS33" s="14"/>
      <c r="AT33" s="14"/>
      <c r="AU33" s="14">
        <f t="shared" si="7"/>
        <v>0</v>
      </c>
      <c r="AV33" s="28">
        <v>16</v>
      </c>
      <c r="AW33" s="13"/>
      <c r="AX33" s="14"/>
      <c r="AY33" s="14"/>
      <c r="AZ33" s="14">
        <f t="shared" si="8"/>
        <v>0</v>
      </c>
      <c r="BA33" s="28">
        <v>16</v>
      </c>
      <c r="BB33" s="13"/>
      <c r="BC33" s="14"/>
      <c r="BD33" s="14"/>
      <c r="BE33" s="14">
        <f t="shared" si="9"/>
        <v>0</v>
      </c>
    </row>
    <row r="34" spans="8:57" s="2" customFormat="1" ht="85.15" customHeight="1">
      <c r="H34" s="28">
        <v>17</v>
      </c>
      <c r="I34" s="13"/>
      <c r="J34" s="14"/>
      <c r="K34" s="14"/>
      <c r="L34" s="14">
        <f t="shared" si="0"/>
        <v>0</v>
      </c>
      <c r="M34" s="28">
        <v>17</v>
      </c>
      <c r="N34" s="13"/>
      <c r="O34" s="14"/>
      <c r="P34" s="14"/>
      <c r="Q34" s="14">
        <f t="shared" si="1"/>
        <v>0</v>
      </c>
      <c r="R34" s="28">
        <v>17</v>
      </c>
      <c r="S34" s="13"/>
      <c r="T34" s="14"/>
      <c r="U34" s="14"/>
      <c r="V34" s="14">
        <f t="shared" si="2"/>
        <v>0</v>
      </c>
      <c r="W34" s="28">
        <v>17</v>
      </c>
      <c r="X34" s="13"/>
      <c r="Y34" s="14"/>
      <c r="Z34" s="14"/>
      <c r="AA34" s="14">
        <f t="shared" si="3"/>
        <v>0</v>
      </c>
      <c r="AB34" s="28">
        <v>17</v>
      </c>
      <c r="AC34" s="13"/>
      <c r="AD34" s="14"/>
      <c r="AE34" s="14"/>
      <c r="AF34" s="14">
        <f t="shared" si="4"/>
        <v>0</v>
      </c>
      <c r="AG34" s="28">
        <v>17</v>
      </c>
      <c r="AH34" s="13"/>
      <c r="AI34" s="14"/>
      <c r="AJ34" s="14"/>
      <c r="AK34" s="14">
        <f t="shared" si="5"/>
        <v>0</v>
      </c>
      <c r="AL34" s="28">
        <v>17</v>
      </c>
      <c r="AM34" s="13"/>
      <c r="AN34" s="14"/>
      <c r="AO34" s="14"/>
      <c r="AP34" s="14">
        <f t="shared" si="6"/>
        <v>0</v>
      </c>
      <c r="AQ34" s="28">
        <v>17</v>
      </c>
      <c r="AR34" s="13"/>
      <c r="AS34" s="14"/>
      <c r="AT34" s="14"/>
      <c r="AU34" s="14">
        <f t="shared" si="7"/>
        <v>0</v>
      </c>
      <c r="AV34" s="28">
        <v>17</v>
      </c>
      <c r="AW34" s="13"/>
      <c r="AX34" s="14"/>
      <c r="AY34" s="14"/>
      <c r="AZ34" s="14">
        <f t="shared" si="8"/>
        <v>0</v>
      </c>
      <c r="BA34" s="28">
        <v>17</v>
      </c>
      <c r="BB34" s="13"/>
      <c r="BC34" s="14"/>
      <c r="BD34" s="14"/>
      <c r="BE34" s="14">
        <f t="shared" si="9"/>
        <v>0</v>
      </c>
    </row>
    <row r="35" spans="8:57" s="2" customFormat="1" ht="85.15" customHeight="1">
      <c r="H35" s="28">
        <v>18</v>
      </c>
      <c r="I35" s="13"/>
      <c r="J35" s="14"/>
      <c r="K35" s="14"/>
      <c r="L35" s="14">
        <f t="shared" si="0"/>
        <v>0</v>
      </c>
      <c r="M35" s="28">
        <v>18</v>
      </c>
      <c r="N35" s="13"/>
      <c r="O35" s="14"/>
      <c r="P35" s="14"/>
      <c r="Q35" s="14">
        <f t="shared" si="1"/>
        <v>0</v>
      </c>
      <c r="R35" s="28">
        <v>18</v>
      </c>
      <c r="S35" s="13"/>
      <c r="T35" s="14"/>
      <c r="U35" s="14"/>
      <c r="V35" s="14">
        <f t="shared" si="2"/>
        <v>0</v>
      </c>
      <c r="W35" s="28">
        <v>18</v>
      </c>
      <c r="X35" s="13"/>
      <c r="Y35" s="14"/>
      <c r="Z35" s="14"/>
      <c r="AA35" s="14">
        <f t="shared" si="3"/>
        <v>0</v>
      </c>
      <c r="AB35" s="28">
        <v>18</v>
      </c>
      <c r="AC35" s="13"/>
      <c r="AD35" s="14"/>
      <c r="AE35" s="14"/>
      <c r="AF35" s="14">
        <f t="shared" si="4"/>
        <v>0</v>
      </c>
      <c r="AG35" s="28">
        <v>18</v>
      </c>
      <c r="AH35" s="13"/>
      <c r="AI35" s="14"/>
      <c r="AJ35" s="14"/>
      <c r="AK35" s="14">
        <f t="shared" si="5"/>
        <v>0</v>
      </c>
      <c r="AL35" s="28">
        <v>18</v>
      </c>
      <c r="AM35" s="13"/>
      <c r="AN35" s="14"/>
      <c r="AO35" s="14"/>
      <c r="AP35" s="14">
        <f t="shared" si="6"/>
        <v>0</v>
      </c>
      <c r="AQ35" s="28">
        <v>18</v>
      </c>
      <c r="AR35" s="13"/>
      <c r="AS35" s="14"/>
      <c r="AT35" s="14"/>
      <c r="AU35" s="14">
        <f t="shared" si="7"/>
        <v>0</v>
      </c>
      <c r="AV35" s="28">
        <v>18</v>
      </c>
      <c r="AW35" s="13"/>
      <c r="AX35" s="14"/>
      <c r="AY35" s="14"/>
      <c r="AZ35" s="14">
        <f t="shared" si="8"/>
        <v>0</v>
      </c>
      <c r="BA35" s="28">
        <v>18</v>
      </c>
      <c r="BB35" s="13"/>
      <c r="BC35" s="14"/>
      <c r="BD35" s="14"/>
      <c r="BE35" s="14">
        <f t="shared" si="9"/>
        <v>0</v>
      </c>
    </row>
    <row r="36" spans="8:57" s="2" customFormat="1" ht="85.15" customHeight="1">
      <c r="H36" s="28">
        <v>19</v>
      </c>
      <c r="I36" s="13"/>
      <c r="J36" s="14"/>
      <c r="K36" s="14"/>
      <c r="L36" s="14">
        <f t="shared" si="0"/>
        <v>0</v>
      </c>
      <c r="M36" s="28">
        <v>19</v>
      </c>
      <c r="N36" s="13"/>
      <c r="O36" s="14"/>
      <c r="P36" s="14"/>
      <c r="Q36" s="14">
        <f t="shared" si="1"/>
        <v>0</v>
      </c>
      <c r="R36" s="28">
        <v>19</v>
      </c>
      <c r="S36" s="13"/>
      <c r="T36" s="14"/>
      <c r="U36" s="14"/>
      <c r="V36" s="14">
        <f t="shared" si="2"/>
        <v>0</v>
      </c>
      <c r="W36" s="28">
        <v>19</v>
      </c>
      <c r="X36" s="13"/>
      <c r="Y36" s="14"/>
      <c r="Z36" s="14"/>
      <c r="AA36" s="14">
        <f t="shared" si="3"/>
        <v>0</v>
      </c>
      <c r="AB36" s="28">
        <v>19</v>
      </c>
      <c r="AC36" s="13"/>
      <c r="AD36" s="14"/>
      <c r="AE36" s="14"/>
      <c r="AF36" s="14">
        <f t="shared" si="4"/>
        <v>0</v>
      </c>
      <c r="AG36" s="28">
        <v>19</v>
      </c>
      <c r="AH36" s="13"/>
      <c r="AI36" s="14"/>
      <c r="AJ36" s="14"/>
      <c r="AK36" s="14">
        <f t="shared" si="5"/>
        <v>0</v>
      </c>
      <c r="AL36" s="28">
        <v>19</v>
      </c>
      <c r="AM36" s="13"/>
      <c r="AN36" s="14"/>
      <c r="AO36" s="14"/>
      <c r="AP36" s="14">
        <f t="shared" si="6"/>
        <v>0</v>
      </c>
      <c r="AQ36" s="28">
        <v>19</v>
      </c>
      <c r="AR36" s="13"/>
      <c r="AS36" s="14"/>
      <c r="AT36" s="14"/>
      <c r="AU36" s="14">
        <f t="shared" si="7"/>
        <v>0</v>
      </c>
      <c r="AV36" s="28">
        <v>19</v>
      </c>
      <c r="AW36" s="13"/>
      <c r="AX36" s="14"/>
      <c r="AY36" s="14"/>
      <c r="AZ36" s="14">
        <f t="shared" si="8"/>
        <v>0</v>
      </c>
      <c r="BA36" s="28">
        <v>19</v>
      </c>
      <c r="BB36" s="13"/>
      <c r="BC36" s="14"/>
      <c r="BD36" s="14"/>
      <c r="BE36" s="14">
        <f t="shared" si="9"/>
        <v>0</v>
      </c>
    </row>
    <row r="37" spans="8:57" s="2" customFormat="1" ht="85.15" customHeight="1">
      <c r="H37" s="28">
        <v>20</v>
      </c>
      <c r="I37" s="13"/>
      <c r="J37" s="14"/>
      <c r="K37" s="14"/>
      <c r="L37" s="14">
        <f t="shared" si="0"/>
        <v>0</v>
      </c>
      <c r="M37" s="28">
        <v>20</v>
      </c>
      <c r="N37" s="13"/>
      <c r="O37" s="14"/>
      <c r="P37" s="14"/>
      <c r="Q37" s="14">
        <f t="shared" si="1"/>
        <v>0</v>
      </c>
      <c r="R37" s="28">
        <v>20</v>
      </c>
      <c r="S37" s="13"/>
      <c r="T37" s="14"/>
      <c r="U37" s="14"/>
      <c r="V37" s="14">
        <f t="shared" si="2"/>
        <v>0</v>
      </c>
      <c r="W37" s="28">
        <v>20</v>
      </c>
      <c r="X37" s="13"/>
      <c r="Y37" s="14"/>
      <c r="Z37" s="14"/>
      <c r="AA37" s="14">
        <f t="shared" si="3"/>
        <v>0</v>
      </c>
      <c r="AB37" s="28">
        <v>20</v>
      </c>
      <c r="AC37" s="13"/>
      <c r="AD37" s="14"/>
      <c r="AE37" s="14"/>
      <c r="AF37" s="14">
        <f t="shared" si="4"/>
        <v>0</v>
      </c>
      <c r="AG37" s="28">
        <v>20</v>
      </c>
      <c r="AH37" s="13"/>
      <c r="AI37" s="14"/>
      <c r="AJ37" s="14"/>
      <c r="AK37" s="14">
        <f t="shared" si="5"/>
        <v>0</v>
      </c>
      <c r="AL37" s="28">
        <v>20</v>
      </c>
      <c r="AM37" s="13"/>
      <c r="AN37" s="14"/>
      <c r="AO37" s="14"/>
      <c r="AP37" s="14">
        <f t="shared" si="6"/>
        <v>0</v>
      </c>
      <c r="AQ37" s="28">
        <v>20</v>
      </c>
      <c r="AR37" s="13"/>
      <c r="AS37" s="14"/>
      <c r="AT37" s="14"/>
      <c r="AU37" s="14">
        <f t="shared" si="7"/>
        <v>0</v>
      </c>
      <c r="AV37" s="28">
        <v>20</v>
      </c>
      <c r="AW37" s="13"/>
      <c r="AX37" s="14"/>
      <c r="AY37" s="14"/>
      <c r="AZ37" s="14">
        <f t="shared" si="8"/>
        <v>0</v>
      </c>
      <c r="BA37" s="28">
        <v>20</v>
      </c>
      <c r="BB37" s="13"/>
      <c r="BC37" s="14"/>
      <c r="BD37" s="14"/>
      <c r="BE37" s="14">
        <f t="shared" si="9"/>
        <v>0</v>
      </c>
    </row>
    <row r="38" spans="8:57" s="2" customFormat="1" ht="85.15" customHeight="1">
      <c r="H38" s="28">
        <v>21</v>
      </c>
      <c r="I38" s="13"/>
      <c r="J38" s="14"/>
      <c r="K38" s="14"/>
      <c r="L38" s="14">
        <f t="shared" si="0"/>
        <v>0</v>
      </c>
      <c r="M38" s="28">
        <v>21</v>
      </c>
      <c r="N38" s="13"/>
      <c r="O38" s="14"/>
      <c r="P38" s="14"/>
      <c r="Q38" s="14">
        <f t="shared" si="1"/>
        <v>0</v>
      </c>
      <c r="R38" s="28">
        <v>21</v>
      </c>
      <c r="S38" s="13"/>
      <c r="T38" s="14"/>
      <c r="U38" s="14"/>
      <c r="V38" s="14">
        <f t="shared" si="2"/>
        <v>0</v>
      </c>
      <c r="W38" s="28">
        <v>21</v>
      </c>
      <c r="X38" s="13"/>
      <c r="Y38" s="14"/>
      <c r="Z38" s="14"/>
      <c r="AA38" s="14">
        <f t="shared" si="3"/>
        <v>0</v>
      </c>
      <c r="AB38" s="28">
        <v>21</v>
      </c>
      <c r="AC38" s="13"/>
      <c r="AD38" s="14"/>
      <c r="AE38" s="14"/>
      <c r="AF38" s="14">
        <f t="shared" si="4"/>
        <v>0</v>
      </c>
      <c r="AG38" s="28">
        <v>21</v>
      </c>
      <c r="AH38" s="13"/>
      <c r="AI38" s="14"/>
      <c r="AJ38" s="14"/>
      <c r="AK38" s="14">
        <f t="shared" si="5"/>
        <v>0</v>
      </c>
      <c r="AL38" s="28">
        <v>21</v>
      </c>
      <c r="AM38" s="13"/>
      <c r="AN38" s="14"/>
      <c r="AO38" s="14"/>
      <c r="AP38" s="14">
        <f t="shared" si="6"/>
        <v>0</v>
      </c>
      <c r="AQ38" s="28">
        <v>21</v>
      </c>
      <c r="AR38" s="13"/>
      <c r="AS38" s="14"/>
      <c r="AT38" s="14"/>
      <c r="AU38" s="14">
        <f t="shared" si="7"/>
        <v>0</v>
      </c>
      <c r="AV38" s="28">
        <v>21</v>
      </c>
      <c r="AW38" s="13"/>
      <c r="AX38" s="14"/>
      <c r="AY38" s="14"/>
      <c r="AZ38" s="14">
        <f t="shared" si="8"/>
        <v>0</v>
      </c>
      <c r="BA38" s="28">
        <v>21</v>
      </c>
      <c r="BB38" s="13"/>
      <c r="BC38" s="14"/>
      <c r="BD38" s="14"/>
      <c r="BE38" s="14">
        <f t="shared" si="9"/>
        <v>0</v>
      </c>
    </row>
    <row r="39" spans="8:57" s="2" customFormat="1" ht="85.15" customHeight="1">
      <c r="H39" s="28">
        <v>22</v>
      </c>
      <c r="I39" s="13"/>
      <c r="J39" s="14"/>
      <c r="K39" s="14"/>
      <c r="L39" s="14">
        <f t="shared" si="0"/>
        <v>0</v>
      </c>
      <c r="M39" s="28">
        <v>22</v>
      </c>
      <c r="N39" s="13"/>
      <c r="O39" s="14"/>
      <c r="P39" s="14"/>
      <c r="Q39" s="14">
        <f t="shared" si="1"/>
        <v>0</v>
      </c>
      <c r="R39" s="28">
        <v>22</v>
      </c>
      <c r="S39" s="13"/>
      <c r="T39" s="14"/>
      <c r="U39" s="14"/>
      <c r="V39" s="14">
        <f t="shared" si="2"/>
        <v>0</v>
      </c>
      <c r="W39" s="28">
        <v>22</v>
      </c>
      <c r="X39" s="13"/>
      <c r="Y39" s="14"/>
      <c r="Z39" s="14"/>
      <c r="AA39" s="14">
        <f t="shared" si="3"/>
        <v>0</v>
      </c>
      <c r="AB39" s="28">
        <v>22</v>
      </c>
      <c r="AC39" s="13"/>
      <c r="AD39" s="14"/>
      <c r="AE39" s="14"/>
      <c r="AF39" s="14">
        <f t="shared" si="4"/>
        <v>0</v>
      </c>
      <c r="AG39" s="28">
        <v>22</v>
      </c>
      <c r="AH39" s="13"/>
      <c r="AI39" s="14"/>
      <c r="AJ39" s="14"/>
      <c r="AK39" s="14">
        <f t="shared" si="5"/>
        <v>0</v>
      </c>
      <c r="AL39" s="28">
        <v>22</v>
      </c>
      <c r="AM39" s="13"/>
      <c r="AN39" s="14"/>
      <c r="AO39" s="14"/>
      <c r="AP39" s="14">
        <f t="shared" si="6"/>
        <v>0</v>
      </c>
      <c r="AQ39" s="28">
        <v>22</v>
      </c>
      <c r="AR39" s="13"/>
      <c r="AS39" s="14"/>
      <c r="AT39" s="14"/>
      <c r="AU39" s="14">
        <f t="shared" si="7"/>
        <v>0</v>
      </c>
      <c r="AV39" s="28">
        <v>22</v>
      </c>
      <c r="AW39" s="13"/>
      <c r="AX39" s="14"/>
      <c r="AY39" s="14"/>
      <c r="AZ39" s="14">
        <f t="shared" si="8"/>
        <v>0</v>
      </c>
      <c r="BA39" s="28">
        <v>22</v>
      </c>
      <c r="BB39" s="13"/>
      <c r="BC39" s="14"/>
      <c r="BD39" s="14"/>
      <c r="BE39" s="14">
        <f t="shared" si="9"/>
        <v>0</v>
      </c>
    </row>
    <row r="40" spans="8:57" s="2" customFormat="1" ht="85.15" customHeight="1">
      <c r="H40" s="28">
        <v>23</v>
      </c>
      <c r="I40" s="13"/>
      <c r="J40" s="14"/>
      <c r="K40" s="14"/>
      <c r="L40" s="14">
        <f t="shared" si="0"/>
        <v>0</v>
      </c>
      <c r="M40" s="28">
        <v>23</v>
      </c>
      <c r="N40" s="13"/>
      <c r="O40" s="14"/>
      <c r="P40" s="14"/>
      <c r="Q40" s="14">
        <f t="shared" si="1"/>
        <v>0</v>
      </c>
      <c r="R40" s="28">
        <v>23</v>
      </c>
      <c r="S40" s="13"/>
      <c r="T40" s="14"/>
      <c r="U40" s="14"/>
      <c r="V40" s="14">
        <f t="shared" si="2"/>
        <v>0</v>
      </c>
      <c r="W40" s="28">
        <v>23</v>
      </c>
      <c r="X40" s="13"/>
      <c r="Y40" s="14"/>
      <c r="Z40" s="14"/>
      <c r="AA40" s="14">
        <f t="shared" si="3"/>
        <v>0</v>
      </c>
      <c r="AB40" s="28">
        <v>23</v>
      </c>
      <c r="AC40" s="13"/>
      <c r="AD40" s="14"/>
      <c r="AE40" s="14"/>
      <c r="AF40" s="14">
        <f t="shared" si="4"/>
        <v>0</v>
      </c>
      <c r="AG40" s="28">
        <v>23</v>
      </c>
      <c r="AH40" s="13"/>
      <c r="AI40" s="14"/>
      <c r="AJ40" s="14"/>
      <c r="AK40" s="14">
        <f t="shared" si="5"/>
        <v>0</v>
      </c>
      <c r="AL40" s="28">
        <v>23</v>
      </c>
      <c r="AM40" s="13"/>
      <c r="AN40" s="14"/>
      <c r="AO40" s="14"/>
      <c r="AP40" s="14">
        <f t="shared" si="6"/>
        <v>0</v>
      </c>
      <c r="AQ40" s="28">
        <v>23</v>
      </c>
      <c r="AR40" s="13"/>
      <c r="AS40" s="14"/>
      <c r="AT40" s="14"/>
      <c r="AU40" s="14">
        <f t="shared" si="7"/>
        <v>0</v>
      </c>
      <c r="AV40" s="28">
        <v>23</v>
      </c>
      <c r="AW40" s="13"/>
      <c r="AX40" s="14"/>
      <c r="AY40" s="14"/>
      <c r="AZ40" s="14">
        <f t="shared" si="8"/>
        <v>0</v>
      </c>
      <c r="BA40" s="28">
        <v>23</v>
      </c>
      <c r="BB40" s="13"/>
      <c r="BC40" s="14"/>
      <c r="BD40" s="14"/>
      <c r="BE40" s="14">
        <f t="shared" si="9"/>
        <v>0</v>
      </c>
    </row>
    <row r="41" spans="8:57" s="2" customFormat="1" ht="85.15" customHeight="1">
      <c r="H41" s="28">
        <v>24</v>
      </c>
      <c r="I41" s="13"/>
      <c r="J41" s="14"/>
      <c r="K41" s="14"/>
      <c r="L41" s="14">
        <f t="shared" si="0"/>
        <v>0</v>
      </c>
      <c r="M41" s="28">
        <v>24</v>
      </c>
      <c r="N41" s="13"/>
      <c r="O41" s="14"/>
      <c r="P41" s="14"/>
      <c r="Q41" s="14">
        <f t="shared" si="1"/>
        <v>0</v>
      </c>
      <c r="R41" s="28">
        <v>24</v>
      </c>
      <c r="S41" s="13"/>
      <c r="T41" s="14"/>
      <c r="U41" s="14"/>
      <c r="V41" s="14">
        <f t="shared" si="2"/>
        <v>0</v>
      </c>
      <c r="W41" s="28">
        <v>24</v>
      </c>
      <c r="X41" s="13"/>
      <c r="Y41" s="14"/>
      <c r="Z41" s="14"/>
      <c r="AA41" s="14">
        <f t="shared" si="3"/>
        <v>0</v>
      </c>
      <c r="AB41" s="28">
        <v>24</v>
      </c>
      <c r="AC41" s="13"/>
      <c r="AD41" s="14"/>
      <c r="AE41" s="14"/>
      <c r="AF41" s="14">
        <f t="shared" si="4"/>
        <v>0</v>
      </c>
      <c r="AG41" s="28">
        <v>24</v>
      </c>
      <c r="AH41" s="13"/>
      <c r="AI41" s="14"/>
      <c r="AJ41" s="14"/>
      <c r="AK41" s="14">
        <f t="shared" si="5"/>
        <v>0</v>
      </c>
      <c r="AL41" s="28">
        <v>24</v>
      </c>
      <c r="AM41" s="13"/>
      <c r="AN41" s="14"/>
      <c r="AO41" s="14"/>
      <c r="AP41" s="14">
        <f t="shared" si="6"/>
        <v>0</v>
      </c>
      <c r="AQ41" s="28">
        <v>24</v>
      </c>
      <c r="AR41" s="13"/>
      <c r="AS41" s="14"/>
      <c r="AT41" s="14"/>
      <c r="AU41" s="14">
        <f t="shared" si="7"/>
        <v>0</v>
      </c>
      <c r="AV41" s="28">
        <v>24</v>
      </c>
      <c r="AW41" s="13"/>
      <c r="AX41" s="14"/>
      <c r="AY41" s="14"/>
      <c r="AZ41" s="14">
        <f t="shared" si="8"/>
        <v>0</v>
      </c>
      <c r="BA41" s="28">
        <v>24</v>
      </c>
      <c r="BB41" s="13"/>
      <c r="BC41" s="14"/>
      <c r="BD41" s="14"/>
      <c r="BE41" s="14">
        <f t="shared" si="9"/>
        <v>0</v>
      </c>
    </row>
    <row r="42" spans="8:57" s="2" customFormat="1" ht="85.15" customHeight="1">
      <c r="H42" s="28">
        <v>25</v>
      </c>
      <c r="I42" s="13"/>
      <c r="J42" s="14"/>
      <c r="K42" s="14"/>
      <c r="L42" s="14">
        <f t="shared" si="0"/>
        <v>0</v>
      </c>
      <c r="M42" s="28">
        <v>25</v>
      </c>
      <c r="N42" s="13"/>
      <c r="O42" s="14"/>
      <c r="P42" s="14"/>
      <c r="Q42" s="14">
        <f t="shared" si="1"/>
        <v>0</v>
      </c>
      <c r="R42" s="28">
        <v>25</v>
      </c>
      <c r="S42" s="13"/>
      <c r="T42" s="14"/>
      <c r="U42" s="14"/>
      <c r="V42" s="14">
        <f t="shared" si="2"/>
        <v>0</v>
      </c>
      <c r="W42" s="28">
        <v>25</v>
      </c>
      <c r="X42" s="13"/>
      <c r="Y42" s="14"/>
      <c r="Z42" s="14"/>
      <c r="AA42" s="14">
        <f t="shared" si="3"/>
        <v>0</v>
      </c>
      <c r="AB42" s="28">
        <v>25</v>
      </c>
      <c r="AC42" s="13"/>
      <c r="AD42" s="14"/>
      <c r="AE42" s="14"/>
      <c r="AF42" s="14">
        <f t="shared" si="4"/>
        <v>0</v>
      </c>
      <c r="AG42" s="28">
        <v>25</v>
      </c>
      <c r="AH42" s="13"/>
      <c r="AI42" s="14"/>
      <c r="AJ42" s="14"/>
      <c r="AK42" s="14">
        <f t="shared" si="5"/>
        <v>0</v>
      </c>
      <c r="AL42" s="28">
        <v>25</v>
      </c>
      <c r="AM42" s="13"/>
      <c r="AN42" s="14"/>
      <c r="AO42" s="14"/>
      <c r="AP42" s="14">
        <f t="shared" si="6"/>
        <v>0</v>
      </c>
      <c r="AQ42" s="28">
        <v>25</v>
      </c>
      <c r="AR42" s="13"/>
      <c r="AS42" s="14"/>
      <c r="AT42" s="14"/>
      <c r="AU42" s="14">
        <f t="shared" si="7"/>
        <v>0</v>
      </c>
      <c r="AV42" s="28">
        <v>25</v>
      </c>
      <c r="AW42" s="13"/>
      <c r="AX42" s="14"/>
      <c r="AY42" s="14"/>
      <c r="AZ42" s="14">
        <f t="shared" si="8"/>
        <v>0</v>
      </c>
      <c r="BA42" s="28">
        <v>25</v>
      </c>
      <c r="BB42" s="13"/>
      <c r="BC42" s="14"/>
      <c r="BD42" s="14"/>
      <c r="BE42" s="14">
        <f t="shared" si="9"/>
        <v>0</v>
      </c>
    </row>
    <row r="43" spans="8:57" s="2" customFormat="1" ht="85.15" customHeight="1">
      <c r="H43" s="28">
        <v>26</v>
      </c>
      <c r="I43" s="13"/>
      <c r="J43" s="14"/>
      <c r="K43" s="14"/>
      <c r="L43" s="14">
        <f t="shared" si="0"/>
        <v>0</v>
      </c>
      <c r="M43" s="28">
        <v>26</v>
      </c>
      <c r="N43" s="13"/>
      <c r="O43" s="14"/>
      <c r="P43" s="14"/>
      <c r="Q43" s="14">
        <f t="shared" si="1"/>
        <v>0</v>
      </c>
      <c r="R43" s="28">
        <v>26</v>
      </c>
      <c r="S43" s="13"/>
      <c r="T43" s="14"/>
      <c r="U43" s="14"/>
      <c r="V43" s="14">
        <f t="shared" si="2"/>
        <v>0</v>
      </c>
      <c r="W43" s="28">
        <v>26</v>
      </c>
      <c r="X43" s="13"/>
      <c r="Y43" s="14"/>
      <c r="Z43" s="14"/>
      <c r="AA43" s="14">
        <f t="shared" si="3"/>
        <v>0</v>
      </c>
      <c r="AB43" s="28">
        <v>26</v>
      </c>
      <c r="AC43" s="13"/>
      <c r="AD43" s="14"/>
      <c r="AE43" s="14"/>
      <c r="AF43" s="14">
        <f t="shared" si="4"/>
        <v>0</v>
      </c>
      <c r="AG43" s="28">
        <v>26</v>
      </c>
      <c r="AH43" s="13"/>
      <c r="AI43" s="14"/>
      <c r="AJ43" s="14"/>
      <c r="AK43" s="14">
        <f t="shared" si="5"/>
        <v>0</v>
      </c>
      <c r="AL43" s="28">
        <v>26</v>
      </c>
      <c r="AM43" s="13"/>
      <c r="AN43" s="14"/>
      <c r="AO43" s="14"/>
      <c r="AP43" s="14">
        <f t="shared" si="6"/>
        <v>0</v>
      </c>
      <c r="AQ43" s="28">
        <v>26</v>
      </c>
      <c r="AR43" s="13"/>
      <c r="AS43" s="14"/>
      <c r="AT43" s="14"/>
      <c r="AU43" s="14">
        <f t="shared" si="7"/>
        <v>0</v>
      </c>
      <c r="AV43" s="28">
        <v>26</v>
      </c>
      <c r="AW43" s="13"/>
      <c r="AX43" s="14"/>
      <c r="AY43" s="14"/>
      <c r="AZ43" s="14">
        <f t="shared" si="8"/>
        <v>0</v>
      </c>
      <c r="BA43" s="28">
        <v>26</v>
      </c>
      <c r="BB43" s="13"/>
      <c r="BC43" s="14"/>
      <c r="BD43" s="14"/>
      <c r="BE43" s="14">
        <f t="shared" si="9"/>
        <v>0</v>
      </c>
    </row>
    <row r="44" spans="8:57" s="2" customFormat="1" ht="85.15" customHeight="1">
      <c r="H44" s="28">
        <v>27</v>
      </c>
      <c r="I44" s="13"/>
      <c r="J44" s="14"/>
      <c r="K44" s="14"/>
      <c r="L44" s="14">
        <f t="shared" si="0"/>
        <v>0</v>
      </c>
      <c r="M44" s="28">
        <v>27</v>
      </c>
      <c r="N44" s="13"/>
      <c r="O44" s="14"/>
      <c r="P44" s="14"/>
      <c r="Q44" s="14">
        <f t="shared" si="1"/>
        <v>0</v>
      </c>
      <c r="R44" s="28">
        <v>27</v>
      </c>
      <c r="S44" s="13"/>
      <c r="T44" s="14"/>
      <c r="U44" s="14"/>
      <c r="V44" s="14">
        <f t="shared" si="2"/>
        <v>0</v>
      </c>
      <c r="W44" s="28">
        <v>27</v>
      </c>
      <c r="X44" s="13"/>
      <c r="Y44" s="14"/>
      <c r="Z44" s="14"/>
      <c r="AA44" s="14">
        <f t="shared" si="3"/>
        <v>0</v>
      </c>
      <c r="AB44" s="28">
        <v>27</v>
      </c>
      <c r="AC44" s="13"/>
      <c r="AD44" s="14"/>
      <c r="AE44" s="14"/>
      <c r="AF44" s="14">
        <f t="shared" si="4"/>
        <v>0</v>
      </c>
      <c r="AG44" s="28">
        <v>27</v>
      </c>
      <c r="AH44" s="13"/>
      <c r="AI44" s="14"/>
      <c r="AJ44" s="14"/>
      <c r="AK44" s="14">
        <f t="shared" si="5"/>
        <v>0</v>
      </c>
      <c r="AL44" s="28">
        <v>27</v>
      </c>
      <c r="AM44" s="13"/>
      <c r="AN44" s="14"/>
      <c r="AO44" s="14"/>
      <c r="AP44" s="14">
        <f t="shared" si="6"/>
        <v>0</v>
      </c>
      <c r="AQ44" s="28">
        <v>27</v>
      </c>
      <c r="AR44" s="13"/>
      <c r="AS44" s="14"/>
      <c r="AT44" s="14"/>
      <c r="AU44" s="14">
        <f t="shared" si="7"/>
        <v>0</v>
      </c>
      <c r="AV44" s="28">
        <v>27</v>
      </c>
      <c r="AW44" s="13"/>
      <c r="AX44" s="14"/>
      <c r="AY44" s="14"/>
      <c r="AZ44" s="14">
        <f t="shared" si="8"/>
        <v>0</v>
      </c>
      <c r="BA44" s="28">
        <v>27</v>
      </c>
      <c r="BB44" s="13"/>
      <c r="BC44" s="14"/>
      <c r="BD44" s="14"/>
      <c r="BE44" s="14">
        <f t="shared" si="9"/>
        <v>0</v>
      </c>
    </row>
    <row r="45" spans="8:57" s="2" customFormat="1" ht="85.15" customHeight="1">
      <c r="H45" s="28">
        <v>28</v>
      </c>
      <c r="I45" s="13"/>
      <c r="J45" s="14"/>
      <c r="K45" s="14"/>
      <c r="L45" s="14">
        <f t="shared" si="0"/>
        <v>0</v>
      </c>
      <c r="M45" s="28">
        <v>28</v>
      </c>
      <c r="N45" s="13"/>
      <c r="O45" s="14"/>
      <c r="P45" s="14"/>
      <c r="Q45" s="14">
        <f t="shared" si="1"/>
        <v>0</v>
      </c>
      <c r="R45" s="28">
        <v>28</v>
      </c>
      <c r="S45" s="13"/>
      <c r="T45" s="14"/>
      <c r="U45" s="14"/>
      <c r="V45" s="14">
        <f t="shared" si="2"/>
        <v>0</v>
      </c>
      <c r="W45" s="28">
        <v>28</v>
      </c>
      <c r="X45" s="13"/>
      <c r="Y45" s="14"/>
      <c r="Z45" s="14"/>
      <c r="AA45" s="14">
        <f t="shared" si="3"/>
        <v>0</v>
      </c>
      <c r="AB45" s="28">
        <v>28</v>
      </c>
      <c r="AC45" s="13"/>
      <c r="AD45" s="14"/>
      <c r="AE45" s="14"/>
      <c r="AF45" s="14">
        <f t="shared" si="4"/>
        <v>0</v>
      </c>
      <c r="AG45" s="28">
        <v>28</v>
      </c>
      <c r="AH45" s="13"/>
      <c r="AI45" s="14"/>
      <c r="AJ45" s="14"/>
      <c r="AK45" s="14">
        <f t="shared" si="5"/>
        <v>0</v>
      </c>
      <c r="AL45" s="28">
        <v>28</v>
      </c>
      <c r="AM45" s="13"/>
      <c r="AN45" s="14"/>
      <c r="AO45" s="14"/>
      <c r="AP45" s="14">
        <f t="shared" si="6"/>
        <v>0</v>
      </c>
      <c r="AQ45" s="28">
        <v>28</v>
      </c>
      <c r="AR45" s="13"/>
      <c r="AS45" s="14"/>
      <c r="AT45" s="14"/>
      <c r="AU45" s="14">
        <f t="shared" si="7"/>
        <v>0</v>
      </c>
      <c r="AV45" s="28">
        <v>28</v>
      </c>
      <c r="AW45" s="13"/>
      <c r="AX45" s="14"/>
      <c r="AY45" s="14"/>
      <c r="AZ45" s="14">
        <f t="shared" si="8"/>
        <v>0</v>
      </c>
      <c r="BA45" s="28">
        <v>28</v>
      </c>
      <c r="BB45" s="13"/>
      <c r="BC45" s="14"/>
      <c r="BD45" s="14"/>
      <c r="BE45" s="14">
        <f t="shared" si="9"/>
        <v>0</v>
      </c>
    </row>
    <row r="46" spans="8:57" s="2" customFormat="1" ht="85.15" customHeight="1">
      <c r="H46" s="28">
        <v>29</v>
      </c>
      <c r="I46" s="13"/>
      <c r="J46" s="14"/>
      <c r="K46" s="14"/>
      <c r="L46" s="14">
        <f t="shared" si="0"/>
        <v>0</v>
      </c>
      <c r="M46" s="28">
        <v>29</v>
      </c>
      <c r="N46" s="13"/>
      <c r="O46" s="14"/>
      <c r="P46" s="14"/>
      <c r="Q46" s="14">
        <f t="shared" si="1"/>
        <v>0</v>
      </c>
      <c r="R46" s="28">
        <v>29</v>
      </c>
      <c r="S46" s="13"/>
      <c r="T46" s="14"/>
      <c r="U46" s="14"/>
      <c r="V46" s="14">
        <f t="shared" si="2"/>
        <v>0</v>
      </c>
      <c r="W46" s="28">
        <v>29</v>
      </c>
      <c r="X46" s="13"/>
      <c r="Y46" s="14"/>
      <c r="Z46" s="14"/>
      <c r="AA46" s="14">
        <f t="shared" si="3"/>
        <v>0</v>
      </c>
      <c r="AB46" s="28">
        <v>29</v>
      </c>
      <c r="AC46" s="13"/>
      <c r="AD46" s="14"/>
      <c r="AE46" s="14"/>
      <c r="AF46" s="14">
        <f t="shared" si="4"/>
        <v>0</v>
      </c>
      <c r="AG46" s="28">
        <v>29</v>
      </c>
      <c r="AH46" s="13"/>
      <c r="AI46" s="14"/>
      <c r="AJ46" s="14"/>
      <c r="AK46" s="14">
        <f t="shared" si="5"/>
        <v>0</v>
      </c>
      <c r="AL46" s="28">
        <v>29</v>
      </c>
      <c r="AM46" s="13"/>
      <c r="AN46" s="14"/>
      <c r="AO46" s="14"/>
      <c r="AP46" s="14">
        <f t="shared" si="6"/>
        <v>0</v>
      </c>
      <c r="AQ46" s="28">
        <v>29</v>
      </c>
      <c r="AR46" s="13"/>
      <c r="AS46" s="14"/>
      <c r="AT46" s="14"/>
      <c r="AU46" s="14">
        <f t="shared" si="7"/>
        <v>0</v>
      </c>
      <c r="AV46" s="28">
        <v>29</v>
      </c>
      <c r="AW46" s="13"/>
      <c r="AX46" s="14"/>
      <c r="AY46" s="14"/>
      <c r="AZ46" s="14">
        <f t="shared" si="8"/>
        <v>0</v>
      </c>
      <c r="BA46" s="28">
        <v>29</v>
      </c>
      <c r="BB46" s="13"/>
      <c r="BC46" s="14"/>
      <c r="BD46" s="14"/>
      <c r="BE46" s="14">
        <f t="shared" si="9"/>
        <v>0</v>
      </c>
    </row>
    <row r="47" spans="8:57" s="2" customFormat="1" ht="85.15" customHeight="1">
      <c r="H47" s="28">
        <v>30</v>
      </c>
      <c r="I47" s="13"/>
      <c r="J47" s="14"/>
      <c r="K47" s="14"/>
      <c r="L47" s="14">
        <f t="shared" si="0"/>
        <v>0</v>
      </c>
      <c r="M47" s="28">
        <v>30</v>
      </c>
      <c r="N47" s="13"/>
      <c r="O47" s="14"/>
      <c r="P47" s="14"/>
      <c r="Q47" s="14">
        <f t="shared" si="1"/>
        <v>0</v>
      </c>
      <c r="R47" s="28">
        <v>30</v>
      </c>
      <c r="S47" s="13"/>
      <c r="T47" s="14"/>
      <c r="U47" s="14"/>
      <c r="V47" s="14">
        <f t="shared" si="2"/>
        <v>0</v>
      </c>
      <c r="W47" s="28">
        <v>30</v>
      </c>
      <c r="X47" s="13"/>
      <c r="Y47" s="14"/>
      <c r="Z47" s="14"/>
      <c r="AA47" s="14">
        <f t="shared" si="3"/>
        <v>0</v>
      </c>
      <c r="AB47" s="28">
        <v>30</v>
      </c>
      <c r="AC47" s="13"/>
      <c r="AD47" s="14"/>
      <c r="AE47" s="14"/>
      <c r="AF47" s="14">
        <f t="shared" si="4"/>
        <v>0</v>
      </c>
      <c r="AG47" s="28">
        <v>30</v>
      </c>
      <c r="AH47" s="13"/>
      <c r="AI47" s="14"/>
      <c r="AJ47" s="14"/>
      <c r="AK47" s="14">
        <f t="shared" si="5"/>
        <v>0</v>
      </c>
      <c r="AL47" s="28">
        <v>30</v>
      </c>
      <c r="AM47" s="13"/>
      <c r="AN47" s="14"/>
      <c r="AO47" s="14"/>
      <c r="AP47" s="14">
        <f t="shared" si="6"/>
        <v>0</v>
      </c>
      <c r="AQ47" s="28">
        <v>30</v>
      </c>
      <c r="AR47" s="13"/>
      <c r="AS47" s="14"/>
      <c r="AT47" s="14"/>
      <c r="AU47" s="14">
        <f t="shared" si="7"/>
        <v>0</v>
      </c>
      <c r="AV47" s="28">
        <v>30</v>
      </c>
      <c r="AW47" s="13"/>
      <c r="AX47" s="14"/>
      <c r="AY47" s="14"/>
      <c r="AZ47" s="14">
        <f t="shared" si="8"/>
        <v>0</v>
      </c>
      <c r="BA47" s="28">
        <v>30</v>
      </c>
      <c r="BB47" s="13"/>
      <c r="BC47" s="14"/>
      <c r="BD47" s="14"/>
      <c r="BE47" s="14">
        <f t="shared" si="9"/>
        <v>0</v>
      </c>
    </row>
    <row r="48" spans="8:57" s="2" customFormat="1" ht="85.15" customHeight="1">
      <c r="H48" s="28">
        <v>31</v>
      </c>
      <c r="I48" s="13"/>
      <c r="J48" s="14"/>
      <c r="K48" s="14"/>
      <c r="L48" s="14">
        <f t="shared" si="0"/>
        <v>0</v>
      </c>
      <c r="M48" s="28">
        <v>31</v>
      </c>
      <c r="N48" s="13"/>
      <c r="O48" s="14"/>
      <c r="P48" s="14"/>
      <c r="Q48" s="14">
        <f t="shared" si="1"/>
        <v>0</v>
      </c>
      <c r="R48" s="28">
        <v>31</v>
      </c>
      <c r="S48" s="13"/>
      <c r="T48" s="14"/>
      <c r="U48" s="14"/>
      <c r="V48" s="14">
        <f t="shared" si="2"/>
        <v>0</v>
      </c>
      <c r="W48" s="28">
        <v>31</v>
      </c>
      <c r="X48" s="13"/>
      <c r="Y48" s="14"/>
      <c r="Z48" s="14"/>
      <c r="AA48" s="14">
        <f t="shared" si="3"/>
        <v>0</v>
      </c>
      <c r="AB48" s="28">
        <v>31</v>
      </c>
      <c r="AC48" s="13"/>
      <c r="AD48" s="14"/>
      <c r="AE48" s="14"/>
      <c r="AF48" s="14">
        <f t="shared" si="4"/>
        <v>0</v>
      </c>
      <c r="AG48" s="28">
        <v>31</v>
      </c>
      <c r="AH48" s="13"/>
      <c r="AI48" s="14"/>
      <c r="AJ48" s="14"/>
      <c r="AK48" s="14">
        <f t="shared" si="5"/>
        <v>0</v>
      </c>
      <c r="AL48" s="28">
        <v>31</v>
      </c>
      <c r="AM48" s="13"/>
      <c r="AN48" s="14"/>
      <c r="AO48" s="14"/>
      <c r="AP48" s="14">
        <f t="shared" si="6"/>
        <v>0</v>
      </c>
      <c r="AQ48" s="28">
        <v>31</v>
      </c>
      <c r="AR48" s="13"/>
      <c r="AS48" s="14"/>
      <c r="AT48" s="14"/>
      <c r="AU48" s="14">
        <f t="shared" si="7"/>
        <v>0</v>
      </c>
      <c r="AV48" s="28">
        <v>31</v>
      </c>
      <c r="AW48" s="13"/>
      <c r="AX48" s="14"/>
      <c r="AY48" s="14"/>
      <c r="AZ48" s="14">
        <f t="shared" si="8"/>
        <v>0</v>
      </c>
      <c r="BA48" s="28">
        <v>31</v>
      </c>
      <c r="BB48" s="13"/>
      <c r="BC48" s="14"/>
      <c r="BD48" s="14"/>
      <c r="BE48" s="14">
        <f t="shared" si="9"/>
        <v>0</v>
      </c>
    </row>
    <row r="49" spans="8:57" s="2" customFormat="1" ht="85.15" customHeight="1">
      <c r="H49" s="28">
        <v>32</v>
      </c>
      <c r="I49" s="13"/>
      <c r="J49" s="14"/>
      <c r="K49" s="14"/>
      <c r="L49" s="14">
        <f t="shared" si="0"/>
        <v>0</v>
      </c>
      <c r="M49" s="28">
        <v>32</v>
      </c>
      <c r="N49" s="13"/>
      <c r="O49" s="14"/>
      <c r="P49" s="14"/>
      <c r="Q49" s="14">
        <f t="shared" si="1"/>
        <v>0</v>
      </c>
      <c r="R49" s="28">
        <v>32</v>
      </c>
      <c r="S49" s="13"/>
      <c r="T49" s="14"/>
      <c r="U49" s="14"/>
      <c r="V49" s="14">
        <f t="shared" si="2"/>
        <v>0</v>
      </c>
      <c r="W49" s="28">
        <v>32</v>
      </c>
      <c r="X49" s="13"/>
      <c r="Y49" s="14"/>
      <c r="Z49" s="14"/>
      <c r="AA49" s="14">
        <f t="shared" si="3"/>
        <v>0</v>
      </c>
      <c r="AB49" s="28">
        <v>32</v>
      </c>
      <c r="AC49" s="13"/>
      <c r="AD49" s="14"/>
      <c r="AE49" s="14"/>
      <c r="AF49" s="14">
        <f t="shared" si="4"/>
        <v>0</v>
      </c>
      <c r="AG49" s="28">
        <v>32</v>
      </c>
      <c r="AH49" s="13"/>
      <c r="AI49" s="14"/>
      <c r="AJ49" s="14"/>
      <c r="AK49" s="14">
        <f t="shared" si="5"/>
        <v>0</v>
      </c>
      <c r="AL49" s="28">
        <v>32</v>
      </c>
      <c r="AM49" s="13"/>
      <c r="AN49" s="14"/>
      <c r="AO49" s="14"/>
      <c r="AP49" s="14">
        <f t="shared" si="6"/>
        <v>0</v>
      </c>
      <c r="AQ49" s="28">
        <v>32</v>
      </c>
      <c r="AR49" s="13"/>
      <c r="AS49" s="14"/>
      <c r="AT49" s="14"/>
      <c r="AU49" s="14">
        <f t="shared" si="7"/>
        <v>0</v>
      </c>
      <c r="AV49" s="28">
        <v>32</v>
      </c>
      <c r="AW49" s="13"/>
      <c r="AX49" s="14"/>
      <c r="AY49" s="14"/>
      <c r="AZ49" s="14">
        <f t="shared" si="8"/>
        <v>0</v>
      </c>
      <c r="BA49" s="28">
        <v>32</v>
      </c>
      <c r="BB49" s="13"/>
      <c r="BC49" s="14"/>
      <c r="BD49" s="14"/>
      <c r="BE49" s="14">
        <f t="shared" si="9"/>
        <v>0</v>
      </c>
    </row>
    <row r="50" spans="8:57" s="2" customFormat="1" ht="85.15" customHeight="1">
      <c r="H50" s="28">
        <v>33</v>
      </c>
      <c r="I50" s="13"/>
      <c r="J50" s="14"/>
      <c r="K50" s="14"/>
      <c r="L50" s="14">
        <f t="shared" si="0"/>
        <v>0</v>
      </c>
      <c r="M50" s="28">
        <v>33</v>
      </c>
      <c r="N50" s="13"/>
      <c r="O50" s="14"/>
      <c r="P50" s="14"/>
      <c r="Q50" s="14">
        <f t="shared" si="1"/>
        <v>0</v>
      </c>
      <c r="R50" s="28">
        <v>33</v>
      </c>
      <c r="S50" s="13"/>
      <c r="T50" s="14"/>
      <c r="U50" s="14"/>
      <c r="V50" s="14">
        <f t="shared" si="2"/>
        <v>0</v>
      </c>
      <c r="W50" s="28">
        <v>33</v>
      </c>
      <c r="X50" s="13"/>
      <c r="Y50" s="14"/>
      <c r="Z50" s="14"/>
      <c r="AA50" s="14">
        <f t="shared" si="3"/>
        <v>0</v>
      </c>
      <c r="AB50" s="28">
        <v>33</v>
      </c>
      <c r="AC50" s="13"/>
      <c r="AD50" s="14"/>
      <c r="AE50" s="14"/>
      <c r="AF50" s="14">
        <f t="shared" si="4"/>
        <v>0</v>
      </c>
      <c r="AG50" s="28">
        <v>33</v>
      </c>
      <c r="AH50" s="13"/>
      <c r="AI50" s="14"/>
      <c r="AJ50" s="14"/>
      <c r="AK50" s="14">
        <f t="shared" si="5"/>
        <v>0</v>
      </c>
      <c r="AL50" s="28">
        <v>33</v>
      </c>
      <c r="AM50" s="13"/>
      <c r="AN50" s="14"/>
      <c r="AO50" s="14"/>
      <c r="AP50" s="14">
        <f t="shared" si="6"/>
        <v>0</v>
      </c>
      <c r="AQ50" s="28">
        <v>33</v>
      </c>
      <c r="AR50" s="13"/>
      <c r="AS50" s="14"/>
      <c r="AT50" s="14"/>
      <c r="AU50" s="14">
        <f t="shared" si="7"/>
        <v>0</v>
      </c>
      <c r="AV50" s="28">
        <v>33</v>
      </c>
      <c r="AW50" s="13"/>
      <c r="AX50" s="14"/>
      <c r="AY50" s="14"/>
      <c r="AZ50" s="14">
        <f t="shared" si="8"/>
        <v>0</v>
      </c>
      <c r="BA50" s="28">
        <v>33</v>
      </c>
      <c r="BB50" s="13"/>
      <c r="BC50" s="14"/>
      <c r="BD50" s="14"/>
      <c r="BE50" s="14">
        <f t="shared" si="9"/>
        <v>0</v>
      </c>
    </row>
    <row r="51" spans="8:57" s="2" customFormat="1" ht="85.15" customHeight="1">
      <c r="H51" s="28">
        <v>34</v>
      </c>
      <c r="I51" s="13"/>
      <c r="J51" s="14"/>
      <c r="K51" s="14"/>
      <c r="L51" s="14">
        <f t="shared" si="0"/>
        <v>0</v>
      </c>
      <c r="M51" s="28">
        <v>34</v>
      </c>
      <c r="N51" s="13"/>
      <c r="O51" s="14"/>
      <c r="P51" s="14"/>
      <c r="Q51" s="14">
        <f t="shared" si="1"/>
        <v>0</v>
      </c>
      <c r="R51" s="28">
        <v>34</v>
      </c>
      <c r="S51" s="13"/>
      <c r="T51" s="14"/>
      <c r="U51" s="14"/>
      <c r="V51" s="14">
        <f t="shared" si="2"/>
        <v>0</v>
      </c>
      <c r="W51" s="28">
        <v>34</v>
      </c>
      <c r="X51" s="13"/>
      <c r="Y51" s="14"/>
      <c r="Z51" s="14"/>
      <c r="AA51" s="14">
        <f t="shared" si="3"/>
        <v>0</v>
      </c>
      <c r="AB51" s="28">
        <v>34</v>
      </c>
      <c r="AC51" s="13"/>
      <c r="AD51" s="14"/>
      <c r="AE51" s="14"/>
      <c r="AF51" s="14">
        <f t="shared" si="4"/>
        <v>0</v>
      </c>
      <c r="AG51" s="28">
        <v>34</v>
      </c>
      <c r="AH51" s="13"/>
      <c r="AI51" s="14"/>
      <c r="AJ51" s="14"/>
      <c r="AK51" s="14">
        <f t="shared" si="5"/>
        <v>0</v>
      </c>
      <c r="AL51" s="28">
        <v>34</v>
      </c>
      <c r="AM51" s="13"/>
      <c r="AN51" s="14"/>
      <c r="AO51" s="14"/>
      <c r="AP51" s="14">
        <f t="shared" si="6"/>
        <v>0</v>
      </c>
      <c r="AQ51" s="28">
        <v>34</v>
      </c>
      <c r="AR51" s="13"/>
      <c r="AS51" s="14"/>
      <c r="AT51" s="14"/>
      <c r="AU51" s="14">
        <f t="shared" si="7"/>
        <v>0</v>
      </c>
      <c r="AV51" s="28">
        <v>34</v>
      </c>
      <c r="AW51" s="13"/>
      <c r="AX51" s="14"/>
      <c r="AY51" s="14"/>
      <c r="AZ51" s="14">
        <f t="shared" si="8"/>
        <v>0</v>
      </c>
      <c r="BA51" s="28">
        <v>34</v>
      </c>
      <c r="BB51" s="13"/>
      <c r="BC51" s="14"/>
      <c r="BD51" s="14"/>
      <c r="BE51" s="14">
        <f t="shared" si="9"/>
        <v>0</v>
      </c>
    </row>
    <row r="52" spans="8:57" s="2" customFormat="1" ht="85.15" customHeight="1">
      <c r="H52" s="28">
        <v>35</v>
      </c>
      <c r="I52" s="13"/>
      <c r="J52" s="14"/>
      <c r="K52" s="14"/>
      <c r="L52" s="14">
        <f t="shared" si="0"/>
        <v>0</v>
      </c>
      <c r="M52" s="28">
        <v>35</v>
      </c>
      <c r="N52" s="13"/>
      <c r="O52" s="14"/>
      <c r="P52" s="14"/>
      <c r="Q52" s="14">
        <f t="shared" si="1"/>
        <v>0</v>
      </c>
      <c r="R52" s="28">
        <v>35</v>
      </c>
      <c r="S52" s="13"/>
      <c r="T52" s="14"/>
      <c r="U52" s="14"/>
      <c r="V52" s="14">
        <f t="shared" si="2"/>
        <v>0</v>
      </c>
      <c r="W52" s="28">
        <v>35</v>
      </c>
      <c r="X52" s="13"/>
      <c r="Y52" s="14"/>
      <c r="Z52" s="14"/>
      <c r="AA52" s="14">
        <f t="shared" si="3"/>
        <v>0</v>
      </c>
      <c r="AB52" s="28">
        <v>35</v>
      </c>
      <c r="AC52" s="13"/>
      <c r="AD52" s="14"/>
      <c r="AE52" s="14"/>
      <c r="AF52" s="14">
        <f t="shared" si="4"/>
        <v>0</v>
      </c>
      <c r="AG52" s="28">
        <v>35</v>
      </c>
      <c r="AH52" s="13"/>
      <c r="AI52" s="14"/>
      <c r="AJ52" s="14"/>
      <c r="AK52" s="14">
        <f t="shared" si="5"/>
        <v>0</v>
      </c>
      <c r="AL52" s="28">
        <v>35</v>
      </c>
      <c r="AM52" s="13"/>
      <c r="AN52" s="14"/>
      <c r="AO52" s="14"/>
      <c r="AP52" s="14">
        <f t="shared" si="6"/>
        <v>0</v>
      </c>
      <c r="AQ52" s="28">
        <v>35</v>
      </c>
      <c r="AR52" s="13"/>
      <c r="AS52" s="14"/>
      <c r="AT52" s="14"/>
      <c r="AU52" s="14">
        <f t="shared" si="7"/>
        <v>0</v>
      </c>
      <c r="AV52" s="28">
        <v>35</v>
      </c>
      <c r="AW52" s="13"/>
      <c r="AX52" s="14"/>
      <c r="AY52" s="14"/>
      <c r="AZ52" s="14">
        <f t="shared" si="8"/>
        <v>0</v>
      </c>
      <c r="BA52" s="28">
        <v>35</v>
      </c>
      <c r="BB52" s="13"/>
      <c r="BC52" s="14"/>
      <c r="BD52" s="14"/>
      <c r="BE52" s="14">
        <f t="shared" si="9"/>
        <v>0</v>
      </c>
    </row>
    <row r="53" spans="8:57" s="2" customFormat="1" ht="85.15" customHeight="1">
      <c r="H53" s="28">
        <v>36</v>
      </c>
      <c r="I53" s="13"/>
      <c r="J53" s="14"/>
      <c r="K53" s="14"/>
      <c r="L53" s="14">
        <f t="shared" si="0"/>
        <v>0</v>
      </c>
      <c r="M53" s="28">
        <v>36</v>
      </c>
      <c r="N53" s="13"/>
      <c r="O53" s="14"/>
      <c r="P53" s="14"/>
      <c r="Q53" s="14">
        <f t="shared" si="1"/>
        <v>0</v>
      </c>
      <c r="R53" s="28">
        <v>36</v>
      </c>
      <c r="S53" s="13"/>
      <c r="T53" s="14"/>
      <c r="U53" s="14"/>
      <c r="V53" s="14">
        <f t="shared" si="2"/>
        <v>0</v>
      </c>
      <c r="W53" s="28">
        <v>36</v>
      </c>
      <c r="X53" s="13"/>
      <c r="Y53" s="14"/>
      <c r="Z53" s="14"/>
      <c r="AA53" s="14">
        <f t="shared" si="3"/>
        <v>0</v>
      </c>
      <c r="AB53" s="28">
        <v>36</v>
      </c>
      <c r="AC53" s="13"/>
      <c r="AD53" s="14"/>
      <c r="AE53" s="14"/>
      <c r="AF53" s="14">
        <f t="shared" si="4"/>
        <v>0</v>
      </c>
      <c r="AG53" s="28">
        <v>36</v>
      </c>
      <c r="AH53" s="13"/>
      <c r="AI53" s="14"/>
      <c r="AJ53" s="14"/>
      <c r="AK53" s="14">
        <f t="shared" si="5"/>
        <v>0</v>
      </c>
      <c r="AL53" s="28">
        <v>36</v>
      </c>
      <c r="AM53" s="13"/>
      <c r="AN53" s="14"/>
      <c r="AO53" s="14"/>
      <c r="AP53" s="14">
        <f t="shared" si="6"/>
        <v>0</v>
      </c>
      <c r="AQ53" s="28">
        <v>36</v>
      </c>
      <c r="AR53" s="13"/>
      <c r="AS53" s="14"/>
      <c r="AT53" s="14"/>
      <c r="AU53" s="14">
        <f t="shared" si="7"/>
        <v>0</v>
      </c>
      <c r="AV53" s="28">
        <v>36</v>
      </c>
      <c r="AW53" s="13"/>
      <c r="AX53" s="14"/>
      <c r="AY53" s="14"/>
      <c r="AZ53" s="14">
        <f t="shared" si="8"/>
        <v>0</v>
      </c>
      <c r="BA53" s="28">
        <v>36</v>
      </c>
      <c r="BB53" s="13"/>
      <c r="BC53" s="14"/>
      <c r="BD53" s="14"/>
      <c r="BE53" s="14">
        <f t="shared" si="9"/>
        <v>0</v>
      </c>
    </row>
    <row r="54" spans="8:57" s="2" customFormat="1" ht="85.15" customHeight="1">
      <c r="H54" s="28">
        <v>37</v>
      </c>
      <c r="I54" s="13"/>
      <c r="J54" s="14"/>
      <c r="K54" s="14"/>
      <c r="L54" s="14">
        <f t="shared" si="0"/>
        <v>0</v>
      </c>
      <c r="M54" s="28">
        <v>37</v>
      </c>
      <c r="N54" s="13"/>
      <c r="O54" s="14"/>
      <c r="P54" s="14"/>
      <c r="Q54" s="14">
        <f t="shared" si="1"/>
        <v>0</v>
      </c>
      <c r="R54" s="28">
        <v>37</v>
      </c>
      <c r="S54" s="13"/>
      <c r="T54" s="14"/>
      <c r="U54" s="14"/>
      <c r="V54" s="14">
        <f t="shared" si="2"/>
        <v>0</v>
      </c>
      <c r="W54" s="28">
        <v>37</v>
      </c>
      <c r="X54" s="13"/>
      <c r="Y54" s="14"/>
      <c r="Z54" s="14"/>
      <c r="AA54" s="14">
        <f t="shared" si="3"/>
        <v>0</v>
      </c>
      <c r="AB54" s="28">
        <v>37</v>
      </c>
      <c r="AC54" s="13"/>
      <c r="AD54" s="14"/>
      <c r="AE54" s="14"/>
      <c r="AF54" s="14">
        <f t="shared" si="4"/>
        <v>0</v>
      </c>
      <c r="AG54" s="28">
        <v>37</v>
      </c>
      <c r="AH54" s="13"/>
      <c r="AI54" s="14"/>
      <c r="AJ54" s="14"/>
      <c r="AK54" s="14">
        <f t="shared" si="5"/>
        <v>0</v>
      </c>
      <c r="AL54" s="28">
        <v>37</v>
      </c>
      <c r="AM54" s="13"/>
      <c r="AN54" s="14"/>
      <c r="AO54" s="14"/>
      <c r="AP54" s="14">
        <f t="shared" si="6"/>
        <v>0</v>
      </c>
      <c r="AQ54" s="28">
        <v>37</v>
      </c>
      <c r="AR54" s="13"/>
      <c r="AS54" s="14"/>
      <c r="AT54" s="14"/>
      <c r="AU54" s="14">
        <f t="shared" si="7"/>
        <v>0</v>
      </c>
      <c r="AV54" s="28">
        <v>37</v>
      </c>
      <c r="AW54" s="13"/>
      <c r="AX54" s="14"/>
      <c r="AY54" s="14"/>
      <c r="AZ54" s="14">
        <f t="shared" si="8"/>
        <v>0</v>
      </c>
      <c r="BA54" s="28">
        <v>37</v>
      </c>
      <c r="BB54" s="13"/>
      <c r="BC54" s="14"/>
      <c r="BD54" s="14"/>
      <c r="BE54" s="14">
        <f t="shared" si="9"/>
        <v>0</v>
      </c>
    </row>
    <row r="55" spans="8:57" s="2" customFormat="1" ht="85.15" customHeight="1">
      <c r="H55" s="28">
        <v>38</v>
      </c>
      <c r="I55" s="13"/>
      <c r="J55" s="14"/>
      <c r="K55" s="14"/>
      <c r="L55" s="14">
        <f t="shared" si="0"/>
        <v>0</v>
      </c>
      <c r="M55" s="28">
        <v>38</v>
      </c>
      <c r="N55" s="13"/>
      <c r="O55" s="14"/>
      <c r="P55" s="14"/>
      <c r="Q55" s="14">
        <f t="shared" si="1"/>
        <v>0</v>
      </c>
      <c r="R55" s="28">
        <v>38</v>
      </c>
      <c r="S55" s="13"/>
      <c r="T55" s="14"/>
      <c r="U55" s="14"/>
      <c r="V55" s="14">
        <f t="shared" si="2"/>
        <v>0</v>
      </c>
      <c r="W55" s="28">
        <v>38</v>
      </c>
      <c r="X55" s="13"/>
      <c r="Y55" s="14"/>
      <c r="Z55" s="14"/>
      <c r="AA55" s="14">
        <f t="shared" si="3"/>
        <v>0</v>
      </c>
      <c r="AB55" s="28">
        <v>38</v>
      </c>
      <c r="AC55" s="13"/>
      <c r="AD55" s="14"/>
      <c r="AE55" s="14"/>
      <c r="AF55" s="14">
        <f t="shared" si="4"/>
        <v>0</v>
      </c>
      <c r="AG55" s="28">
        <v>38</v>
      </c>
      <c r="AH55" s="13"/>
      <c r="AI55" s="14"/>
      <c r="AJ55" s="14"/>
      <c r="AK55" s="14">
        <f t="shared" si="5"/>
        <v>0</v>
      </c>
      <c r="AL55" s="28">
        <v>38</v>
      </c>
      <c r="AM55" s="13"/>
      <c r="AN55" s="14"/>
      <c r="AO55" s="14"/>
      <c r="AP55" s="14">
        <f t="shared" si="6"/>
        <v>0</v>
      </c>
      <c r="AQ55" s="28">
        <v>38</v>
      </c>
      <c r="AR55" s="13"/>
      <c r="AS55" s="14"/>
      <c r="AT55" s="14"/>
      <c r="AU55" s="14">
        <f t="shared" si="7"/>
        <v>0</v>
      </c>
      <c r="AV55" s="28">
        <v>38</v>
      </c>
      <c r="AW55" s="13"/>
      <c r="AX55" s="14"/>
      <c r="AY55" s="14"/>
      <c r="AZ55" s="14">
        <f t="shared" si="8"/>
        <v>0</v>
      </c>
      <c r="BA55" s="28">
        <v>38</v>
      </c>
      <c r="BB55" s="13"/>
      <c r="BC55" s="14"/>
      <c r="BD55" s="14"/>
      <c r="BE55" s="14">
        <f t="shared" si="9"/>
        <v>0</v>
      </c>
    </row>
    <row r="56" spans="8:57" s="2" customFormat="1" ht="85.15" customHeight="1">
      <c r="H56" s="28">
        <v>39</v>
      </c>
      <c r="I56" s="13"/>
      <c r="J56" s="14"/>
      <c r="K56" s="14"/>
      <c r="L56" s="14">
        <f t="shared" si="0"/>
        <v>0</v>
      </c>
      <c r="M56" s="28">
        <v>39</v>
      </c>
      <c r="N56" s="13"/>
      <c r="O56" s="14"/>
      <c r="P56" s="14"/>
      <c r="Q56" s="14">
        <f t="shared" si="1"/>
        <v>0</v>
      </c>
      <c r="R56" s="28">
        <v>39</v>
      </c>
      <c r="S56" s="13"/>
      <c r="T56" s="14"/>
      <c r="U56" s="14"/>
      <c r="V56" s="14">
        <f t="shared" si="2"/>
        <v>0</v>
      </c>
      <c r="W56" s="28">
        <v>39</v>
      </c>
      <c r="X56" s="13"/>
      <c r="Y56" s="14"/>
      <c r="Z56" s="14"/>
      <c r="AA56" s="14">
        <f t="shared" si="3"/>
        <v>0</v>
      </c>
      <c r="AB56" s="28">
        <v>39</v>
      </c>
      <c r="AC56" s="13"/>
      <c r="AD56" s="14"/>
      <c r="AE56" s="14"/>
      <c r="AF56" s="14">
        <f t="shared" si="4"/>
        <v>0</v>
      </c>
      <c r="AG56" s="28">
        <v>39</v>
      </c>
      <c r="AH56" s="13"/>
      <c r="AI56" s="14"/>
      <c r="AJ56" s="14"/>
      <c r="AK56" s="14">
        <f t="shared" si="5"/>
        <v>0</v>
      </c>
      <c r="AL56" s="28">
        <v>39</v>
      </c>
      <c r="AM56" s="13"/>
      <c r="AN56" s="14"/>
      <c r="AO56" s="14"/>
      <c r="AP56" s="14">
        <f t="shared" si="6"/>
        <v>0</v>
      </c>
      <c r="AQ56" s="28">
        <v>39</v>
      </c>
      <c r="AR56" s="13"/>
      <c r="AS56" s="14"/>
      <c r="AT56" s="14"/>
      <c r="AU56" s="14">
        <f t="shared" si="7"/>
        <v>0</v>
      </c>
      <c r="AV56" s="28">
        <v>39</v>
      </c>
      <c r="AW56" s="13"/>
      <c r="AX56" s="14"/>
      <c r="AY56" s="14"/>
      <c r="AZ56" s="14">
        <f t="shared" si="8"/>
        <v>0</v>
      </c>
      <c r="BA56" s="28">
        <v>39</v>
      </c>
      <c r="BB56" s="13"/>
      <c r="BC56" s="14"/>
      <c r="BD56" s="14"/>
      <c r="BE56" s="14">
        <f t="shared" si="9"/>
        <v>0</v>
      </c>
    </row>
    <row r="57" spans="8:57" s="2" customFormat="1" ht="85.15" customHeight="1">
      <c r="H57" s="28">
        <v>40</v>
      </c>
      <c r="I57" s="13"/>
      <c r="J57" s="14"/>
      <c r="K57" s="14"/>
      <c r="L57" s="14">
        <f t="shared" si="0"/>
        <v>0</v>
      </c>
      <c r="M57" s="28">
        <v>40</v>
      </c>
      <c r="N57" s="13"/>
      <c r="O57" s="14"/>
      <c r="P57" s="14"/>
      <c r="Q57" s="14">
        <f t="shared" si="1"/>
        <v>0</v>
      </c>
      <c r="R57" s="28">
        <v>40</v>
      </c>
      <c r="S57" s="13"/>
      <c r="T57" s="14"/>
      <c r="U57" s="14"/>
      <c r="V57" s="14">
        <f t="shared" si="2"/>
        <v>0</v>
      </c>
      <c r="W57" s="28">
        <v>40</v>
      </c>
      <c r="X57" s="13"/>
      <c r="Y57" s="14"/>
      <c r="Z57" s="14"/>
      <c r="AA57" s="14">
        <f t="shared" si="3"/>
        <v>0</v>
      </c>
      <c r="AB57" s="28">
        <v>40</v>
      </c>
      <c r="AC57" s="13"/>
      <c r="AD57" s="14"/>
      <c r="AE57" s="14"/>
      <c r="AF57" s="14">
        <f t="shared" si="4"/>
        <v>0</v>
      </c>
      <c r="AG57" s="28">
        <v>40</v>
      </c>
      <c r="AH57" s="13"/>
      <c r="AI57" s="14"/>
      <c r="AJ57" s="14"/>
      <c r="AK57" s="14">
        <f t="shared" si="5"/>
        <v>0</v>
      </c>
      <c r="AL57" s="28">
        <v>40</v>
      </c>
      <c r="AM57" s="13"/>
      <c r="AN57" s="14"/>
      <c r="AO57" s="14"/>
      <c r="AP57" s="14">
        <f t="shared" si="6"/>
        <v>0</v>
      </c>
      <c r="AQ57" s="28">
        <v>40</v>
      </c>
      <c r="AR57" s="13"/>
      <c r="AS57" s="14"/>
      <c r="AT57" s="14"/>
      <c r="AU57" s="14">
        <f t="shared" si="7"/>
        <v>0</v>
      </c>
      <c r="AV57" s="28">
        <v>40</v>
      </c>
      <c r="AW57" s="13"/>
      <c r="AX57" s="14"/>
      <c r="AY57" s="14"/>
      <c r="AZ57" s="14">
        <f t="shared" si="8"/>
        <v>0</v>
      </c>
      <c r="BA57" s="28">
        <v>40</v>
      </c>
      <c r="BB57" s="13"/>
      <c r="BC57" s="14"/>
      <c r="BD57" s="14"/>
      <c r="BE57" s="14">
        <f t="shared" si="9"/>
        <v>0</v>
      </c>
    </row>
    <row r="58" spans="8:57" s="2" customFormat="1" ht="85.15" customHeight="1">
      <c r="H58" s="28">
        <v>41</v>
      </c>
      <c r="I58" s="13"/>
      <c r="J58" s="14"/>
      <c r="K58" s="14"/>
      <c r="L58" s="14">
        <f t="shared" si="0"/>
        <v>0</v>
      </c>
      <c r="M58" s="28">
        <v>41</v>
      </c>
      <c r="N58" s="13"/>
      <c r="O58" s="14"/>
      <c r="P58" s="14"/>
      <c r="Q58" s="14">
        <f t="shared" si="1"/>
        <v>0</v>
      </c>
      <c r="R58" s="28">
        <v>41</v>
      </c>
      <c r="S58" s="13"/>
      <c r="T58" s="14"/>
      <c r="U58" s="14"/>
      <c r="V58" s="14">
        <f t="shared" si="2"/>
        <v>0</v>
      </c>
      <c r="W58" s="28">
        <v>41</v>
      </c>
      <c r="X58" s="13"/>
      <c r="Y58" s="14"/>
      <c r="Z58" s="14"/>
      <c r="AA58" s="14">
        <f t="shared" si="3"/>
        <v>0</v>
      </c>
      <c r="AB58" s="28">
        <v>41</v>
      </c>
      <c r="AC58" s="13"/>
      <c r="AD58" s="14"/>
      <c r="AE58" s="14"/>
      <c r="AF58" s="14">
        <f t="shared" si="4"/>
        <v>0</v>
      </c>
      <c r="AG58" s="28">
        <v>41</v>
      </c>
      <c r="AH58" s="13"/>
      <c r="AI58" s="14"/>
      <c r="AJ58" s="14"/>
      <c r="AK58" s="14">
        <f t="shared" si="5"/>
        <v>0</v>
      </c>
      <c r="AL58" s="28">
        <v>41</v>
      </c>
      <c r="AM58" s="13"/>
      <c r="AN58" s="14"/>
      <c r="AO58" s="14"/>
      <c r="AP58" s="14">
        <f t="shared" si="6"/>
        <v>0</v>
      </c>
      <c r="AQ58" s="28">
        <v>41</v>
      </c>
      <c r="AR58" s="13"/>
      <c r="AS58" s="14"/>
      <c r="AT58" s="14"/>
      <c r="AU58" s="14">
        <f t="shared" si="7"/>
        <v>0</v>
      </c>
      <c r="AV58" s="28">
        <v>41</v>
      </c>
      <c r="AW58" s="13"/>
      <c r="AX58" s="14"/>
      <c r="AY58" s="14"/>
      <c r="AZ58" s="14">
        <f t="shared" si="8"/>
        <v>0</v>
      </c>
      <c r="BA58" s="28">
        <v>41</v>
      </c>
      <c r="BB58" s="13"/>
      <c r="BC58" s="14"/>
      <c r="BD58" s="14"/>
      <c r="BE58" s="14">
        <f t="shared" si="9"/>
        <v>0</v>
      </c>
    </row>
    <row r="59" spans="8:57" s="2" customFormat="1" ht="85.15" customHeight="1">
      <c r="H59" s="28">
        <v>42</v>
      </c>
      <c r="I59" s="13"/>
      <c r="J59" s="14"/>
      <c r="K59" s="14"/>
      <c r="L59" s="14">
        <f t="shared" si="0"/>
        <v>0</v>
      </c>
      <c r="M59" s="28">
        <v>42</v>
      </c>
      <c r="N59" s="13"/>
      <c r="O59" s="14"/>
      <c r="P59" s="14"/>
      <c r="Q59" s="14">
        <f t="shared" si="1"/>
        <v>0</v>
      </c>
      <c r="R59" s="28">
        <v>42</v>
      </c>
      <c r="S59" s="13"/>
      <c r="T59" s="14"/>
      <c r="U59" s="14"/>
      <c r="V59" s="14">
        <f t="shared" si="2"/>
        <v>0</v>
      </c>
      <c r="W59" s="28">
        <v>42</v>
      </c>
      <c r="X59" s="13"/>
      <c r="Y59" s="14"/>
      <c r="Z59" s="14"/>
      <c r="AA59" s="14">
        <f t="shared" si="3"/>
        <v>0</v>
      </c>
      <c r="AB59" s="28">
        <v>42</v>
      </c>
      <c r="AC59" s="13"/>
      <c r="AD59" s="14"/>
      <c r="AE59" s="14"/>
      <c r="AF59" s="14">
        <f t="shared" si="4"/>
        <v>0</v>
      </c>
      <c r="AG59" s="28">
        <v>42</v>
      </c>
      <c r="AH59" s="13"/>
      <c r="AI59" s="14"/>
      <c r="AJ59" s="14"/>
      <c r="AK59" s="14">
        <f t="shared" si="5"/>
        <v>0</v>
      </c>
      <c r="AL59" s="28">
        <v>42</v>
      </c>
      <c r="AM59" s="13"/>
      <c r="AN59" s="14"/>
      <c r="AO59" s="14"/>
      <c r="AP59" s="14">
        <f t="shared" si="6"/>
        <v>0</v>
      </c>
      <c r="AQ59" s="28">
        <v>42</v>
      </c>
      <c r="AR59" s="13"/>
      <c r="AS59" s="14"/>
      <c r="AT59" s="14"/>
      <c r="AU59" s="14">
        <f t="shared" si="7"/>
        <v>0</v>
      </c>
      <c r="AV59" s="28">
        <v>42</v>
      </c>
      <c r="AW59" s="13"/>
      <c r="AX59" s="14"/>
      <c r="AY59" s="14"/>
      <c r="AZ59" s="14">
        <f t="shared" si="8"/>
        <v>0</v>
      </c>
      <c r="BA59" s="28">
        <v>42</v>
      </c>
      <c r="BB59" s="13"/>
      <c r="BC59" s="14"/>
      <c r="BD59" s="14"/>
      <c r="BE59" s="14">
        <f t="shared" si="9"/>
        <v>0</v>
      </c>
    </row>
    <row r="60" spans="8:57" s="2" customFormat="1" ht="85.15" customHeight="1">
      <c r="H60" s="28">
        <v>43</v>
      </c>
      <c r="I60" s="13"/>
      <c r="J60" s="14"/>
      <c r="K60" s="14"/>
      <c r="L60" s="14">
        <f t="shared" si="0"/>
        <v>0</v>
      </c>
      <c r="M60" s="28">
        <v>43</v>
      </c>
      <c r="N60" s="13"/>
      <c r="O60" s="14"/>
      <c r="P60" s="14"/>
      <c r="Q60" s="14">
        <f t="shared" si="1"/>
        <v>0</v>
      </c>
      <c r="R60" s="28">
        <v>43</v>
      </c>
      <c r="S60" s="13"/>
      <c r="T60" s="14"/>
      <c r="U60" s="14"/>
      <c r="V60" s="14">
        <f t="shared" si="2"/>
        <v>0</v>
      </c>
      <c r="W60" s="28">
        <v>43</v>
      </c>
      <c r="X60" s="13"/>
      <c r="Y60" s="14"/>
      <c r="Z60" s="14"/>
      <c r="AA60" s="14">
        <f t="shared" si="3"/>
        <v>0</v>
      </c>
      <c r="AB60" s="28">
        <v>43</v>
      </c>
      <c r="AC60" s="13"/>
      <c r="AD60" s="14"/>
      <c r="AE60" s="14"/>
      <c r="AF60" s="14">
        <f t="shared" si="4"/>
        <v>0</v>
      </c>
      <c r="AG60" s="28">
        <v>43</v>
      </c>
      <c r="AH60" s="13"/>
      <c r="AI60" s="14"/>
      <c r="AJ60" s="14"/>
      <c r="AK60" s="14">
        <f t="shared" si="5"/>
        <v>0</v>
      </c>
      <c r="AL60" s="28">
        <v>43</v>
      </c>
      <c r="AM60" s="13"/>
      <c r="AN60" s="14"/>
      <c r="AO60" s="14"/>
      <c r="AP60" s="14">
        <f t="shared" si="6"/>
        <v>0</v>
      </c>
      <c r="AQ60" s="28">
        <v>43</v>
      </c>
      <c r="AR60" s="13"/>
      <c r="AS60" s="14"/>
      <c r="AT60" s="14"/>
      <c r="AU60" s="14">
        <f t="shared" si="7"/>
        <v>0</v>
      </c>
      <c r="AV60" s="28">
        <v>43</v>
      </c>
      <c r="AW60" s="13"/>
      <c r="AX60" s="14"/>
      <c r="AY60" s="14"/>
      <c r="AZ60" s="14">
        <f t="shared" si="8"/>
        <v>0</v>
      </c>
      <c r="BA60" s="28">
        <v>43</v>
      </c>
      <c r="BB60" s="13"/>
      <c r="BC60" s="14"/>
      <c r="BD60" s="14"/>
      <c r="BE60" s="14">
        <f t="shared" si="9"/>
        <v>0</v>
      </c>
    </row>
    <row r="61" spans="8:57" s="2" customFormat="1" ht="85.15" customHeight="1">
      <c r="H61" s="28">
        <v>44</v>
      </c>
      <c r="I61" s="13"/>
      <c r="J61" s="14"/>
      <c r="K61" s="14"/>
      <c r="L61" s="14">
        <f t="shared" si="0"/>
        <v>0</v>
      </c>
      <c r="M61" s="28">
        <v>44</v>
      </c>
      <c r="N61" s="13"/>
      <c r="O61" s="14"/>
      <c r="P61" s="14"/>
      <c r="Q61" s="14">
        <f t="shared" si="1"/>
        <v>0</v>
      </c>
      <c r="R61" s="28">
        <v>44</v>
      </c>
      <c r="S61" s="13"/>
      <c r="T61" s="14"/>
      <c r="U61" s="14"/>
      <c r="V61" s="14">
        <f t="shared" si="2"/>
        <v>0</v>
      </c>
      <c r="W61" s="28">
        <v>44</v>
      </c>
      <c r="X61" s="13"/>
      <c r="Y61" s="14"/>
      <c r="Z61" s="14"/>
      <c r="AA61" s="14">
        <f t="shared" si="3"/>
        <v>0</v>
      </c>
      <c r="AB61" s="28">
        <v>44</v>
      </c>
      <c r="AC61" s="13"/>
      <c r="AD61" s="14"/>
      <c r="AE61" s="14"/>
      <c r="AF61" s="14">
        <f t="shared" si="4"/>
        <v>0</v>
      </c>
      <c r="AG61" s="28">
        <v>44</v>
      </c>
      <c r="AH61" s="13"/>
      <c r="AI61" s="14"/>
      <c r="AJ61" s="14"/>
      <c r="AK61" s="14">
        <f t="shared" si="5"/>
        <v>0</v>
      </c>
      <c r="AL61" s="28">
        <v>44</v>
      </c>
      <c r="AM61" s="13"/>
      <c r="AN61" s="14"/>
      <c r="AO61" s="14"/>
      <c r="AP61" s="14">
        <f t="shared" si="6"/>
        <v>0</v>
      </c>
      <c r="AQ61" s="28">
        <v>44</v>
      </c>
      <c r="AR61" s="13"/>
      <c r="AS61" s="14"/>
      <c r="AT61" s="14"/>
      <c r="AU61" s="14">
        <f t="shared" si="7"/>
        <v>0</v>
      </c>
      <c r="AV61" s="28">
        <v>44</v>
      </c>
      <c r="AW61" s="13"/>
      <c r="AX61" s="14"/>
      <c r="AY61" s="14"/>
      <c r="AZ61" s="14">
        <f t="shared" si="8"/>
        <v>0</v>
      </c>
      <c r="BA61" s="28">
        <v>44</v>
      </c>
      <c r="BB61" s="13"/>
      <c r="BC61" s="14"/>
      <c r="BD61" s="14"/>
      <c r="BE61" s="14">
        <f t="shared" si="9"/>
        <v>0</v>
      </c>
    </row>
    <row r="62" spans="8:57" s="2" customFormat="1" ht="85.15" customHeight="1">
      <c r="H62" s="28">
        <v>45</v>
      </c>
      <c r="I62" s="13"/>
      <c r="J62" s="14"/>
      <c r="K62" s="14"/>
      <c r="L62" s="14">
        <f t="shared" si="0"/>
        <v>0</v>
      </c>
      <c r="M62" s="28">
        <v>45</v>
      </c>
      <c r="N62" s="13"/>
      <c r="O62" s="14"/>
      <c r="P62" s="14"/>
      <c r="Q62" s="14">
        <f t="shared" si="1"/>
        <v>0</v>
      </c>
      <c r="R62" s="28">
        <v>45</v>
      </c>
      <c r="S62" s="13"/>
      <c r="T62" s="14"/>
      <c r="U62" s="14"/>
      <c r="V62" s="14">
        <f t="shared" si="2"/>
        <v>0</v>
      </c>
      <c r="W62" s="28">
        <v>45</v>
      </c>
      <c r="X62" s="13"/>
      <c r="Y62" s="14"/>
      <c r="Z62" s="14"/>
      <c r="AA62" s="14">
        <f t="shared" si="3"/>
        <v>0</v>
      </c>
      <c r="AB62" s="28">
        <v>45</v>
      </c>
      <c r="AC62" s="13"/>
      <c r="AD62" s="14"/>
      <c r="AE62" s="14"/>
      <c r="AF62" s="14">
        <f t="shared" si="4"/>
        <v>0</v>
      </c>
      <c r="AG62" s="28">
        <v>45</v>
      </c>
      <c r="AH62" s="13"/>
      <c r="AI62" s="14"/>
      <c r="AJ62" s="14"/>
      <c r="AK62" s="14">
        <f t="shared" si="5"/>
        <v>0</v>
      </c>
      <c r="AL62" s="28">
        <v>45</v>
      </c>
      <c r="AM62" s="13"/>
      <c r="AN62" s="14"/>
      <c r="AO62" s="14"/>
      <c r="AP62" s="14">
        <f t="shared" si="6"/>
        <v>0</v>
      </c>
      <c r="AQ62" s="28">
        <v>45</v>
      </c>
      <c r="AR62" s="13"/>
      <c r="AS62" s="14"/>
      <c r="AT62" s="14"/>
      <c r="AU62" s="14">
        <f t="shared" si="7"/>
        <v>0</v>
      </c>
      <c r="AV62" s="28">
        <v>45</v>
      </c>
      <c r="AW62" s="13"/>
      <c r="AX62" s="14"/>
      <c r="AY62" s="14"/>
      <c r="AZ62" s="14">
        <f t="shared" si="8"/>
        <v>0</v>
      </c>
      <c r="BA62" s="28">
        <v>45</v>
      </c>
      <c r="BB62" s="13"/>
      <c r="BC62" s="14"/>
      <c r="BD62" s="14"/>
      <c r="BE62" s="14">
        <f t="shared" si="9"/>
        <v>0</v>
      </c>
    </row>
    <row r="63" spans="8:57" s="2" customFormat="1" ht="85.15" customHeight="1">
      <c r="H63" s="28">
        <v>46</v>
      </c>
      <c r="I63" s="13"/>
      <c r="J63" s="14"/>
      <c r="K63" s="14"/>
      <c r="L63" s="14">
        <f t="shared" si="0"/>
        <v>0</v>
      </c>
      <c r="M63" s="28">
        <v>46</v>
      </c>
      <c r="N63" s="13"/>
      <c r="O63" s="14"/>
      <c r="P63" s="14"/>
      <c r="Q63" s="14">
        <f t="shared" si="1"/>
        <v>0</v>
      </c>
      <c r="R63" s="28">
        <v>46</v>
      </c>
      <c r="S63" s="13"/>
      <c r="T63" s="14"/>
      <c r="U63" s="14"/>
      <c r="V63" s="14">
        <f t="shared" si="2"/>
        <v>0</v>
      </c>
      <c r="W63" s="28">
        <v>46</v>
      </c>
      <c r="X63" s="13"/>
      <c r="Y63" s="14"/>
      <c r="Z63" s="14"/>
      <c r="AA63" s="14">
        <f t="shared" si="3"/>
        <v>0</v>
      </c>
      <c r="AB63" s="28">
        <v>46</v>
      </c>
      <c r="AC63" s="13"/>
      <c r="AD63" s="14"/>
      <c r="AE63" s="14"/>
      <c r="AF63" s="14">
        <f t="shared" si="4"/>
        <v>0</v>
      </c>
      <c r="AG63" s="28">
        <v>46</v>
      </c>
      <c r="AH63" s="13"/>
      <c r="AI63" s="14"/>
      <c r="AJ63" s="14"/>
      <c r="AK63" s="14">
        <f t="shared" si="5"/>
        <v>0</v>
      </c>
      <c r="AL63" s="28">
        <v>46</v>
      </c>
      <c r="AM63" s="13"/>
      <c r="AN63" s="14"/>
      <c r="AO63" s="14"/>
      <c r="AP63" s="14">
        <f t="shared" si="6"/>
        <v>0</v>
      </c>
      <c r="AQ63" s="28">
        <v>46</v>
      </c>
      <c r="AR63" s="13"/>
      <c r="AS63" s="14"/>
      <c r="AT63" s="14"/>
      <c r="AU63" s="14">
        <f t="shared" si="7"/>
        <v>0</v>
      </c>
      <c r="AV63" s="28">
        <v>46</v>
      </c>
      <c r="AW63" s="13"/>
      <c r="AX63" s="14"/>
      <c r="AY63" s="14"/>
      <c r="AZ63" s="14">
        <f t="shared" si="8"/>
        <v>0</v>
      </c>
      <c r="BA63" s="28">
        <v>46</v>
      </c>
      <c r="BB63" s="13"/>
      <c r="BC63" s="14"/>
      <c r="BD63" s="14"/>
      <c r="BE63" s="14">
        <f t="shared" si="9"/>
        <v>0</v>
      </c>
    </row>
    <row r="64" spans="8:57" s="2" customFormat="1" ht="85.15" customHeight="1">
      <c r="H64" s="28">
        <v>47</v>
      </c>
      <c r="I64" s="13"/>
      <c r="J64" s="14"/>
      <c r="K64" s="14"/>
      <c r="L64" s="14">
        <f t="shared" si="0"/>
        <v>0</v>
      </c>
      <c r="M64" s="28">
        <v>47</v>
      </c>
      <c r="N64" s="13"/>
      <c r="O64" s="14"/>
      <c r="P64" s="14"/>
      <c r="Q64" s="14">
        <f t="shared" si="1"/>
        <v>0</v>
      </c>
      <c r="R64" s="28">
        <v>47</v>
      </c>
      <c r="S64" s="13"/>
      <c r="T64" s="14"/>
      <c r="U64" s="14"/>
      <c r="V64" s="14">
        <f t="shared" si="2"/>
        <v>0</v>
      </c>
      <c r="W64" s="28">
        <v>47</v>
      </c>
      <c r="X64" s="13"/>
      <c r="Y64" s="14"/>
      <c r="Z64" s="14"/>
      <c r="AA64" s="14">
        <f t="shared" si="3"/>
        <v>0</v>
      </c>
      <c r="AB64" s="28">
        <v>47</v>
      </c>
      <c r="AC64" s="13"/>
      <c r="AD64" s="14"/>
      <c r="AE64" s="14"/>
      <c r="AF64" s="14">
        <f t="shared" si="4"/>
        <v>0</v>
      </c>
      <c r="AG64" s="28">
        <v>47</v>
      </c>
      <c r="AH64" s="13"/>
      <c r="AI64" s="14"/>
      <c r="AJ64" s="14"/>
      <c r="AK64" s="14">
        <f t="shared" si="5"/>
        <v>0</v>
      </c>
      <c r="AL64" s="28">
        <v>47</v>
      </c>
      <c r="AM64" s="13"/>
      <c r="AN64" s="14"/>
      <c r="AO64" s="14"/>
      <c r="AP64" s="14">
        <f t="shared" si="6"/>
        <v>0</v>
      </c>
      <c r="AQ64" s="28">
        <v>47</v>
      </c>
      <c r="AR64" s="13"/>
      <c r="AS64" s="14"/>
      <c r="AT64" s="14"/>
      <c r="AU64" s="14">
        <f t="shared" si="7"/>
        <v>0</v>
      </c>
      <c r="AV64" s="28">
        <v>47</v>
      </c>
      <c r="AW64" s="13"/>
      <c r="AX64" s="14"/>
      <c r="AY64" s="14"/>
      <c r="AZ64" s="14">
        <f t="shared" si="8"/>
        <v>0</v>
      </c>
      <c r="BA64" s="28">
        <v>47</v>
      </c>
      <c r="BB64" s="13"/>
      <c r="BC64" s="14"/>
      <c r="BD64" s="14"/>
      <c r="BE64" s="14">
        <f t="shared" si="9"/>
        <v>0</v>
      </c>
    </row>
    <row r="65" spans="8:57" s="2" customFormat="1" ht="85.15" customHeight="1">
      <c r="H65" s="28">
        <v>48</v>
      </c>
      <c r="I65" s="13"/>
      <c r="J65" s="14"/>
      <c r="K65" s="14"/>
      <c r="L65" s="14">
        <f t="shared" si="0"/>
        <v>0</v>
      </c>
      <c r="M65" s="28">
        <v>48</v>
      </c>
      <c r="N65" s="13"/>
      <c r="O65" s="14"/>
      <c r="P65" s="14"/>
      <c r="Q65" s="14">
        <f t="shared" si="1"/>
        <v>0</v>
      </c>
      <c r="R65" s="28">
        <v>48</v>
      </c>
      <c r="S65" s="13"/>
      <c r="T65" s="14"/>
      <c r="U65" s="14"/>
      <c r="V65" s="14">
        <f t="shared" si="2"/>
        <v>0</v>
      </c>
      <c r="W65" s="28">
        <v>48</v>
      </c>
      <c r="X65" s="13"/>
      <c r="Y65" s="14"/>
      <c r="Z65" s="14"/>
      <c r="AA65" s="14">
        <f t="shared" si="3"/>
        <v>0</v>
      </c>
      <c r="AB65" s="28">
        <v>48</v>
      </c>
      <c r="AC65" s="13"/>
      <c r="AD65" s="14"/>
      <c r="AE65" s="14"/>
      <c r="AF65" s="14">
        <f t="shared" si="4"/>
        <v>0</v>
      </c>
      <c r="AG65" s="28">
        <v>48</v>
      </c>
      <c r="AH65" s="13"/>
      <c r="AI65" s="14"/>
      <c r="AJ65" s="14"/>
      <c r="AK65" s="14">
        <f t="shared" si="5"/>
        <v>0</v>
      </c>
      <c r="AL65" s="28">
        <v>48</v>
      </c>
      <c r="AM65" s="13"/>
      <c r="AN65" s="14"/>
      <c r="AO65" s="14"/>
      <c r="AP65" s="14">
        <f t="shared" si="6"/>
        <v>0</v>
      </c>
      <c r="AQ65" s="28">
        <v>48</v>
      </c>
      <c r="AR65" s="13"/>
      <c r="AS65" s="14"/>
      <c r="AT65" s="14"/>
      <c r="AU65" s="14">
        <f t="shared" si="7"/>
        <v>0</v>
      </c>
      <c r="AV65" s="28">
        <v>48</v>
      </c>
      <c r="AW65" s="13"/>
      <c r="AX65" s="14"/>
      <c r="AY65" s="14"/>
      <c r="AZ65" s="14">
        <f t="shared" si="8"/>
        <v>0</v>
      </c>
      <c r="BA65" s="28">
        <v>48</v>
      </c>
      <c r="BB65" s="13"/>
      <c r="BC65" s="14"/>
      <c r="BD65" s="14"/>
      <c r="BE65" s="14">
        <f t="shared" si="9"/>
        <v>0</v>
      </c>
    </row>
    <row r="66" spans="8:57" s="2" customFormat="1" ht="85.15" customHeight="1">
      <c r="H66" s="28">
        <v>49</v>
      </c>
      <c r="I66" s="13"/>
      <c r="J66" s="14"/>
      <c r="K66" s="14"/>
      <c r="L66" s="14">
        <f t="shared" si="0"/>
        <v>0</v>
      </c>
      <c r="M66" s="28">
        <v>49</v>
      </c>
      <c r="N66" s="13"/>
      <c r="O66" s="14"/>
      <c r="P66" s="14"/>
      <c r="Q66" s="14">
        <f t="shared" si="1"/>
        <v>0</v>
      </c>
      <c r="R66" s="28">
        <v>49</v>
      </c>
      <c r="S66" s="13"/>
      <c r="T66" s="14"/>
      <c r="U66" s="14"/>
      <c r="V66" s="14">
        <f t="shared" si="2"/>
        <v>0</v>
      </c>
      <c r="W66" s="28">
        <v>49</v>
      </c>
      <c r="X66" s="13"/>
      <c r="Y66" s="14"/>
      <c r="Z66" s="14"/>
      <c r="AA66" s="14">
        <f t="shared" si="3"/>
        <v>0</v>
      </c>
      <c r="AB66" s="28">
        <v>49</v>
      </c>
      <c r="AC66" s="13"/>
      <c r="AD66" s="14"/>
      <c r="AE66" s="14"/>
      <c r="AF66" s="14">
        <f t="shared" si="4"/>
        <v>0</v>
      </c>
      <c r="AG66" s="28">
        <v>49</v>
      </c>
      <c r="AH66" s="13"/>
      <c r="AI66" s="14"/>
      <c r="AJ66" s="14"/>
      <c r="AK66" s="14">
        <f t="shared" si="5"/>
        <v>0</v>
      </c>
      <c r="AL66" s="28">
        <v>49</v>
      </c>
      <c r="AM66" s="13"/>
      <c r="AN66" s="14"/>
      <c r="AO66" s="14"/>
      <c r="AP66" s="14">
        <f t="shared" si="6"/>
        <v>0</v>
      </c>
      <c r="AQ66" s="28">
        <v>49</v>
      </c>
      <c r="AR66" s="13"/>
      <c r="AS66" s="14"/>
      <c r="AT66" s="14"/>
      <c r="AU66" s="14">
        <f t="shared" si="7"/>
        <v>0</v>
      </c>
      <c r="AV66" s="28">
        <v>49</v>
      </c>
      <c r="AW66" s="13"/>
      <c r="AX66" s="14"/>
      <c r="AY66" s="14"/>
      <c r="AZ66" s="14">
        <f t="shared" si="8"/>
        <v>0</v>
      </c>
      <c r="BA66" s="28">
        <v>49</v>
      </c>
      <c r="BB66" s="13"/>
      <c r="BC66" s="14"/>
      <c r="BD66" s="14"/>
      <c r="BE66" s="14">
        <f t="shared" si="9"/>
        <v>0</v>
      </c>
    </row>
    <row r="67" spans="8:57" s="2" customFormat="1" ht="85.15" customHeight="1">
      <c r="H67" s="28">
        <v>50</v>
      </c>
      <c r="I67" s="13"/>
      <c r="J67" s="14"/>
      <c r="K67" s="14"/>
      <c r="L67" s="14">
        <f t="shared" si="0"/>
        <v>0</v>
      </c>
      <c r="M67" s="28">
        <v>50</v>
      </c>
      <c r="N67" s="13"/>
      <c r="O67" s="14"/>
      <c r="P67" s="14"/>
      <c r="Q67" s="14">
        <f t="shared" si="1"/>
        <v>0</v>
      </c>
      <c r="R67" s="28">
        <v>50</v>
      </c>
      <c r="S67" s="13"/>
      <c r="T67" s="14"/>
      <c r="U67" s="14"/>
      <c r="V67" s="14">
        <f t="shared" si="2"/>
        <v>0</v>
      </c>
      <c r="W67" s="28">
        <v>50</v>
      </c>
      <c r="X67" s="13"/>
      <c r="Y67" s="14"/>
      <c r="Z67" s="14"/>
      <c r="AA67" s="14">
        <f t="shared" si="3"/>
        <v>0</v>
      </c>
      <c r="AB67" s="28">
        <v>50</v>
      </c>
      <c r="AC67" s="13"/>
      <c r="AD67" s="14"/>
      <c r="AE67" s="14"/>
      <c r="AF67" s="14">
        <f t="shared" si="4"/>
        <v>0</v>
      </c>
      <c r="AG67" s="28">
        <v>50</v>
      </c>
      <c r="AH67" s="13"/>
      <c r="AI67" s="14"/>
      <c r="AJ67" s="14"/>
      <c r="AK67" s="14">
        <f t="shared" si="5"/>
        <v>0</v>
      </c>
      <c r="AL67" s="28">
        <v>50</v>
      </c>
      <c r="AM67" s="13"/>
      <c r="AN67" s="14"/>
      <c r="AO67" s="14"/>
      <c r="AP67" s="14">
        <f t="shared" si="6"/>
        <v>0</v>
      </c>
      <c r="AQ67" s="28">
        <v>50</v>
      </c>
      <c r="AR67" s="13"/>
      <c r="AS67" s="14"/>
      <c r="AT67" s="14"/>
      <c r="AU67" s="14">
        <f t="shared" si="7"/>
        <v>0</v>
      </c>
      <c r="AV67" s="28">
        <v>50</v>
      </c>
      <c r="AW67" s="13"/>
      <c r="AX67" s="14"/>
      <c r="AY67" s="14"/>
      <c r="AZ67" s="14">
        <f t="shared" si="8"/>
        <v>0</v>
      </c>
      <c r="BA67" s="28">
        <v>50</v>
      </c>
      <c r="BB67" s="13"/>
      <c r="BC67" s="14"/>
      <c r="BD67" s="14"/>
      <c r="BE67" s="14">
        <f t="shared" si="9"/>
        <v>0</v>
      </c>
    </row>
    <row r="68" spans="8:57" s="2" customFormat="1" ht="85.15" customHeight="1">
      <c r="H68" s="28">
        <v>51</v>
      </c>
      <c r="I68" s="13"/>
      <c r="J68" s="14"/>
      <c r="K68" s="14"/>
      <c r="L68" s="14">
        <f t="shared" si="0"/>
        <v>0</v>
      </c>
      <c r="M68" s="28">
        <v>51</v>
      </c>
      <c r="N68" s="13"/>
      <c r="O68" s="14"/>
      <c r="P68" s="14"/>
      <c r="Q68" s="14">
        <f t="shared" si="1"/>
        <v>0</v>
      </c>
      <c r="R68" s="28">
        <v>51</v>
      </c>
      <c r="S68" s="13"/>
      <c r="T68" s="14"/>
      <c r="U68" s="14"/>
      <c r="V68" s="14">
        <f t="shared" si="2"/>
        <v>0</v>
      </c>
      <c r="W68" s="28">
        <v>51</v>
      </c>
      <c r="X68" s="13"/>
      <c r="Y68" s="14"/>
      <c r="Z68" s="14"/>
      <c r="AA68" s="14">
        <f t="shared" si="3"/>
        <v>0</v>
      </c>
      <c r="AB68" s="28">
        <v>51</v>
      </c>
      <c r="AC68" s="13"/>
      <c r="AD68" s="14"/>
      <c r="AE68" s="14"/>
      <c r="AF68" s="14">
        <f t="shared" si="4"/>
        <v>0</v>
      </c>
      <c r="AG68" s="28">
        <v>51</v>
      </c>
      <c r="AH68" s="13"/>
      <c r="AI68" s="14"/>
      <c r="AJ68" s="14"/>
      <c r="AK68" s="14">
        <f t="shared" si="5"/>
        <v>0</v>
      </c>
      <c r="AL68" s="28">
        <v>51</v>
      </c>
      <c r="AM68" s="13"/>
      <c r="AN68" s="14"/>
      <c r="AO68" s="14"/>
      <c r="AP68" s="14">
        <f t="shared" si="6"/>
        <v>0</v>
      </c>
      <c r="AQ68" s="28">
        <v>51</v>
      </c>
      <c r="AR68" s="13"/>
      <c r="AS68" s="14"/>
      <c r="AT68" s="14"/>
      <c r="AU68" s="14">
        <f t="shared" si="7"/>
        <v>0</v>
      </c>
      <c r="AV68" s="28">
        <v>51</v>
      </c>
      <c r="AW68" s="13"/>
      <c r="AX68" s="14"/>
      <c r="AY68" s="14"/>
      <c r="AZ68" s="14">
        <f t="shared" si="8"/>
        <v>0</v>
      </c>
      <c r="BA68" s="28">
        <v>51</v>
      </c>
      <c r="BB68" s="13"/>
      <c r="BC68" s="14"/>
      <c r="BD68" s="14"/>
      <c r="BE68" s="14">
        <f t="shared" si="9"/>
        <v>0</v>
      </c>
    </row>
    <row r="69" spans="8:57" s="2" customFormat="1" ht="85.15" customHeight="1">
      <c r="H69" s="28">
        <v>52</v>
      </c>
      <c r="I69" s="13"/>
      <c r="J69" s="14"/>
      <c r="K69" s="14"/>
      <c r="L69" s="14">
        <f t="shared" si="0"/>
        <v>0</v>
      </c>
      <c r="M69" s="28">
        <v>52</v>
      </c>
      <c r="N69" s="13"/>
      <c r="O69" s="14"/>
      <c r="P69" s="14"/>
      <c r="Q69" s="14">
        <f t="shared" si="1"/>
        <v>0</v>
      </c>
      <c r="R69" s="28">
        <v>52</v>
      </c>
      <c r="S69" s="13"/>
      <c r="T69" s="14"/>
      <c r="U69" s="14"/>
      <c r="V69" s="14">
        <f t="shared" si="2"/>
        <v>0</v>
      </c>
      <c r="W69" s="28">
        <v>52</v>
      </c>
      <c r="X69" s="13"/>
      <c r="Y69" s="14"/>
      <c r="Z69" s="14"/>
      <c r="AA69" s="14">
        <f t="shared" si="3"/>
        <v>0</v>
      </c>
      <c r="AB69" s="28">
        <v>52</v>
      </c>
      <c r="AC69" s="13"/>
      <c r="AD69" s="14"/>
      <c r="AE69" s="14"/>
      <c r="AF69" s="14">
        <f t="shared" si="4"/>
        <v>0</v>
      </c>
      <c r="AG69" s="28">
        <v>52</v>
      </c>
      <c r="AH69" s="13"/>
      <c r="AI69" s="14"/>
      <c r="AJ69" s="14"/>
      <c r="AK69" s="14">
        <f t="shared" si="5"/>
        <v>0</v>
      </c>
      <c r="AL69" s="28">
        <v>52</v>
      </c>
      <c r="AM69" s="13"/>
      <c r="AN69" s="14"/>
      <c r="AO69" s="14"/>
      <c r="AP69" s="14">
        <f t="shared" si="6"/>
        <v>0</v>
      </c>
      <c r="AQ69" s="28">
        <v>52</v>
      </c>
      <c r="AR69" s="13"/>
      <c r="AS69" s="14"/>
      <c r="AT69" s="14"/>
      <c r="AU69" s="14">
        <f t="shared" si="7"/>
        <v>0</v>
      </c>
      <c r="AV69" s="28">
        <v>52</v>
      </c>
      <c r="AW69" s="13"/>
      <c r="AX69" s="14"/>
      <c r="AY69" s="14"/>
      <c r="AZ69" s="14">
        <f t="shared" si="8"/>
        <v>0</v>
      </c>
      <c r="BA69" s="28">
        <v>52</v>
      </c>
      <c r="BB69" s="13"/>
      <c r="BC69" s="14"/>
      <c r="BD69" s="14"/>
      <c r="BE69" s="14">
        <f t="shared" si="9"/>
        <v>0</v>
      </c>
    </row>
    <row r="70" spans="8:57" s="2" customFormat="1" ht="85.15" customHeight="1">
      <c r="H70" s="28">
        <v>53</v>
      </c>
      <c r="I70" s="13"/>
      <c r="J70" s="14"/>
      <c r="K70" s="14"/>
      <c r="L70" s="14">
        <f t="shared" si="0"/>
        <v>0</v>
      </c>
      <c r="M70" s="28">
        <v>53</v>
      </c>
      <c r="N70" s="13"/>
      <c r="O70" s="14"/>
      <c r="P70" s="14"/>
      <c r="Q70" s="14">
        <f t="shared" si="1"/>
        <v>0</v>
      </c>
      <c r="R70" s="28">
        <v>53</v>
      </c>
      <c r="S70" s="13"/>
      <c r="T70" s="14"/>
      <c r="U70" s="14"/>
      <c r="V70" s="14">
        <f t="shared" si="2"/>
        <v>0</v>
      </c>
      <c r="W70" s="28">
        <v>53</v>
      </c>
      <c r="X70" s="13"/>
      <c r="Y70" s="14"/>
      <c r="Z70" s="14"/>
      <c r="AA70" s="14">
        <f t="shared" si="3"/>
        <v>0</v>
      </c>
      <c r="AB70" s="28">
        <v>53</v>
      </c>
      <c r="AC70" s="13"/>
      <c r="AD70" s="14"/>
      <c r="AE70" s="14"/>
      <c r="AF70" s="14">
        <f t="shared" si="4"/>
        <v>0</v>
      </c>
      <c r="AG70" s="28">
        <v>53</v>
      </c>
      <c r="AH70" s="13"/>
      <c r="AI70" s="14"/>
      <c r="AJ70" s="14"/>
      <c r="AK70" s="14">
        <f t="shared" si="5"/>
        <v>0</v>
      </c>
      <c r="AL70" s="28">
        <v>53</v>
      </c>
      <c r="AM70" s="13"/>
      <c r="AN70" s="14"/>
      <c r="AO70" s="14"/>
      <c r="AP70" s="14">
        <f t="shared" si="6"/>
        <v>0</v>
      </c>
      <c r="AQ70" s="28">
        <v>53</v>
      </c>
      <c r="AR70" s="13"/>
      <c r="AS70" s="14"/>
      <c r="AT70" s="14"/>
      <c r="AU70" s="14">
        <f t="shared" si="7"/>
        <v>0</v>
      </c>
      <c r="AV70" s="28">
        <v>53</v>
      </c>
      <c r="AW70" s="13"/>
      <c r="AX70" s="14"/>
      <c r="AY70" s="14"/>
      <c r="AZ70" s="14">
        <f t="shared" si="8"/>
        <v>0</v>
      </c>
      <c r="BA70" s="28">
        <v>53</v>
      </c>
      <c r="BB70" s="13"/>
      <c r="BC70" s="14"/>
      <c r="BD70" s="14"/>
      <c r="BE70" s="14">
        <f t="shared" si="9"/>
        <v>0</v>
      </c>
    </row>
    <row r="71" spans="8:57" s="2" customFormat="1" ht="85.15" customHeight="1">
      <c r="H71" s="28">
        <v>54</v>
      </c>
      <c r="I71" s="13"/>
      <c r="J71" s="14"/>
      <c r="K71" s="14"/>
      <c r="L71" s="14">
        <f t="shared" si="0"/>
        <v>0</v>
      </c>
      <c r="M71" s="28">
        <v>54</v>
      </c>
      <c r="N71" s="13"/>
      <c r="O71" s="14"/>
      <c r="P71" s="14"/>
      <c r="Q71" s="14">
        <f t="shared" si="1"/>
        <v>0</v>
      </c>
      <c r="R71" s="28">
        <v>54</v>
      </c>
      <c r="S71" s="13"/>
      <c r="T71" s="14"/>
      <c r="U71" s="14"/>
      <c r="V71" s="14">
        <f t="shared" si="2"/>
        <v>0</v>
      </c>
      <c r="W71" s="28">
        <v>54</v>
      </c>
      <c r="X71" s="13"/>
      <c r="Y71" s="14"/>
      <c r="Z71" s="14"/>
      <c r="AA71" s="14">
        <f t="shared" si="3"/>
        <v>0</v>
      </c>
      <c r="AB71" s="28">
        <v>54</v>
      </c>
      <c r="AC71" s="13"/>
      <c r="AD71" s="14"/>
      <c r="AE71" s="14"/>
      <c r="AF71" s="14">
        <f t="shared" si="4"/>
        <v>0</v>
      </c>
      <c r="AG71" s="28">
        <v>54</v>
      </c>
      <c r="AH71" s="13"/>
      <c r="AI71" s="14"/>
      <c r="AJ71" s="14"/>
      <c r="AK71" s="14">
        <f t="shared" si="5"/>
        <v>0</v>
      </c>
      <c r="AL71" s="28">
        <v>54</v>
      </c>
      <c r="AM71" s="13"/>
      <c r="AN71" s="14"/>
      <c r="AO71" s="14"/>
      <c r="AP71" s="14">
        <f t="shared" si="6"/>
        <v>0</v>
      </c>
      <c r="AQ71" s="28">
        <v>54</v>
      </c>
      <c r="AR71" s="13"/>
      <c r="AS71" s="14"/>
      <c r="AT71" s="14"/>
      <c r="AU71" s="14">
        <f t="shared" si="7"/>
        <v>0</v>
      </c>
      <c r="AV71" s="28">
        <v>54</v>
      </c>
      <c r="AW71" s="13"/>
      <c r="AX71" s="14"/>
      <c r="AY71" s="14"/>
      <c r="AZ71" s="14">
        <f t="shared" si="8"/>
        <v>0</v>
      </c>
      <c r="BA71" s="28">
        <v>54</v>
      </c>
      <c r="BB71" s="13"/>
      <c r="BC71" s="14"/>
      <c r="BD71" s="14"/>
      <c r="BE71" s="14">
        <f t="shared" si="9"/>
        <v>0</v>
      </c>
    </row>
    <row r="72" spans="8:57" s="2" customFormat="1" ht="85.15" customHeight="1">
      <c r="H72" s="28">
        <v>55</v>
      </c>
      <c r="I72" s="13"/>
      <c r="J72" s="14"/>
      <c r="K72" s="14"/>
      <c r="L72" s="14">
        <f t="shared" si="0"/>
        <v>0</v>
      </c>
      <c r="M72" s="28">
        <v>55</v>
      </c>
      <c r="N72" s="13"/>
      <c r="O72" s="14"/>
      <c r="P72" s="14"/>
      <c r="Q72" s="14">
        <f t="shared" si="1"/>
        <v>0</v>
      </c>
      <c r="R72" s="28">
        <v>55</v>
      </c>
      <c r="S72" s="13"/>
      <c r="T72" s="14"/>
      <c r="U72" s="14"/>
      <c r="V72" s="14">
        <f t="shared" si="2"/>
        <v>0</v>
      </c>
      <c r="W72" s="28">
        <v>55</v>
      </c>
      <c r="X72" s="13"/>
      <c r="Y72" s="14"/>
      <c r="Z72" s="14"/>
      <c r="AA72" s="14">
        <f t="shared" si="3"/>
        <v>0</v>
      </c>
      <c r="AB72" s="28">
        <v>55</v>
      </c>
      <c r="AC72" s="13"/>
      <c r="AD72" s="14"/>
      <c r="AE72" s="14"/>
      <c r="AF72" s="14">
        <f t="shared" si="4"/>
        <v>0</v>
      </c>
      <c r="AG72" s="28">
        <v>55</v>
      </c>
      <c r="AH72" s="13"/>
      <c r="AI72" s="14"/>
      <c r="AJ72" s="14"/>
      <c r="AK72" s="14">
        <f t="shared" si="5"/>
        <v>0</v>
      </c>
      <c r="AL72" s="28">
        <v>55</v>
      </c>
      <c r="AM72" s="13"/>
      <c r="AN72" s="14"/>
      <c r="AO72" s="14"/>
      <c r="AP72" s="14">
        <f t="shared" si="6"/>
        <v>0</v>
      </c>
      <c r="AQ72" s="28">
        <v>55</v>
      </c>
      <c r="AR72" s="13"/>
      <c r="AS72" s="14"/>
      <c r="AT72" s="14"/>
      <c r="AU72" s="14">
        <f t="shared" si="7"/>
        <v>0</v>
      </c>
      <c r="AV72" s="28">
        <v>55</v>
      </c>
      <c r="AW72" s="13"/>
      <c r="AX72" s="14"/>
      <c r="AY72" s="14"/>
      <c r="AZ72" s="14">
        <f t="shared" si="8"/>
        <v>0</v>
      </c>
      <c r="BA72" s="28">
        <v>55</v>
      </c>
      <c r="BB72" s="13"/>
      <c r="BC72" s="14"/>
      <c r="BD72" s="14"/>
      <c r="BE72" s="14">
        <f t="shared" si="9"/>
        <v>0</v>
      </c>
    </row>
    <row r="73" spans="8:57" s="2" customFormat="1" ht="85.15" customHeight="1">
      <c r="H73" s="28">
        <v>56</v>
      </c>
      <c r="I73" s="13"/>
      <c r="J73" s="14"/>
      <c r="K73" s="14"/>
      <c r="L73" s="14">
        <f t="shared" si="0"/>
        <v>0</v>
      </c>
      <c r="M73" s="28">
        <v>56</v>
      </c>
      <c r="N73" s="13"/>
      <c r="O73" s="14"/>
      <c r="P73" s="14"/>
      <c r="Q73" s="14">
        <f t="shared" si="1"/>
        <v>0</v>
      </c>
      <c r="R73" s="28">
        <v>56</v>
      </c>
      <c r="S73" s="13"/>
      <c r="T73" s="14"/>
      <c r="U73" s="14"/>
      <c r="V73" s="14">
        <f t="shared" si="2"/>
        <v>0</v>
      </c>
      <c r="W73" s="28">
        <v>56</v>
      </c>
      <c r="X73" s="13"/>
      <c r="Y73" s="14"/>
      <c r="Z73" s="14"/>
      <c r="AA73" s="14">
        <f t="shared" si="3"/>
        <v>0</v>
      </c>
      <c r="AB73" s="28">
        <v>56</v>
      </c>
      <c r="AC73" s="13"/>
      <c r="AD73" s="14"/>
      <c r="AE73" s="14"/>
      <c r="AF73" s="14">
        <f t="shared" si="4"/>
        <v>0</v>
      </c>
      <c r="AG73" s="28">
        <v>56</v>
      </c>
      <c r="AH73" s="13"/>
      <c r="AI73" s="14"/>
      <c r="AJ73" s="14"/>
      <c r="AK73" s="14">
        <f t="shared" si="5"/>
        <v>0</v>
      </c>
      <c r="AL73" s="28">
        <v>56</v>
      </c>
      <c r="AM73" s="13"/>
      <c r="AN73" s="14"/>
      <c r="AO73" s="14"/>
      <c r="AP73" s="14">
        <f t="shared" si="6"/>
        <v>0</v>
      </c>
      <c r="AQ73" s="28">
        <v>56</v>
      </c>
      <c r="AR73" s="13"/>
      <c r="AS73" s="14"/>
      <c r="AT73" s="14"/>
      <c r="AU73" s="14">
        <f t="shared" si="7"/>
        <v>0</v>
      </c>
      <c r="AV73" s="28">
        <v>56</v>
      </c>
      <c r="AW73" s="13"/>
      <c r="AX73" s="14"/>
      <c r="AY73" s="14"/>
      <c r="AZ73" s="14">
        <f t="shared" si="8"/>
        <v>0</v>
      </c>
      <c r="BA73" s="28">
        <v>56</v>
      </c>
      <c r="BB73" s="13"/>
      <c r="BC73" s="14"/>
      <c r="BD73" s="14"/>
      <c r="BE73" s="14">
        <f t="shared" si="9"/>
        <v>0</v>
      </c>
    </row>
    <row r="74" spans="8:57" s="1" customFormat="1" ht="85.15" customHeight="1">
      <c r="H74" s="4"/>
      <c r="M74" s="4"/>
      <c r="R74" s="4"/>
      <c r="W74" s="4"/>
      <c r="AB74" s="4"/>
      <c r="AG74" s="4"/>
      <c r="AL74" s="4"/>
      <c r="AQ74" s="4"/>
      <c r="AV74" s="4"/>
      <c r="BA74" s="4"/>
    </row>
    <row r="75" spans="8:57" s="1" customFormat="1" ht="85.15" customHeight="1">
      <c r="H75" s="4"/>
      <c r="M75" s="4"/>
      <c r="R75" s="4"/>
      <c r="W75" s="4"/>
      <c r="AB75" s="4"/>
      <c r="AG75" s="4"/>
      <c r="AL75" s="4"/>
      <c r="AQ75" s="4"/>
      <c r="AV75" s="4"/>
      <c r="BA75" s="4"/>
    </row>
    <row r="76" spans="8:57" s="1" customFormat="1" ht="85.15" customHeight="1">
      <c r="H76" s="4"/>
      <c r="M76" s="4"/>
      <c r="R76" s="4"/>
      <c r="W76" s="4"/>
      <c r="AB76" s="4"/>
      <c r="AG76" s="4"/>
      <c r="AL76" s="4"/>
      <c r="AQ76" s="4"/>
      <c r="AV76" s="4"/>
      <c r="BA76" s="4"/>
    </row>
    <row r="77" spans="8:57" s="1" customFormat="1" ht="85.15" customHeight="1">
      <c r="H77" s="4"/>
      <c r="M77" s="4"/>
      <c r="R77" s="4"/>
      <c r="W77" s="4"/>
      <c r="AB77" s="4"/>
      <c r="AG77" s="4"/>
      <c r="AL77" s="4"/>
      <c r="AQ77" s="4"/>
      <c r="AV77" s="4"/>
      <c r="BA77" s="4"/>
    </row>
    <row r="78" spans="8:57" s="1" customFormat="1" ht="85.15" customHeight="1">
      <c r="H78" s="4"/>
      <c r="M78" s="4"/>
      <c r="R78" s="4"/>
      <c r="W78" s="4"/>
      <c r="AB78" s="4"/>
      <c r="AG78" s="4"/>
      <c r="AL78" s="4"/>
      <c r="AQ78" s="4"/>
      <c r="AV78" s="4"/>
      <c r="BA78" s="4"/>
    </row>
    <row r="79" spans="8:57" s="1" customFormat="1" ht="85.15" customHeight="1">
      <c r="H79" s="4"/>
      <c r="M79" s="4"/>
      <c r="R79" s="4"/>
      <c r="W79" s="4"/>
      <c r="AB79" s="4"/>
      <c r="AG79" s="4"/>
      <c r="AL79" s="4"/>
      <c r="AQ79" s="4"/>
      <c r="AV79" s="4"/>
      <c r="BA79" s="4"/>
    </row>
    <row r="80" spans="8:57" s="1" customFormat="1" ht="85.15" customHeight="1">
      <c r="H80" s="4"/>
      <c r="M80" s="4"/>
      <c r="R80" s="4"/>
      <c r="W80" s="4"/>
      <c r="AB80" s="4"/>
      <c r="AG80" s="4"/>
      <c r="AL80" s="4"/>
      <c r="AQ80" s="4"/>
      <c r="AV80" s="4"/>
      <c r="BA80" s="4"/>
    </row>
    <row r="81" spans="8:53" s="1" customFormat="1" ht="85.15" customHeight="1">
      <c r="H81" s="4"/>
      <c r="M81" s="4"/>
      <c r="R81" s="4"/>
      <c r="W81" s="4"/>
      <c r="AB81" s="4"/>
      <c r="AG81" s="4"/>
      <c r="AL81" s="4"/>
      <c r="AQ81" s="4"/>
      <c r="AV81" s="4"/>
      <c r="BA81" s="4"/>
    </row>
    <row r="82" spans="8:53" s="1" customFormat="1" ht="85.15" customHeight="1">
      <c r="H82" s="4"/>
      <c r="M82" s="4"/>
      <c r="R82" s="4"/>
      <c r="W82" s="4"/>
      <c r="AB82" s="4"/>
      <c r="AG82" s="4"/>
      <c r="AL82" s="4"/>
      <c r="AQ82" s="4"/>
      <c r="AV82" s="4"/>
      <c r="BA82" s="4"/>
    </row>
    <row r="83" spans="8:53" s="1" customFormat="1" ht="85.15" customHeight="1">
      <c r="H83" s="4"/>
      <c r="M83" s="4"/>
      <c r="R83" s="4"/>
      <c r="W83" s="4"/>
      <c r="AB83" s="4"/>
      <c r="AG83" s="4"/>
      <c r="AL83" s="4"/>
      <c r="AQ83" s="4"/>
      <c r="AV83" s="4"/>
      <c r="BA83" s="4"/>
    </row>
    <row r="84" spans="8:53" s="1" customFormat="1" ht="85.15" customHeight="1">
      <c r="H84" s="4"/>
      <c r="M84" s="4"/>
      <c r="R84" s="4"/>
      <c r="W84" s="4"/>
      <c r="AB84" s="4"/>
      <c r="AG84" s="4"/>
      <c r="AL84" s="4"/>
      <c r="AQ84" s="4"/>
      <c r="AV84" s="4"/>
      <c r="BA84" s="4"/>
    </row>
    <row r="85" spans="8:53" s="1" customFormat="1" ht="85.15" customHeight="1">
      <c r="H85" s="4"/>
      <c r="M85" s="4"/>
      <c r="R85" s="4"/>
      <c r="W85" s="4"/>
      <c r="AB85" s="4"/>
      <c r="AG85" s="4"/>
      <c r="AL85" s="4"/>
      <c r="AQ85" s="4"/>
      <c r="AV85" s="4"/>
      <c r="BA85" s="4"/>
    </row>
    <row r="86" spans="8:53" s="1" customFormat="1" ht="85.15" customHeight="1">
      <c r="H86" s="4"/>
      <c r="M86" s="4"/>
      <c r="R86" s="4"/>
      <c r="W86" s="4"/>
      <c r="AB86" s="4"/>
      <c r="AG86" s="4"/>
      <c r="AL86" s="4"/>
      <c r="AQ86" s="4"/>
      <c r="AV86" s="4"/>
      <c r="BA86" s="4"/>
    </row>
    <row r="87" spans="8:53" s="1" customFormat="1" ht="85.15" customHeight="1">
      <c r="H87" s="4"/>
      <c r="M87" s="4"/>
      <c r="R87" s="4"/>
      <c r="W87" s="4"/>
      <c r="AB87" s="4"/>
      <c r="AG87" s="4"/>
      <c r="AL87" s="4"/>
      <c r="AQ87" s="4"/>
      <c r="AV87" s="4"/>
      <c r="BA87" s="4"/>
    </row>
    <row r="88" spans="8:53" s="1" customFormat="1" ht="85.15" customHeight="1">
      <c r="H88" s="4"/>
      <c r="M88" s="4"/>
      <c r="R88" s="4"/>
      <c r="W88" s="4"/>
      <c r="AB88" s="4"/>
      <c r="AG88" s="4"/>
      <c r="AL88" s="4"/>
      <c r="AQ88" s="4"/>
      <c r="AV88" s="4"/>
      <c r="BA88" s="4"/>
    </row>
    <row r="89" spans="8:53" s="1" customFormat="1" ht="85.15" customHeight="1">
      <c r="H89" s="4"/>
      <c r="M89" s="4"/>
      <c r="R89" s="4"/>
      <c r="W89" s="4"/>
      <c r="AB89" s="4"/>
      <c r="AG89" s="4"/>
      <c r="AL89" s="4"/>
      <c r="AQ89" s="4"/>
      <c r="AV89" s="4"/>
      <c r="BA89" s="4"/>
    </row>
    <row r="90" spans="8:53" s="1" customFormat="1" ht="85.15" customHeight="1">
      <c r="H90" s="4"/>
      <c r="M90" s="4"/>
      <c r="R90" s="4"/>
      <c r="W90" s="4"/>
      <c r="AB90" s="4"/>
      <c r="AG90" s="4"/>
      <c r="AL90" s="4"/>
      <c r="AQ90" s="4"/>
      <c r="AV90" s="4"/>
      <c r="BA90" s="4"/>
    </row>
    <row r="91" spans="8:53" s="1" customFormat="1" ht="85.15" customHeight="1">
      <c r="H91" s="4"/>
      <c r="M91" s="4"/>
      <c r="R91" s="4"/>
      <c r="W91" s="4"/>
      <c r="AB91" s="4"/>
      <c r="AG91" s="4"/>
      <c r="AL91" s="4"/>
      <c r="AQ91" s="4"/>
      <c r="AV91" s="4"/>
      <c r="BA91" s="4"/>
    </row>
    <row r="92" spans="8:53" s="1" customFormat="1" ht="85.15" customHeight="1">
      <c r="H92" s="4"/>
      <c r="M92" s="4"/>
      <c r="R92" s="4"/>
      <c r="W92" s="4"/>
      <c r="AB92" s="4"/>
      <c r="AG92" s="4"/>
      <c r="AL92" s="4"/>
      <c r="AQ92" s="4"/>
      <c r="AV92" s="4"/>
      <c r="BA92" s="4"/>
    </row>
    <row r="93" spans="8:53" s="1" customFormat="1" ht="85.15" customHeight="1">
      <c r="H93" s="4"/>
      <c r="M93" s="4"/>
      <c r="R93" s="4"/>
      <c r="W93" s="4"/>
      <c r="AB93" s="4"/>
      <c r="AG93" s="4"/>
      <c r="AL93" s="4"/>
      <c r="AQ93" s="4"/>
      <c r="AV93" s="4"/>
      <c r="BA93" s="4"/>
    </row>
    <row r="94" spans="8:53" s="1" customFormat="1" ht="85.15" customHeight="1">
      <c r="H94" s="4"/>
      <c r="M94" s="4"/>
      <c r="R94" s="4"/>
      <c r="W94" s="4"/>
      <c r="AB94" s="4"/>
      <c r="AG94" s="4"/>
      <c r="AL94" s="4"/>
      <c r="AQ94" s="4"/>
      <c r="AV94" s="4"/>
      <c r="BA94" s="4"/>
    </row>
    <row r="95" spans="8:53" s="1" customFormat="1" ht="85.15" customHeight="1">
      <c r="H95" s="4"/>
      <c r="M95" s="4"/>
      <c r="R95" s="4"/>
      <c r="W95" s="4"/>
      <c r="AB95" s="4"/>
      <c r="AG95" s="4"/>
      <c r="AL95" s="4"/>
      <c r="AQ95" s="4"/>
      <c r="AV95" s="4"/>
      <c r="BA95" s="4"/>
    </row>
    <row r="96" spans="8:53" s="1" customFormat="1" ht="85.15" customHeight="1">
      <c r="H96" s="4"/>
      <c r="M96" s="4"/>
      <c r="R96" s="4"/>
      <c r="W96" s="4"/>
      <c r="AB96" s="4"/>
      <c r="AG96" s="4"/>
      <c r="AL96" s="4"/>
      <c r="AQ96" s="4"/>
      <c r="AV96" s="4"/>
      <c r="BA96" s="4"/>
    </row>
    <row r="97" spans="8:53" s="1" customFormat="1" ht="85.15" customHeight="1">
      <c r="H97" s="4"/>
      <c r="M97" s="4"/>
      <c r="R97" s="4"/>
      <c r="W97" s="4"/>
      <c r="AB97" s="4"/>
      <c r="AG97" s="4"/>
      <c r="AL97" s="4"/>
      <c r="AQ97" s="4"/>
      <c r="AV97" s="4"/>
      <c r="BA97" s="4"/>
    </row>
    <row r="98" spans="8:53" s="1" customFormat="1" ht="85.15" customHeight="1">
      <c r="H98" s="4"/>
      <c r="M98" s="4"/>
      <c r="R98" s="4"/>
      <c r="W98" s="4"/>
      <c r="AB98" s="4"/>
      <c r="AG98" s="4"/>
      <c r="AL98" s="4"/>
      <c r="AQ98" s="4"/>
      <c r="AV98" s="4"/>
      <c r="BA98" s="4"/>
    </row>
    <row r="99" spans="8:53" s="1" customFormat="1" ht="85.15" customHeight="1">
      <c r="H99" s="4"/>
      <c r="M99" s="4"/>
      <c r="R99" s="4"/>
      <c r="W99" s="4"/>
      <c r="AB99" s="4"/>
      <c r="AG99" s="4"/>
      <c r="AL99" s="4"/>
      <c r="AQ99" s="4"/>
      <c r="AV99" s="4"/>
      <c r="BA99" s="4"/>
    </row>
    <row r="100" spans="8:53" s="1" customFormat="1" ht="85.15" customHeight="1">
      <c r="H100" s="4"/>
      <c r="M100" s="4"/>
      <c r="R100" s="4"/>
      <c r="W100" s="4"/>
      <c r="AB100" s="4"/>
      <c r="AG100" s="4"/>
      <c r="AL100" s="4"/>
      <c r="AQ100" s="4"/>
      <c r="AV100" s="4"/>
      <c r="BA100" s="4"/>
    </row>
    <row r="101" spans="8:53" s="1" customFormat="1" ht="85.15" customHeight="1">
      <c r="H101" s="4"/>
      <c r="M101" s="4"/>
      <c r="R101" s="4"/>
      <c r="W101" s="4"/>
      <c r="AB101" s="4"/>
      <c r="AG101" s="4"/>
      <c r="AL101" s="4"/>
      <c r="AQ101" s="4"/>
      <c r="AV101" s="4"/>
      <c r="BA101" s="4"/>
    </row>
    <row r="102" spans="8:53" s="1" customFormat="1" ht="85.15" customHeight="1">
      <c r="H102" s="4"/>
      <c r="M102" s="4"/>
      <c r="R102" s="4"/>
      <c r="W102" s="4"/>
      <c r="AB102" s="4"/>
      <c r="AG102" s="4"/>
      <c r="AL102" s="4"/>
      <c r="AQ102" s="4"/>
      <c r="AV102" s="4"/>
      <c r="BA102" s="4"/>
    </row>
    <row r="103" spans="8:53" s="1" customFormat="1" ht="85.15" customHeight="1">
      <c r="H103" s="4"/>
      <c r="M103" s="4"/>
      <c r="R103" s="4"/>
      <c r="W103" s="4"/>
      <c r="AB103" s="4"/>
      <c r="AG103" s="4"/>
      <c r="AL103" s="4"/>
      <c r="AQ103" s="4"/>
      <c r="AV103" s="4"/>
      <c r="BA103" s="4"/>
    </row>
    <row r="104" spans="8:53" s="1" customFormat="1" ht="85.15" customHeight="1">
      <c r="H104" s="4"/>
      <c r="M104" s="4"/>
      <c r="R104" s="4"/>
      <c r="W104" s="4"/>
      <c r="AB104" s="4"/>
      <c r="AG104" s="4"/>
      <c r="AL104" s="4"/>
      <c r="AQ104" s="4"/>
      <c r="AV104" s="4"/>
      <c r="BA104" s="4"/>
    </row>
    <row r="105" spans="8:53" s="1" customFormat="1" ht="85.15" customHeight="1">
      <c r="H105" s="4"/>
      <c r="M105" s="4"/>
      <c r="R105" s="4"/>
      <c r="W105" s="4"/>
      <c r="AB105" s="4"/>
      <c r="AG105" s="4"/>
      <c r="AL105" s="4"/>
      <c r="AQ105" s="4"/>
      <c r="AV105" s="4"/>
      <c r="BA105" s="4"/>
    </row>
    <row r="106" spans="8:53" s="1" customFormat="1" ht="85.15" customHeight="1">
      <c r="H106" s="4"/>
      <c r="M106" s="4"/>
      <c r="R106" s="4"/>
      <c r="W106" s="4"/>
      <c r="AB106" s="4"/>
      <c r="AG106" s="4"/>
      <c r="AL106" s="4"/>
      <c r="AQ106" s="4"/>
      <c r="AV106" s="4"/>
      <c r="BA106" s="4"/>
    </row>
    <row r="107" spans="8:53" s="1" customFormat="1" ht="85.15" customHeight="1">
      <c r="H107" s="4"/>
      <c r="M107" s="4"/>
      <c r="R107" s="4"/>
      <c r="W107" s="4"/>
      <c r="AB107" s="4"/>
      <c r="AG107" s="4"/>
      <c r="AL107" s="4"/>
      <c r="AQ107" s="4"/>
      <c r="AV107" s="4"/>
      <c r="BA107" s="4"/>
    </row>
    <row r="108" spans="8:53" s="1" customFormat="1" ht="85.15" customHeight="1">
      <c r="H108" s="4"/>
      <c r="M108" s="4"/>
      <c r="R108" s="4"/>
      <c r="W108" s="4"/>
      <c r="AB108" s="4"/>
      <c r="AG108" s="4"/>
      <c r="AL108" s="4"/>
      <c r="AQ108" s="4"/>
      <c r="AV108" s="4"/>
      <c r="BA108" s="4"/>
    </row>
    <row r="109" spans="8:53" s="1" customFormat="1" ht="85.15" customHeight="1">
      <c r="H109" s="4"/>
      <c r="M109" s="4"/>
      <c r="R109" s="4"/>
      <c r="W109" s="4"/>
      <c r="AB109" s="4"/>
      <c r="AG109" s="4"/>
      <c r="AL109" s="4"/>
      <c r="AQ109" s="4"/>
      <c r="AV109" s="4"/>
      <c r="BA109" s="4"/>
    </row>
    <row r="110" spans="8:53" s="1" customFormat="1" ht="85.15" customHeight="1">
      <c r="H110" s="4"/>
      <c r="M110" s="4"/>
      <c r="R110" s="4"/>
      <c r="W110" s="4"/>
      <c r="AB110" s="4"/>
      <c r="AG110" s="4"/>
      <c r="AL110" s="4"/>
      <c r="AQ110" s="4"/>
      <c r="AV110" s="4"/>
      <c r="BA110" s="4"/>
    </row>
    <row r="111" spans="8:53" s="1" customFormat="1" ht="85.15" customHeight="1">
      <c r="H111" s="4"/>
      <c r="M111" s="4"/>
      <c r="R111" s="4"/>
      <c r="W111" s="4"/>
      <c r="AB111" s="4"/>
      <c r="AG111" s="4"/>
      <c r="AL111" s="4"/>
      <c r="AQ111" s="4"/>
      <c r="AV111" s="4"/>
      <c r="BA111" s="4"/>
    </row>
    <row r="112" spans="8:53" s="1" customFormat="1" ht="85.15" customHeight="1">
      <c r="H112" s="4"/>
      <c r="M112" s="4"/>
      <c r="R112" s="4"/>
      <c r="W112" s="4"/>
      <c r="AB112" s="4"/>
      <c r="AG112" s="4"/>
      <c r="AL112" s="4"/>
      <c r="AQ112" s="4"/>
      <c r="AV112" s="4"/>
      <c r="BA112" s="4"/>
    </row>
    <row r="113" spans="8:53" s="1" customFormat="1" ht="85.15" customHeight="1">
      <c r="H113" s="4"/>
      <c r="M113" s="4"/>
      <c r="R113" s="4"/>
      <c r="W113" s="4"/>
      <c r="AB113" s="4"/>
      <c r="AG113" s="4"/>
      <c r="AL113" s="4"/>
      <c r="AQ113" s="4"/>
      <c r="AV113" s="4"/>
      <c r="BA113" s="4"/>
    </row>
    <row r="114" spans="8:53" s="1" customFormat="1" ht="85.15" customHeight="1">
      <c r="H114" s="4"/>
      <c r="M114" s="4"/>
      <c r="R114" s="4"/>
      <c r="W114" s="4"/>
      <c r="AB114" s="4"/>
      <c r="AG114" s="4"/>
      <c r="AL114" s="4"/>
      <c r="AQ114" s="4"/>
      <c r="AV114" s="4"/>
      <c r="BA114" s="4"/>
    </row>
    <row r="115" spans="8:53" s="1" customFormat="1" ht="85.15" customHeight="1">
      <c r="H115" s="4"/>
      <c r="M115" s="4"/>
      <c r="R115" s="4"/>
      <c r="W115" s="4"/>
      <c r="AB115" s="4"/>
      <c r="AG115" s="4"/>
      <c r="AL115" s="4"/>
      <c r="AQ115" s="4"/>
      <c r="AV115" s="4"/>
      <c r="BA115" s="4"/>
    </row>
    <row r="116" spans="8:53" s="1" customFormat="1" ht="85.15" customHeight="1">
      <c r="H116" s="4"/>
      <c r="M116" s="4"/>
      <c r="R116" s="4"/>
      <c r="W116" s="4"/>
      <c r="AB116" s="4"/>
      <c r="AG116" s="4"/>
      <c r="AL116" s="4"/>
      <c r="AQ116" s="4"/>
      <c r="AV116" s="4"/>
      <c r="BA116" s="4"/>
    </row>
    <row r="117" spans="8:53" s="1" customFormat="1" ht="85.15" customHeight="1">
      <c r="H117" s="4"/>
      <c r="M117" s="4"/>
      <c r="R117" s="4"/>
      <c r="W117" s="4"/>
      <c r="AB117" s="4"/>
      <c r="AG117" s="4"/>
      <c r="AL117" s="4"/>
      <c r="AQ117" s="4"/>
      <c r="AV117" s="4"/>
      <c r="BA117" s="4"/>
    </row>
    <row r="118" spans="8:53" s="1" customFormat="1" ht="85.15" customHeight="1">
      <c r="H118" s="4"/>
      <c r="M118" s="4"/>
      <c r="R118" s="4"/>
      <c r="W118" s="4"/>
      <c r="AB118" s="4"/>
      <c r="AG118" s="4"/>
      <c r="AL118" s="4"/>
      <c r="AQ118" s="4"/>
      <c r="AV118" s="4"/>
      <c r="BA118" s="4"/>
    </row>
    <row r="119" spans="8:53" s="1" customFormat="1" ht="85.15" customHeight="1">
      <c r="H119" s="4"/>
      <c r="M119" s="4"/>
      <c r="R119" s="4"/>
      <c r="W119" s="4"/>
      <c r="AB119" s="4"/>
      <c r="AG119" s="4"/>
      <c r="AL119" s="4"/>
      <c r="AQ119" s="4"/>
      <c r="AV119" s="4"/>
      <c r="BA119" s="4"/>
    </row>
    <row r="120" spans="8:53" s="1" customFormat="1" ht="85.15" customHeight="1">
      <c r="H120" s="4"/>
      <c r="M120" s="4"/>
      <c r="R120" s="4"/>
      <c r="W120" s="4"/>
      <c r="AB120" s="4"/>
      <c r="AG120" s="4"/>
      <c r="AL120" s="4"/>
      <c r="AQ120" s="4"/>
      <c r="AV120" s="4"/>
      <c r="BA120" s="4"/>
    </row>
    <row r="121" spans="8:53" s="1" customFormat="1" ht="85.15" customHeight="1">
      <c r="H121" s="4"/>
      <c r="M121" s="4"/>
      <c r="R121" s="4"/>
      <c r="W121" s="4"/>
      <c r="AB121" s="4"/>
      <c r="AG121" s="4"/>
      <c r="AL121" s="4"/>
      <c r="AQ121" s="4"/>
      <c r="AV121" s="4"/>
      <c r="BA121" s="4"/>
    </row>
    <row r="122" spans="8:53" s="1" customFormat="1" ht="85.15" customHeight="1">
      <c r="H122" s="4"/>
      <c r="M122" s="4"/>
      <c r="R122" s="4"/>
      <c r="W122" s="4"/>
      <c r="AB122" s="4"/>
      <c r="AG122" s="4"/>
      <c r="AL122" s="4"/>
      <c r="AQ122" s="4"/>
      <c r="AV122" s="4"/>
      <c r="BA122" s="4"/>
    </row>
    <row r="123" spans="8:53" s="1" customFormat="1" ht="85.15" customHeight="1">
      <c r="H123" s="4"/>
      <c r="M123" s="4"/>
      <c r="R123" s="4"/>
      <c r="W123" s="4"/>
      <c r="AB123" s="4"/>
      <c r="AG123" s="4"/>
      <c r="AL123" s="4"/>
      <c r="AQ123" s="4"/>
      <c r="AV123" s="4"/>
      <c r="BA123" s="4"/>
    </row>
    <row r="124" spans="8:53" s="1" customFormat="1" ht="85.15" customHeight="1">
      <c r="H124" s="4"/>
      <c r="M124" s="4"/>
      <c r="R124" s="4"/>
      <c r="W124" s="4"/>
      <c r="AB124" s="4"/>
      <c r="AG124" s="4"/>
      <c r="AL124" s="4"/>
      <c r="AQ124" s="4"/>
      <c r="AV124" s="4"/>
      <c r="BA124" s="4"/>
    </row>
    <row r="125" spans="8:53" s="1" customFormat="1" ht="85.15" customHeight="1">
      <c r="H125" s="4"/>
      <c r="M125" s="4"/>
      <c r="R125" s="4"/>
      <c r="W125" s="4"/>
      <c r="AB125" s="4"/>
      <c r="AG125" s="4"/>
      <c r="AL125" s="4"/>
      <c r="AQ125" s="4"/>
      <c r="AV125" s="4"/>
      <c r="BA125" s="4"/>
    </row>
    <row r="126" spans="8:53" s="1" customFormat="1" ht="85.15" customHeight="1">
      <c r="H126" s="4"/>
      <c r="M126" s="4"/>
      <c r="R126" s="4"/>
      <c r="W126" s="4"/>
      <c r="AB126" s="4"/>
      <c r="AG126" s="4"/>
      <c r="AL126" s="4"/>
      <c r="AQ126" s="4"/>
      <c r="AV126" s="4"/>
      <c r="BA126" s="4"/>
    </row>
    <row r="127" spans="8:53" s="1" customFormat="1" ht="85.15" customHeight="1">
      <c r="H127" s="4"/>
      <c r="M127" s="4"/>
      <c r="R127" s="4"/>
      <c r="W127" s="4"/>
      <c r="AB127" s="4"/>
      <c r="AG127" s="4"/>
      <c r="AL127" s="4"/>
      <c r="AQ127" s="4"/>
      <c r="AV127" s="4"/>
      <c r="BA127" s="4"/>
    </row>
    <row r="128" spans="8:53" s="1" customFormat="1" ht="85.15" customHeight="1">
      <c r="H128" s="4"/>
      <c r="M128" s="4"/>
      <c r="R128" s="4"/>
      <c r="W128" s="4"/>
      <c r="AB128" s="4"/>
      <c r="AG128" s="4"/>
      <c r="AL128" s="4"/>
      <c r="AQ128" s="4"/>
      <c r="AV128" s="4"/>
      <c r="BA128" s="4"/>
    </row>
    <row r="129" spans="8:53" s="1" customFormat="1" ht="85.15" customHeight="1">
      <c r="H129" s="4"/>
      <c r="M129" s="4"/>
      <c r="R129" s="4"/>
      <c r="W129" s="4"/>
      <c r="AB129" s="4"/>
      <c r="AG129" s="4"/>
      <c r="AL129" s="4"/>
      <c r="AQ129" s="4"/>
      <c r="AV129" s="4"/>
      <c r="BA129" s="4"/>
    </row>
    <row r="130" spans="8:53" s="1" customFormat="1" ht="85.15" customHeight="1">
      <c r="H130" s="4"/>
      <c r="M130" s="4"/>
      <c r="R130" s="4"/>
      <c r="W130" s="4"/>
      <c r="AB130" s="4"/>
      <c r="AG130" s="4"/>
      <c r="AL130" s="4"/>
      <c r="AQ130" s="4"/>
      <c r="AV130" s="4"/>
      <c r="BA130" s="4"/>
    </row>
    <row r="131" spans="8:53" s="1" customFormat="1" ht="85.15" customHeight="1">
      <c r="H131" s="4"/>
      <c r="M131" s="4"/>
      <c r="R131" s="4"/>
      <c r="W131" s="4"/>
      <c r="AB131" s="4"/>
      <c r="AG131" s="4"/>
      <c r="AL131" s="4"/>
      <c r="AQ131" s="4"/>
      <c r="AV131" s="4"/>
      <c r="BA131" s="4"/>
    </row>
    <row r="132" spans="8:53" s="1" customFormat="1" ht="85.15" customHeight="1">
      <c r="H132" s="4"/>
      <c r="M132" s="4"/>
      <c r="R132" s="4"/>
      <c r="W132" s="4"/>
      <c r="AB132" s="4"/>
      <c r="AG132" s="4"/>
      <c r="AL132" s="4"/>
      <c r="AQ132" s="4"/>
      <c r="AV132" s="4"/>
      <c r="BA132" s="4"/>
    </row>
    <row r="133" spans="8:53" s="1" customFormat="1" ht="85.15" customHeight="1">
      <c r="H133" s="4"/>
      <c r="M133" s="4"/>
      <c r="R133" s="4"/>
      <c r="W133" s="4"/>
      <c r="AB133" s="4"/>
      <c r="AG133" s="4"/>
      <c r="AL133" s="4"/>
      <c r="AQ133" s="4"/>
      <c r="AV133" s="4"/>
      <c r="BA133" s="4"/>
    </row>
    <row r="134" spans="8:53" s="1" customFormat="1" ht="85.15" customHeight="1">
      <c r="H134" s="4"/>
      <c r="M134" s="4"/>
      <c r="R134" s="4"/>
      <c r="W134" s="4"/>
      <c r="AB134" s="4"/>
      <c r="AG134" s="4"/>
      <c r="AL134" s="4"/>
      <c r="AQ134" s="4"/>
      <c r="AV134" s="4"/>
      <c r="BA134" s="4"/>
    </row>
    <row r="135" spans="8:53" s="1" customFormat="1" ht="85.15" customHeight="1">
      <c r="H135" s="4"/>
      <c r="M135" s="4"/>
      <c r="R135" s="4"/>
      <c r="W135" s="4"/>
      <c r="AB135" s="4"/>
      <c r="AG135" s="4"/>
      <c r="AL135" s="4"/>
      <c r="AQ135" s="4"/>
      <c r="AV135" s="4"/>
      <c r="BA135" s="4"/>
    </row>
    <row r="136" spans="8:53" s="1" customFormat="1" ht="85.15" customHeight="1">
      <c r="H136" s="4"/>
      <c r="M136" s="4"/>
      <c r="R136" s="4"/>
      <c r="W136" s="4"/>
      <c r="AB136" s="4"/>
      <c r="AG136" s="4"/>
      <c r="AL136" s="4"/>
      <c r="AQ136" s="4"/>
      <c r="AV136" s="4"/>
      <c r="BA136" s="4"/>
    </row>
    <row r="137" spans="8:53" s="1" customFormat="1" ht="85.15" customHeight="1">
      <c r="H137" s="4"/>
      <c r="M137" s="4"/>
      <c r="R137" s="4"/>
      <c r="W137" s="4"/>
      <c r="AB137" s="4"/>
      <c r="AG137" s="4"/>
      <c r="AL137" s="4"/>
      <c r="AQ137" s="4"/>
      <c r="AV137" s="4"/>
      <c r="BA137" s="4"/>
    </row>
    <row r="138" spans="8:53" s="1" customFormat="1" ht="85.15" customHeight="1">
      <c r="H138" s="4"/>
      <c r="M138" s="4"/>
      <c r="R138" s="4"/>
      <c r="W138" s="4"/>
      <c r="AB138" s="4"/>
      <c r="AG138" s="4"/>
      <c r="AL138" s="4"/>
      <c r="AQ138" s="4"/>
      <c r="AV138" s="4"/>
      <c r="BA138" s="4"/>
    </row>
    <row r="139" spans="8:53" s="1" customFormat="1" ht="85.15" customHeight="1">
      <c r="H139" s="4"/>
      <c r="M139" s="4"/>
      <c r="R139" s="4"/>
      <c r="W139" s="4"/>
      <c r="AB139" s="4"/>
      <c r="AG139" s="4"/>
      <c r="AL139" s="4"/>
      <c r="AQ139" s="4"/>
      <c r="AV139" s="4"/>
      <c r="BA139" s="4"/>
    </row>
    <row r="140" spans="8:53" s="1" customFormat="1" ht="85.15" customHeight="1">
      <c r="H140" s="4"/>
      <c r="M140" s="4"/>
      <c r="R140" s="4"/>
      <c r="W140" s="4"/>
      <c r="AB140" s="4"/>
      <c r="AG140" s="4"/>
      <c r="AL140" s="4"/>
      <c r="AQ140" s="4"/>
      <c r="AV140" s="4"/>
      <c r="BA140" s="4"/>
    </row>
    <row r="141" spans="8:53" s="1" customFormat="1" ht="85.15" customHeight="1">
      <c r="H141" s="4"/>
      <c r="M141" s="4"/>
      <c r="R141" s="4"/>
      <c r="W141" s="4"/>
      <c r="AB141" s="4"/>
      <c r="AG141" s="4"/>
      <c r="AL141" s="4"/>
      <c r="AQ141" s="4"/>
      <c r="AV141" s="4"/>
      <c r="BA141" s="4"/>
    </row>
    <row r="142" spans="8:53" s="1" customFormat="1" ht="85.15" customHeight="1">
      <c r="H142" s="4"/>
      <c r="M142" s="4"/>
      <c r="R142" s="4"/>
      <c r="W142" s="4"/>
      <c r="AB142" s="4"/>
      <c r="AG142" s="4"/>
      <c r="AL142" s="4"/>
      <c r="AQ142" s="4"/>
      <c r="AV142" s="4"/>
      <c r="BA142" s="4"/>
    </row>
    <row r="143" spans="8:53" s="1" customFormat="1" ht="85.15" customHeight="1">
      <c r="H143" s="4"/>
      <c r="M143" s="4"/>
      <c r="R143" s="4"/>
      <c r="W143" s="4"/>
      <c r="AB143" s="4"/>
      <c r="AG143" s="4"/>
      <c r="AL143" s="4"/>
      <c r="AQ143" s="4"/>
      <c r="AV143" s="4"/>
      <c r="BA143" s="4"/>
    </row>
    <row r="144" spans="8:53" s="1" customFormat="1" ht="85.15" customHeight="1">
      <c r="H144" s="4"/>
      <c r="M144" s="4"/>
      <c r="R144" s="4"/>
      <c r="W144" s="4"/>
      <c r="AB144" s="4"/>
      <c r="AG144" s="4"/>
      <c r="AL144" s="4"/>
      <c r="AQ144" s="4"/>
      <c r="AV144" s="4"/>
      <c r="BA144" s="4"/>
    </row>
    <row r="145" spans="8:53" s="1" customFormat="1" ht="85.15" customHeight="1">
      <c r="H145" s="4"/>
      <c r="M145" s="4"/>
      <c r="R145" s="4"/>
      <c r="W145" s="4"/>
      <c r="AB145" s="4"/>
      <c r="AG145" s="4"/>
      <c r="AL145" s="4"/>
      <c r="AQ145" s="4"/>
      <c r="AV145" s="4"/>
      <c r="BA145" s="4"/>
    </row>
    <row r="146" spans="8:53" s="1" customFormat="1" ht="85.15" customHeight="1">
      <c r="H146" s="4"/>
      <c r="M146" s="4"/>
      <c r="R146" s="4"/>
      <c r="W146" s="4"/>
      <c r="AB146" s="4"/>
      <c r="AG146" s="4"/>
      <c r="AL146" s="4"/>
      <c r="AQ146" s="4"/>
      <c r="AV146" s="4"/>
      <c r="BA146" s="4"/>
    </row>
    <row r="147" spans="8:53" s="1" customFormat="1" ht="85.15" customHeight="1">
      <c r="H147" s="4"/>
      <c r="M147" s="4"/>
      <c r="R147" s="4"/>
      <c r="W147" s="4"/>
      <c r="AB147" s="4"/>
      <c r="AG147" s="4"/>
      <c r="AL147" s="4"/>
      <c r="AQ147" s="4"/>
      <c r="AV147" s="4"/>
      <c r="BA147" s="4"/>
    </row>
    <row r="148" spans="8:53" s="1" customFormat="1" ht="85.15" customHeight="1">
      <c r="H148" s="4"/>
      <c r="M148" s="4"/>
      <c r="R148" s="4"/>
      <c r="W148" s="4"/>
      <c r="AB148" s="4"/>
      <c r="AG148" s="4"/>
      <c r="AL148" s="4"/>
      <c r="AQ148" s="4"/>
      <c r="AV148" s="4"/>
      <c r="BA148" s="4"/>
    </row>
    <row r="149" spans="8:53" s="1" customFormat="1" ht="85.15" customHeight="1">
      <c r="H149" s="4"/>
      <c r="M149" s="4"/>
      <c r="R149" s="4"/>
      <c r="W149" s="4"/>
      <c r="AB149" s="4"/>
      <c r="AG149" s="4"/>
      <c r="AL149" s="4"/>
      <c r="AQ149" s="4"/>
      <c r="AV149" s="4"/>
      <c r="BA149" s="4"/>
    </row>
    <row r="150" spans="8:53" s="1" customFormat="1" ht="85.15" customHeight="1">
      <c r="H150" s="4"/>
      <c r="M150" s="4"/>
      <c r="R150" s="4"/>
      <c r="W150" s="4"/>
      <c r="AB150" s="4"/>
      <c r="AG150" s="4"/>
      <c r="AL150" s="4"/>
      <c r="AQ150" s="4"/>
      <c r="AV150" s="4"/>
      <c r="BA150" s="4"/>
    </row>
    <row r="151" spans="8:53" s="1" customFormat="1" ht="85.15" customHeight="1">
      <c r="H151" s="4"/>
      <c r="M151" s="4"/>
      <c r="R151" s="4"/>
      <c r="W151" s="4"/>
      <c r="AB151" s="4"/>
      <c r="AG151" s="4"/>
      <c r="AL151" s="4"/>
      <c r="AQ151" s="4"/>
      <c r="AV151" s="4"/>
      <c r="BA151" s="4"/>
    </row>
    <row r="152" spans="8:53" s="1" customFormat="1" ht="85.15" customHeight="1">
      <c r="H152" s="4"/>
      <c r="M152" s="4"/>
      <c r="R152" s="4"/>
      <c r="W152" s="4"/>
      <c r="AB152" s="4"/>
      <c r="AG152" s="4"/>
      <c r="AL152" s="4"/>
      <c r="AQ152" s="4"/>
      <c r="AV152" s="4"/>
      <c r="BA152" s="4"/>
    </row>
    <row r="153" spans="8:53" s="1" customFormat="1" ht="85.15" customHeight="1">
      <c r="H153" s="4"/>
      <c r="M153" s="4"/>
      <c r="R153" s="4"/>
      <c r="W153" s="4"/>
      <c r="AB153" s="4"/>
      <c r="AG153" s="4"/>
      <c r="AL153" s="4"/>
      <c r="AQ153" s="4"/>
      <c r="AV153" s="4"/>
      <c r="BA153" s="4"/>
    </row>
    <row r="154" spans="8:53" s="1" customFormat="1" ht="85.15" customHeight="1">
      <c r="H154" s="4"/>
      <c r="M154" s="4"/>
      <c r="R154" s="4"/>
      <c r="W154" s="4"/>
      <c r="AB154" s="4"/>
      <c r="AG154" s="4"/>
      <c r="AL154" s="4"/>
      <c r="AQ154" s="4"/>
      <c r="AV154" s="4"/>
      <c r="BA154" s="4"/>
    </row>
    <row r="155" spans="8:53" s="1" customFormat="1" ht="85.15" customHeight="1">
      <c r="H155" s="4"/>
      <c r="M155" s="4"/>
      <c r="R155" s="4"/>
      <c r="W155" s="4"/>
      <c r="AB155" s="4"/>
      <c r="AG155" s="4"/>
      <c r="AL155" s="4"/>
      <c r="AQ155" s="4"/>
      <c r="AV155" s="4"/>
      <c r="BA155" s="4"/>
    </row>
    <row r="156" spans="8:53" s="1" customFormat="1" ht="85.15" customHeight="1">
      <c r="H156" s="4"/>
      <c r="M156" s="4"/>
      <c r="R156" s="4"/>
      <c r="W156" s="4"/>
      <c r="AB156" s="4"/>
      <c r="AG156" s="4"/>
      <c r="AL156" s="4"/>
      <c r="AQ156" s="4"/>
      <c r="AV156" s="4"/>
      <c r="BA156" s="4"/>
    </row>
    <row r="157" spans="8:53" s="1" customFormat="1" ht="85.15" customHeight="1">
      <c r="H157" s="4"/>
      <c r="M157" s="4"/>
      <c r="R157" s="4"/>
      <c r="W157" s="4"/>
      <c r="AB157" s="4"/>
      <c r="AG157" s="4"/>
      <c r="AL157" s="4"/>
      <c r="AQ157" s="4"/>
      <c r="AV157" s="4"/>
      <c r="BA157" s="4"/>
    </row>
    <row r="158" spans="8:53" s="1" customFormat="1" ht="85.15" customHeight="1">
      <c r="H158" s="4"/>
      <c r="M158" s="4"/>
      <c r="R158" s="4"/>
      <c r="W158" s="4"/>
      <c r="AB158" s="4"/>
      <c r="AG158" s="4"/>
      <c r="AL158" s="4"/>
      <c r="AQ158" s="4"/>
      <c r="AV158" s="4"/>
      <c r="BA158" s="4"/>
    </row>
    <row r="159" spans="8:53" s="1" customFormat="1" ht="85.15" customHeight="1">
      <c r="H159" s="4"/>
      <c r="M159" s="4"/>
      <c r="R159" s="4"/>
      <c r="W159" s="4"/>
      <c r="AB159" s="4"/>
      <c r="AG159" s="4"/>
      <c r="AL159" s="4"/>
      <c r="AQ159" s="4"/>
      <c r="AV159" s="4"/>
      <c r="BA159" s="4"/>
    </row>
    <row r="160" spans="8:53" s="1" customFormat="1" ht="85.15" customHeight="1">
      <c r="H160" s="4"/>
      <c r="M160" s="4"/>
      <c r="R160" s="4"/>
      <c r="W160" s="4"/>
      <c r="AB160" s="4"/>
      <c r="AG160" s="4"/>
      <c r="AL160" s="4"/>
      <c r="AQ160" s="4"/>
      <c r="AV160" s="4"/>
      <c r="BA160" s="4"/>
    </row>
    <row r="161" spans="8:53" s="1" customFormat="1" ht="85.15" customHeight="1">
      <c r="H161" s="4"/>
      <c r="M161" s="4"/>
      <c r="R161" s="4"/>
      <c r="W161" s="4"/>
      <c r="AB161" s="4"/>
      <c r="AG161" s="4"/>
      <c r="AL161" s="4"/>
      <c r="AQ161" s="4"/>
      <c r="AV161" s="4"/>
      <c r="BA161" s="4"/>
    </row>
    <row r="162" spans="8:53" s="1" customFormat="1" ht="85.15" customHeight="1">
      <c r="H162" s="4"/>
      <c r="M162" s="4"/>
      <c r="R162" s="4"/>
      <c r="W162" s="4"/>
      <c r="AB162" s="4"/>
      <c r="AG162" s="4"/>
      <c r="AL162" s="4"/>
      <c r="AQ162" s="4"/>
      <c r="AV162" s="4"/>
      <c r="BA162" s="4"/>
    </row>
    <row r="163" spans="8:53" s="1" customFormat="1" ht="85.15" customHeight="1">
      <c r="H163" s="4"/>
      <c r="M163" s="4"/>
      <c r="R163" s="4"/>
      <c r="W163" s="4"/>
      <c r="AB163" s="4"/>
      <c r="AG163" s="4"/>
      <c r="AL163" s="4"/>
      <c r="AQ163" s="4"/>
      <c r="AV163" s="4"/>
      <c r="BA163" s="4"/>
    </row>
    <row r="164" spans="8:53" s="1" customFormat="1" ht="85.15" customHeight="1">
      <c r="H164" s="4"/>
      <c r="M164" s="4"/>
      <c r="R164" s="4"/>
      <c r="W164" s="4"/>
      <c r="AB164" s="4"/>
      <c r="AG164" s="4"/>
      <c r="AL164" s="4"/>
      <c r="AQ164" s="4"/>
      <c r="AV164" s="4"/>
      <c r="BA164" s="4"/>
    </row>
    <row r="165" spans="8:53" s="1" customFormat="1" ht="85.15" customHeight="1">
      <c r="H165" s="4"/>
      <c r="M165" s="4"/>
      <c r="R165" s="4"/>
      <c r="W165" s="4"/>
      <c r="AB165" s="4"/>
      <c r="AG165" s="4"/>
      <c r="AL165" s="4"/>
      <c r="AQ165" s="4"/>
      <c r="AV165" s="4"/>
      <c r="BA165" s="4"/>
    </row>
    <row r="166" spans="8:53" s="1" customFormat="1" ht="85.15" customHeight="1">
      <c r="H166" s="4"/>
      <c r="M166" s="4"/>
      <c r="R166" s="4"/>
      <c r="W166" s="4"/>
      <c r="AB166" s="4"/>
      <c r="AG166" s="4"/>
      <c r="AL166" s="4"/>
      <c r="AQ166" s="4"/>
      <c r="AV166" s="4"/>
      <c r="BA166" s="4"/>
    </row>
    <row r="167" spans="8:53" s="1" customFormat="1" ht="85.15" customHeight="1">
      <c r="H167" s="4"/>
      <c r="M167" s="4"/>
      <c r="R167" s="4"/>
      <c r="W167" s="4"/>
      <c r="AB167" s="4"/>
      <c r="AG167" s="4"/>
      <c r="AL167" s="4"/>
      <c r="AQ167" s="4"/>
      <c r="AV167" s="4"/>
      <c r="BA167" s="4"/>
    </row>
    <row r="168" spans="8:53" s="1" customFormat="1" ht="85.15" customHeight="1">
      <c r="H168" s="4"/>
      <c r="M168" s="4"/>
      <c r="R168" s="4"/>
      <c r="W168" s="4"/>
      <c r="AB168" s="4"/>
      <c r="AG168" s="4"/>
      <c r="AL168" s="4"/>
      <c r="AQ168" s="4"/>
      <c r="AV168" s="4"/>
      <c r="BA168" s="4"/>
    </row>
    <row r="169" spans="8:53" s="1" customFormat="1" ht="85.15" customHeight="1">
      <c r="H169" s="4"/>
      <c r="M169" s="4"/>
      <c r="R169" s="4"/>
      <c r="W169" s="4"/>
      <c r="AB169" s="4"/>
      <c r="AG169" s="4"/>
      <c r="AL169" s="4"/>
      <c r="AQ169" s="4"/>
      <c r="AV169" s="4"/>
      <c r="BA169" s="4"/>
    </row>
    <row r="170" spans="8:53" s="1" customFormat="1" ht="85.15" customHeight="1">
      <c r="H170" s="4"/>
      <c r="M170" s="4"/>
      <c r="R170" s="4"/>
      <c r="W170" s="4"/>
      <c r="AB170" s="4"/>
      <c r="AG170" s="4"/>
      <c r="AL170" s="4"/>
      <c r="AQ170" s="4"/>
      <c r="AV170" s="4"/>
      <c r="BA170" s="4"/>
    </row>
    <row r="171" spans="8:53" s="1" customFormat="1" ht="85.15" customHeight="1">
      <c r="H171" s="4"/>
      <c r="M171" s="4"/>
      <c r="R171" s="4"/>
      <c r="W171" s="4"/>
      <c r="AB171" s="4"/>
      <c r="AG171" s="4"/>
      <c r="AL171" s="4"/>
      <c r="AQ171" s="4"/>
      <c r="AV171" s="4"/>
      <c r="BA171" s="4"/>
    </row>
    <row r="172" spans="8:53" s="1" customFormat="1" ht="85.15" customHeight="1">
      <c r="H172" s="4"/>
      <c r="M172" s="4"/>
      <c r="R172" s="4"/>
      <c r="W172" s="4"/>
      <c r="AB172" s="4"/>
      <c r="AG172" s="4"/>
      <c r="AL172" s="4"/>
      <c r="AQ172" s="4"/>
      <c r="AV172" s="4"/>
      <c r="BA172" s="4"/>
    </row>
    <row r="173" spans="8:53" s="1" customFormat="1" ht="85.15" customHeight="1">
      <c r="H173" s="4"/>
      <c r="M173" s="4"/>
      <c r="R173" s="4"/>
      <c r="W173" s="4"/>
      <c r="AB173" s="4"/>
      <c r="AG173" s="4"/>
      <c r="AL173" s="4"/>
      <c r="AQ173" s="4"/>
      <c r="AV173" s="4"/>
      <c r="BA173" s="4"/>
    </row>
    <row r="174" spans="8:53" s="1" customFormat="1" ht="85.15" customHeight="1">
      <c r="H174" s="4"/>
      <c r="M174" s="4"/>
      <c r="R174" s="4"/>
      <c r="W174" s="4"/>
      <c r="AB174" s="4"/>
      <c r="AG174" s="4"/>
      <c r="AL174" s="4"/>
      <c r="AQ174" s="4"/>
      <c r="AV174" s="4"/>
      <c r="BA174" s="4"/>
    </row>
    <row r="175" spans="8:53" s="1" customFormat="1" ht="85.15" customHeight="1">
      <c r="H175" s="4"/>
      <c r="M175" s="4"/>
      <c r="R175" s="4"/>
      <c r="W175" s="4"/>
      <c r="AB175" s="4"/>
      <c r="AG175" s="4"/>
      <c r="AL175" s="4"/>
      <c r="AQ175" s="4"/>
      <c r="AV175" s="4"/>
      <c r="BA175" s="4"/>
    </row>
    <row r="176" spans="8:53" s="1" customFormat="1" ht="85.15" customHeight="1">
      <c r="H176" s="4"/>
      <c r="M176" s="4"/>
      <c r="R176" s="4"/>
      <c r="W176" s="4"/>
      <c r="AB176" s="4"/>
      <c r="AG176" s="4"/>
      <c r="AL176" s="4"/>
      <c r="AQ176" s="4"/>
      <c r="AV176" s="4"/>
      <c r="BA176" s="4"/>
    </row>
    <row r="177" spans="8:53" s="1" customFormat="1" ht="85.15" customHeight="1">
      <c r="H177" s="4"/>
      <c r="M177" s="4"/>
      <c r="R177" s="4"/>
      <c r="W177" s="4"/>
      <c r="AB177" s="4"/>
      <c r="AG177" s="4"/>
      <c r="AL177" s="4"/>
      <c r="AQ177" s="4"/>
      <c r="AV177" s="4"/>
      <c r="BA177" s="4"/>
    </row>
    <row r="178" spans="8:53" s="1" customFormat="1" ht="85.15" customHeight="1">
      <c r="H178" s="4"/>
      <c r="M178" s="4"/>
      <c r="R178" s="4"/>
      <c r="W178" s="4"/>
      <c r="AB178" s="4"/>
      <c r="AG178" s="4"/>
      <c r="AL178" s="4"/>
      <c r="AQ178" s="4"/>
      <c r="AV178" s="4"/>
      <c r="BA178" s="4"/>
    </row>
    <row r="179" spans="8:53" s="1" customFormat="1" ht="85.15" customHeight="1">
      <c r="H179" s="4"/>
      <c r="M179" s="4"/>
      <c r="R179" s="4"/>
      <c r="W179" s="4"/>
      <c r="AB179" s="4"/>
      <c r="AG179" s="4"/>
      <c r="AL179" s="4"/>
      <c r="AQ179" s="4"/>
      <c r="AV179" s="4"/>
      <c r="BA179" s="4"/>
    </row>
    <row r="180" spans="8:53" s="1" customFormat="1" ht="85.15" customHeight="1">
      <c r="H180" s="4"/>
      <c r="M180" s="4"/>
      <c r="R180" s="4"/>
      <c r="W180" s="4"/>
      <c r="AB180" s="4"/>
      <c r="AG180" s="4"/>
      <c r="AL180" s="4"/>
      <c r="AQ180" s="4"/>
      <c r="AV180" s="4"/>
      <c r="BA180" s="4"/>
    </row>
    <row r="181" spans="8:53" s="1" customFormat="1" ht="85.15" customHeight="1">
      <c r="H181" s="4"/>
      <c r="M181" s="4"/>
      <c r="R181" s="4"/>
      <c r="W181" s="4"/>
      <c r="AB181" s="4"/>
      <c r="AG181" s="4"/>
      <c r="AL181" s="4"/>
      <c r="AQ181" s="4"/>
      <c r="AV181" s="4"/>
      <c r="BA181" s="4"/>
    </row>
    <row r="182" spans="8:53" s="1" customFormat="1" ht="85.15" customHeight="1">
      <c r="H182" s="4"/>
      <c r="M182" s="4"/>
      <c r="R182" s="4"/>
      <c r="W182" s="4"/>
      <c r="AB182" s="4"/>
      <c r="AG182" s="4"/>
      <c r="AL182" s="4"/>
      <c r="AQ182" s="4"/>
      <c r="AV182" s="4"/>
      <c r="BA182" s="4"/>
    </row>
    <row r="183" spans="8:53" s="1" customFormat="1" ht="85.15" customHeight="1">
      <c r="H183" s="4"/>
      <c r="M183" s="4"/>
      <c r="R183" s="4"/>
      <c r="W183" s="4"/>
      <c r="AB183" s="4"/>
      <c r="AG183" s="4"/>
      <c r="AL183" s="4"/>
      <c r="AQ183" s="4"/>
      <c r="AV183" s="4"/>
      <c r="BA183" s="4"/>
    </row>
    <row r="184" spans="8:53" s="1" customFormat="1" ht="85.15" customHeight="1">
      <c r="H184" s="4"/>
      <c r="M184" s="4"/>
      <c r="R184" s="4"/>
      <c r="W184" s="4"/>
      <c r="AB184" s="4"/>
      <c r="AG184" s="4"/>
      <c r="AL184" s="4"/>
      <c r="AQ184" s="4"/>
      <c r="AV184" s="4"/>
      <c r="BA184" s="4"/>
    </row>
    <row r="185" spans="8:53" s="1" customFormat="1" ht="53.45" customHeight="1">
      <c r="H185" s="4"/>
      <c r="M185" s="4"/>
      <c r="R185" s="4"/>
      <c r="W185" s="4"/>
      <c r="AB185" s="4"/>
      <c r="AG185" s="4"/>
      <c r="AL185" s="4"/>
      <c r="AQ185" s="4"/>
      <c r="AV185" s="4"/>
      <c r="BA185" s="4"/>
    </row>
    <row r="186" spans="8:53" s="1" customFormat="1" ht="53.45" customHeight="1">
      <c r="H186" s="4"/>
      <c r="M186" s="4"/>
      <c r="R186" s="4"/>
      <c r="W186" s="4"/>
      <c r="AB186" s="4"/>
      <c r="AG186" s="4"/>
      <c r="AL186" s="4"/>
      <c r="AQ186" s="4"/>
      <c r="AV186" s="4"/>
      <c r="BA186" s="4"/>
    </row>
    <row r="187" spans="8:53" s="1" customFormat="1" ht="53.45" customHeight="1">
      <c r="H187" s="4"/>
      <c r="M187" s="4"/>
      <c r="R187" s="4"/>
      <c r="W187" s="4"/>
      <c r="AB187" s="4"/>
      <c r="AG187" s="4"/>
      <c r="AL187" s="4"/>
      <c r="AQ187" s="4"/>
      <c r="AV187" s="4"/>
      <c r="BA187" s="4"/>
    </row>
    <row r="188" spans="8:53" s="1" customFormat="1" ht="53.45" customHeight="1">
      <c r="H188" s="4"/>
      <c r="M188" s="4"/>
      <c r="R188" s="4"/>
      <c r="W188" s="4"/>
      <c r="AB188" s="4"/>
      <c r="AG188" s="4"/>
      <c r="AL188" s="4"/>
      <c r="AQ188" s="4"/>
      <c r="AV188" s="4"/>
      <c r="BA188" s="4"/>
    </row>
    <row r="189" spans="8:53" s="1" customFormat="1" ht="53.45" customHeight="1">
      <c r="H189" s="4"/>
      <c r="M189" s="4"/>
      <c r="R189" s="4"/>
      <c r="W189" s="4"/>
      <c r="AB189" s="4"/>
      <c r="AG189" s="4"/>
      <c r="AL189" s="4"/>
      <c r="AQ189" s="4"/>
      <c r="AV189" s="4"/>
      <c r="BA189" s="4"/>
    </row>
    <row r="190" spans="8:53" s="1" customFormat="1" ht="53.45" customHeight="1">
      <c r="H190" s="4"/>
      <c r="M190" s="4"/>
      <c r="R190" s="4"/>
      <c r="W190" s="4"/>
      <c r="AB190" s="4"/>
      <c r="AG190" s="4"/>
      <c r="AL190" s="4"/>
      <c r="AQ190" s="4"/>
      <c r="AV190" s="4"/>
      <c r="BA190" s="4"/>
    </row>
    <row r="191" spans="8:53" s="1" customFormat="1" ht="53.45" customHeight="1">
      <c r="H191" s="4"/>
      <c r="M191" s="4"/>
      <c r="R191" s="4"/>
      <c r="W191" s="4"/>
      <c r="AB191" s="4"/>
      <c r="AG191" s="4"/>
      <c r="AL191" s="4"/>
      <c r="AQ191" s="4"/>
      <c r="AV191" s="4"/>
      <c r="BA191" s="4"/>
    </row>
    <row r="192" spans="8:53" s="1" customFormat="1" ht="53.45" customHeight="1">
      <c r="H192" s="4"/>
      <c r="M192" s="4"/>
      <c r="R192" s="4"/>
      <c r="W192" s="4"/>
      <c r="AB192" s="4"/>
      <c r="AG192" s="4"/>
      <c r="AL192" s="4"/>
      <c r="AQ192" s="4"/>
      <c r="AV192" s="4"/>
      <c r="BA192" s="4"/>
    </row>
    <row r="193" spans="8:53" s="1" customFormat="1" ht="53.45" customHeight="1">
      <c r="H193" s="4"/>
      <c r="M193" s="4"/>
      <c r="R193" s="4"/>
      <c r="W193" s="4"/>
      <c r="AB193" s="4"/>
      <c r="AG193" s="4"/>
      <c r="AL193" s="4"/>
      <c r="AQ193" s="4"/>
      <c r="AV193" s="4"/>
      <c r="BA193" s="4"/>
    </row>
    <row r="194" spans="8:53" s="1" customFormat="1" ht="53.45" customHeight="1">
      <c r="H194" s="4"/>
      <c r="M194" s="4"/>
      <c r="R194" s="4"/>
      <c r="W194" s="4"/>
      <c r="AB194" s="4"/>
      <c r="AG194" s="4"/>
      <c r="AL194" s="4"/>
      <c r="AQ194" s="4"/>
      <c r="AV194" s="4"/>
      <c r="BA194" s="4"/>
    </row>
    <row r="195" spans="8:53" s="1" customFormat="1" ht="53.45" customHeight="1">
      <c r="H195" s="4"/>
      <c r="M195" s="4"/>
      <c r="R195" s="4"/>
      <c r="W195" s="4"/>
      <c r="AB195" s="4"/>
      <c r="AG195" s="4"/>
      <c r="AL195" s="4"/>
      <c r="AQ195" s="4"/>
      <c r="AV195" s="4"/>
      <c r="BA195" s="4"/>
    </row>
    <row r="196" spans="8:53" s="1" customFormat="1" ht="53.45" customHeight="1">
      <c r="H196" s="4"/>
      <c r="M196" s="4"/>
      <c r="R196" s="4"/>
      <c r="W196" s="4"/>
      <c r="AB196" s="4"/>
      <c r="AG196" s="4"/>
      <c r="AL196" s="4"/>
      <c r="AQ196" s="4"/>
      <c r="AV196" s="4"/>
      <c r="BA196" s="4"/>
    </row>
    <row r="197" spans="8:53" s="1" customFormat="1" ht="53.45" customHeight="1">
      <c r="H197" s="4"/>
      <c r="M197" s="4"/>
      <c r="R197" s="4"/>
      <c r="W197" s="4"/>
      <c r="AB197" s="4"/>
      <c r="AG197" s="4"/>
      <c r="AL197" s="4"/>
      <c r="AQ197" s="4"/>
      <c r="AV197" s="4"/>
      <c r="BA197" s="4"/>
    </row>
    <row r="198" spans="8:53" s="1" customFormat="1" ht="53.45" customHeight="1">
      <c r="H198" s="4"/>
      <c r="M198" s="4"/>
      <c r="R198" s="4"/>
      <c r="W198" s="4"/>
      <c r="AB198" s="4"/>
      <c r="AG198" s="4"/>
      <c r="AL198" s="4"/>
      <c r="AQ198" s="4"/>
      <c r="AV198" s="4"/>
      <c r="BA198" s="4"/>
    </row>
    <row r="199" spans="8:53" s="1" customFormat="1" ht="53.45" customHeight="1">
      <c r="H199" s="4"/>
      <c r="M199" s="4"/>
      <c r="R199" s="4"/>
      <c r="W199" s="4"/>
      <c r="AB199" s="4"/>
      <c r="AG199" s="4"/>
      <c r="AL199" s="4"/>
      <c r="AQ199" s="4"/>
      <c r="AV199" s="4"/>
      <c r="BA199" s="4"/>
    </row>
    <row r="200" spans="8:53" s="1" customFormat="1" ht="53.45" customHeight="1">
      <c r="H200" s="4"/>
      <c r="M200" s="4"/>
      <c r="R200" s="4"/>
      <c r="W200" s="4"/>
      <c r="AB200" s="4"/>
      <c r="AG200" s="4"/>
      <c r="AL200" s="4"/>
      <c r="AQ200" s="4"/>
      <c r="AV200" s="4"/>
      <c r="BA200" s="4"/>
    </row>
    <row r="201" spans="8:53" s="1" customFormat="1" ht="53.45" customHeight="1">
      <c r="H201" s="4"/>
      <c r="M201" s="4"/>
      <c r="R201" s="4"/>
      <c r="W201" s="4"/>
      <c r="AB201" s="4"/>
      <c r="AG201" s="4"/>
      <c r="AL201" s="4"/>
      <c r="AQ201" s="4"/>
      <c r="AV201" s="4"/>
      <c r="BA201" s="4"/>
    </row>
    <row r="202" spans="8:53" s="1" customFormat="1" ht="53.45" customHeight="1">
      <c r="H202" s="4"/>
      <c r="M202" s="4"/>
      <c r="R202" s="4"/>
      <c r="W202" s="4"/>
      <c r="AB202" s="4"/>
      <c r="AG202" s="4"/>
      <c r="AL202" s="4"/>
      <c r="AQ202" s="4"/>
      <c r="AV202" s="4"/>
      <c r="BA202" s="4"/>
    </row>
    <row r="203" spans="8:53" s="1" customFormat="1" ht="53.45" customHeight="1">
      <c r="H203" s="4"/>
      <c r="M203" s="4"/>
      <c r="R203" s="4"/>
      <c r="W203" s="4"/>
      <c r="AB203" s="4"/>
      <c r="AG203" s="4"/>
      <c r="AL203" s="4"/>
      <c r="AQ203" s="4"/>
      <c r="AV203" s="4"/>
      <c r="BA203" s="4"/>
    </row>
    <row r="204" spans="8:53" s="1" customFormat="1" ht="53.45" customHeight="1">
      <c r="H204" s="4"/>
      <c r="M204" s="4"/>
      <c r="R204" s="4"/>
      <c r="W204" s="4"/>
      <c r="AB204" s="4"/>
      <c r="AG204" s="4"/>
      <c r="AL204" s="4"/>
      <c r="AQ204" s="4"/>
      <c r="AV204" s="4"/>
      <c r="BA204" s="4"/>
    </row>
    <row r="205" spans="8:53" s="1" customFormat="1" ht="53.45" customHeight="1">
      <c r="H205" s="4"/>
      <c r="M205" s="4"/>
      <c r="R205" s="4"/>
      <c r="W205" s="4"/>
      <c r="AB205" s="4"/>
      <c r="AG205" s="4"/>
      <c r="AL205" s="4"/>
      <c r="AQ205" s="4"/>
      <c r="AV205" s="4"/>
      <c r="BA205" s="4"/>
    </row>
    <row r="206" spans="8:53" s="1" customFormat="1" ht="53.45" customHeight="1">
      <c r="H206" s="4"/>
      <c r="M206" s="4"/>
      <c r="R206" s="4"/>
      <c r="W206" s="4"/>
      <c r="AB206" s="4"/>
      <c r="AG206" s="4"/>
      <c r="AL206" s="4"/>
      <c r="AQ206" s="4"/>
      <c r="AV206" s="4"/>
      <c r="BA206" s="4"/>
    </row>
    <row r="207" spans="8:53" s="1" customFormat="1" ht="53.45" customHeight="1">
      <c r="H207" s="4"/>
      <c r="M207" s="4"/>
      <c r="R207" s="4"/>
      <c r="W207" s="4"/>
      <c r="AB207" s="4"/>
      <c r="AG207" s="4"/>
      <c r="AL207" s="4"/>
      <c r="AQ207" s="4"/>
      <c r="AV207" s="4"/>
      <c r="BA207" s="4"/>
    </row>
    <row r="208" spans="8:53" s="1" customFormat="1" ht="53.45" customHeight="1">
      <c r="H208" s="4"/>
      <c r="M208" s="4"/>
      <c r="R208" s="4"/>
      <c r="W208" s="4"/>
      <c r="AB208" s="4"/>
      <c r="AG208" s="4"/>
      <c r="AL208" s="4"/>
      <c r="AQ208" s="4"/>
      <c r="AV208" s="4"/>
      <c r="BA208" s="4"/>
    </row>
    <row r="209" spans="8:53" s="1" customFormat="1" ht="53.45" customHeight="1">
      <c r="H209" s="4"/>
      <c r="M209" s="4"/>
      <c r="R209" s="4"/>
      <c r="W209" s="4"/>
      <c r="AB209" s="4"/>
      <c r="AG209" s="4"/>
      <c r="AL209" s="4"/>
      <c r="AQ209" s="4"/>
      <c r="AV209" s="4"/>
      <c r="BA209" s="4"/>
    </row>
    <row r="210" spans="8:53" s="1" customFormat="1" ht="53.45" customHeight="1">
      <c r="H210" s="4"/>
      <c r="M210" s="4"/>
      <c r="R210" s="4"/>
      <c r="W210" s="4"/>
      <c r="AB210" s="4"/>
      <c r="AG210" s="4"/>
      <c r="AL210" s="4"/>
      <c r="AQ210" s="4"/>
      <c r="AV210" s="4"/>
      <c r="BA210" s="4"/>
    </row>
    <row r="211" spans="8:53" s="1" customFormat="1" ht="53.45" customHeight="1">
      <c r="H211" s="4"/>
      <c r="M211" s="4"/>
      <c r="R211" s="4"/>
      <c r="W211" s="4"/>
      <c r="AB211" s="4"/>
      <c r="AG211" s="4"/>
      <c r="AL211" s="4"/>
      <c r="AQ211" s="4"/>
      <c r="AV211" s="4"/>
      <c r="BA211" s="4"/>
    </row>
    <row r="212" spans="8:53" s="1" customFormat="1" ht="53.45" customHeight="1">
      <c r="H212" s="4"/>
      <c r="M212" s="4"/>
      <c r="R212" s="4"/>
      <c r="W212" s="4"/>
      <c r="AB212" s="4"/>
      <c r="AG212" s="4"/>
      <c r="AL212" s="4"/>
      <c r="AQ212" s="4"/>
      <c r="AV212" s="4"/>
      <c r="BA212" s="4"/>
    </row>
    <row r="213" spans="8:53" s="1" customFormat="1" ht="53.45" customHeight="1">
      <c r="H213" s="4"/>
      <c r="M213" s="4"/>
      <c r="R213" s="4"/>
      <c r="W213" s="4"/>
      <c r="AB213" s="4"/>
      <c r="AG213" s="4"/>
      <c r="AL213" s="4"/>
      <c r="AQ213" s="4"/>
      <c r="AV213" s="4"/>
      <c r="BA213" s="4"/>
    </row>
    <row r="214" spans="8:53" s="1" customFormat="1" ht="53.45" customHeight="1">
      <c r="H214" s="4"/>
      <c r="M214" s="4"/>
      <c r="R214" s="4"/>
      <c r="W214" s="4"/>
      <c r="AB214" s="4"/>
      <c r="AG214" s="4"/>
      <c r="AL214" s="4"/>
      <c r="AQ214" s="4"/>
      <c r="AV214" s="4"/>
      <c r="BA214" s="4"/>
    </row>
    <row r="215" spans="8:53" s="1" customFormat="1" ht="53.45" customHeight="1">
      <c r="H215" s="4"/>
      <c r="M215" s="4"/>
      <c r="R215" s="4"/>
      <c r="W215" s="4"/>
      <c r="AB215" s="4"/>
      <c r="AG215" s="4"/>
      <c r="AL215" s="4"/>
      <c r="AQ215" s="4"/>
      <c r="AV215" s="4"/>
      <c r="BA215" s="4"/>
    </row>
    <row r="216" spans="8:53" s="1" customFormat="1" ht="53.45" customHeight="1">
      <c r="H216" s="4"/>
      <c r="M216" s="4"/>
      <c r="R216" s="4"/>
      <c r="W216" s="4"/>
      <c r="AB216" s="4"/>
      <c r="AG216" s="4"/>
      <c r="AL216" s="4"/>
      <c r="AQ216" s="4"/>
      <c r="AV216" s="4"/>
      <c r="BA216" s="4"/>
    </row>
    <row r="217" spans="8:53" s="1" customFormat="1" ht="53.45" customHeight="1">
      <c r="H217" s="4"/>
      <c r="M217" s="4"/>
      <c r="R217" s="4"/>
      <c r="W217" s="4"/>
      <c r="AB217" s="4"/>
      <c r="AG217" s="4"/>
      <c r="AL217" s="4"/>
      <c r="AQ217" s="4"/>
      <c r="AV217" s="4"/>
      <c r="BA217" s="4"/>
    </row>
    <row r="218" spans="8:53" s="1" customFormat="1" ht="53.45" customHeight="1">
      <c r="H218" s="4"/>
      <c r="M218" s="4"/>
      <c r="R218" s="4"/>
      <c r="W218" s="4"/>
      <c r="AB218" s="4"/>
      <c r="AG218" s="4"/>
      <c r="AL218" s="4"/>
      <c r="AQ218" s="4"/>
      <c r="AV218" s="4"/>
      <c r="BA218" s="4"/>
    </row>
    <row r="219" spans="8:53" s="1" customFormat="1" ht="53.45" customHeight="1">
      <c r="H219" s="4"/>
      <c r="M219" s="4"/>
      <c r="R219" s="4"/>
      <c r="W219" s="4"/>
      <c r="AB219" s="4"/>
      <c r="AG219" s="4"/>
      <c r="AL219" s="4"/>
      <c r="AQ219" s="4"/>
      <c r="AV219" s="4"/>
      <c r="BA219" s="4"/>
    </row>
    <row r="220" spans="8:53" s="1" customFormat="1" ht="53.45" customHeight="1">
      <c r="H220" s="4"/>
      <c r="M220" s="4"/>
      <c r="R220" s="4"/>
      <c r="W220" s="4"/>
      <c r="AB220" s="4"/>
      <c r="AG220" s="4"/>
      <c r="AL220" s="4"/>
      <c r="AQ220" s="4"/>
      <c r="AV220" s="4"/>
      <c r="BA220" s="4"/>
    </row>
    <row r="221" spans="8:53" s="1" customFormat="1" ht="53.45" customHeight="1">
      <c r="H221" s="4"/>
      <c r="M221" s="4"/>
      <c r="R221" s="4"/>
      <c r="W221" s="4"/>
      <c r="AB221" s="4"/>
      <c r="AG221" s="4"/>
      <c r="AL221" s="4"/>
      <c r="AQ221" s="4"/>
      <c r="AV221" s="4"/>
      <c r="BA221" s="4"/>
    </row>
    <row r="222" spans="8:53" s="1" customFormat="1" ht="53.45" customHeight="1">
      <c r="H222" s="4"/>
      <c r="M222" s="4"/>
      <c r="R222" s="4"/>
      <c r="W222" s="4"/>
      <c r="AB222" s="4"/>
      <c r="AG222" s="4"/>
      <c r="AL222" s="4"/>
      <c r="AQ222" s="4"/>
      <c r="AV222" s="4"/>
      <c r="BA222" s="4"/>
    </row>
    <row r="223" spans="8:53" s="1" customFormat="1" ht="53.45" customHeight="1">
      <c r="H223" s="4"/>
      <c r="M223" s="4"/>
      <c r="R223" s="4"/>
      <c r="W223" s="4"/>
      <c r="AB223" s="4"/>
      <c r="AG223" s="4"/>
      <c r="AL223" s="4"/>
      <c r="AQ223" s="4"/>
      <c r="AV223" s="4"/>
      <c r="BA223" s="4"/>
    </row>
    <row r="224" spans="8:53" s="1" customFormat="1" ht="53.45" customHeight="1">
      <c r="H224" s="4"/>
      <c r="M224" s="4"/>
      <c r="R224" s="4"/>
      <c r="W224" s="4"/>
      <c r="AB224" s="4"/>
      <c r="AG224" s="4"/>
      <c r="AL224" s="4"/>
      <c r="AQ224" s="4"/>
      <c r="AV224" s="4"/>
      <c r="BA224" s="4"/>
    </row>
    <row r="225" spans="8:53" s="1" customFormat="1" ht="53.45" customHeight="1">
      <c r="H225" s="4"/>
      <c r="M225" s="4"/>
      <c r="R225" s="4"/>
      <c r="W225" s="4"/>
      <c r="AB225" s="4"/>
      <c r="AG225" s="4"/>
      <c r="AL225" s="4"/>
      <c r="AQ225" s="4"/>
      <c r="AV225" s="4"/>
      <c r="BA225" s="4"/>
    </row>
    <row r="226" spans="8:53" s="1" customFormat="1" ht="53.45" customHeight="1">
      <c r="H226" s="4"/>
      <c r="M226" s="4"/>
      <c r="R226" s="4"/>
      <c r="W226" s="4"/>
      <c r="AB226" s="4"/>
      <c r="AG226" s="4"/>
      <c r="AL226" s="4"/>
      <c r="AQ226" s="4"/>
      <c r="AV226" s="4"/>
      <c r="BA226" s="4"/>
    </row>
    <row r="227" spans="8:53" s="1" customFormat="1" ht="53.45" customHeight="1">
      <c r="H227" s="4"/>
      <c r="M227" s="4"/>
      <c r="R227" s="4"/>
      <c r="W227" s="4"/>
      <c r="AB227" s="4"/>
      <c r="AG227" s="4"/>
      <c r="AL227" s="4"/>
      <c r="AQ227" s="4"/>
      <c r="AV227" s="4"/>
      <c r="BA227" s="4"/>
    </row>
    <row r="228" spans="8:53" s="1" customFormat="1" ht="53.45" customHeight="1">
      <c r="H228" s="4"/>
      <c r="M228" s="4"/>
      <c r="R228" s="4"/>
      <c r="W228" s="4"/>
      <c r="AB228" s="4"/>
      <c r="AG228" s="4"/>
      <c r="AL228" s="4"/>
      <c r="AQ228" s="4"/>
      <c r="AV228" s="4"/>
      <c r="BA228" s="4"/>
    </row>
    <row r="229" spans="8:53" s="1" customFormat="1" ht="53.45" customHeight="1">
      <c r="H229" s="4"/>
      <c r="M229" s="4"/>
      <c r="R229" s="4"/>
      <c r="W229" s="4"/>
      <c r="AB229" s="4"/>
      <c r="AG229" s="4"/>
      <c r="AL229" s="4"/>
      <c r="AQ229" s="4"/>
      <c r="AV229" s="4"/>
      <c r="BA229" s="4"/>
    </row>
    <row r="230" spans="8:53" s="1" customFormat="1" ht="53.45" customHeight="1">
      <c r="H230" s="4"/>
      <c r="M230" s="4"/>
      <c r="R230" s="4"/>
      <c r="W230" s="4"/>
      <c r="AB230" s="4"/>
      <c r="AG230" s="4"/>
      <c r="AL230" s="4"/>
      <c r="AQ230" s="4"/>
      <c r="AV230" s="4"/>
      <c r="BA230" s="4"/>
    </row>
    <row r="231" spans="8:53" s="1" customFormat="1" ht="53.45" customHeight="1">
      <c r="H231" s="4"/>
      <c r="M231" s="4"/>
      <c r="R231" s="4"/>
      <c r="W231" s="4"/>
      <c r="AB231" s="4"/>
      <c r="AG231" s="4"/>
      <c r="AL231" s="4"/>
      <c r="AQ231" s="4"/>
      <c r="AV231" s="4"/>
      <c r="BA231" s="4"/>
    </row>
    <row r="232" spans="8:53" s="1" customFormat="1" ht="53.45" customHeight="1">
      <c r="H232" s="4"/>
      <c r="M232" s="4"/>
      <c r="R232" s="4"/>
      <c r="W232" s="4"/>
      <c r="AB232" s="4"/>
      <c r="AG232" s="4"/>
      <c r="AL232" s="4"/>
      <c r="AQ232" s="4"/>
      <c r="AV232" s="4"/>
      <c r="BA232" s="4"/>
    </row>
    <row r="233" spans="8:53" s="1" customFormat="1" ht="53.45" customHeight="1">
      <c r="H233" s="4"/>
      <c r="M233" s="4"/>
      <c r="R233" s="4"/>
      <c r="W233" s="4"/>
      <c r="AB233" s="4"/>
      <c r="AG233" s="4"/>
      <c r="AL233" s="4"/>
      <c r="AQ233" s="4"/>
      <c r="AV233" s="4"/>
      <c r="BA233" s="4"/>
    </row>
    <row r="234" spans="8:53" s="1" customFormat="1" ht="53.45" customHeight="1">
      <c r="H234" s="4"/>
      <c r="M234" s="4"/>
      <c r="R234" s="4"/>
      <c r="W234" s="4"/>
      <c r="AB234" s="4"/>
      <c r="AG234" s="4"/>
      <c r="AL234" s="4"/>
      <c r="AQ234" s="4"/>
      <c r="AV234" s="4"/>
      <c r="BA234" s="4"/>
    </row>
    <row r="235" spans="8:53" s="1" customFormat="1" ht="53.45" customHeight="1">
      <c r="H235" s="4"/>
      <c r="M235" s="4"/>
      <c r="R235" s="4"/>
      <c r="W235" s="4"/>
      <c r="AB235" s="4"/>
      <c r="AG235" s="4"/>
      <c r="AL235" s="4"/>
      <c r="AQ235" s="4"/>
      <c r="AV235" s="4"/>
      <c r="BA235" s="4"/>
    </row>
    <row r="236" spans="8:53" s="1" customFormat="1" ht="53.45" customHeight="1">
      <c r="H236" s="4"/>
      <c r="M236" s="4"/>
      <c r="R236" s="4"/>
      <c r="W236" s="4"/>
      <c r="AB236" s="4"/>
      <c r="AG236" s="4"/>
      <c r="AL236" s="4"/>
      <c r="AQ236" s="4"/>
      <c r="AV236" s="4"/>
      <c r="BA236" s="4"/>
    </row>
    <row r="237" spans="8:53" s="1" customFormat="1" ht="53.45" customHeight="1">
      <c r="H237" s="4"/>
      <c r="M237" s="4"/>
      <c r="R237" s="4"/>
      <c r="W237" s="4"/>
      <c r="AB237" s="4"/>
      <c r="AG237" s="4"/>
      <c r="AL237" s="4"/>
      <c r="AQ237" s="4"/>
      <c r="AV237" s="4"/>
      <c r="BA237" s="4"/>
    </row>
    <row r="238" spans="8:53" s="1" customFormat="1" ht="53.45" customHeight="1">
      <c r="H238" s="4"/>
      <c r="M238" s="4"/>
      <c r="R238" s="4"/>
      <c r="W238" s="4"/>
      <c r="AB238" s="4"/>
      <c r="AG238" s="4"/>
      <c r="AL238" s="4"/>
      <c r="AQ238" s="4"/>
      <c r="AV238" s="4"/>
      <c r="BA238" s="4"/>
    </row>
    <row r="239" spans="8:53" s="1" customFormat="1" ht="53.45" customHeight="1">
      <c r="H239" s="4"/>
      <c r="M239" s="4"/>
      <c r="R239" s="4"/>
      <c r="W239" s="4"/>
      <c r="AB239" s="4"/>
      <c r="AG239" s="4"/>
      <c r="AL239" s="4"/>
      <c r="AQ239" s="4"/>
      <c r="AV239" s="4"/>
      <c r="BA239" s="4"/>
    </row>
    <row r="240" spans="8:53" s="1" customFormat="1" ht="53.45" customHeight="1">
      <c r="H240" s="4"/>
      <c r="M240" s="4"/>
      <c r="R240" s="4"/>
      <c r="W240" s="4"/>
      <c r="AB240" s="4"/>
      <c r="AG240" s="4"/>
      <c r="AL240" s="4"/>
      <c r="AQ240" s="4"/>
      <c r="AV240" s="4"/>
      <c r="BA240" s="4"/>
    </row>
    <row r="241" spans="8:53" s="1" customFormat="1" ht="53.45" customHeight="1">
      <c r="H241" s="4"/>
      <c r="M241" s="4"/>
      <c r="R241" s="4"/>
      <c r="W241" s="4"/>
      <c r="AB241" s="4"/>
      <c r="AG241" s="4"/>
      <c r="AL241" s="4"/>
      <c r="AQ241" s="4"/>
      <c r="AV241" s="4"/>
      <c r="BA241" s="4"/>
    </row>
    <row r="242" spans="8:53" s="1" customFormat="1" ht="53.45" customHeight="1">
      <c r="H242" s="4"/>
      <c r="M242" s="4"/>
      <c r="R242" s="4"/>
      <c r="W242" s="4"/>
      <c r="AB242" s="4"/>
      <c r="AG242" s="4"/>
      <c r="AL242" s="4"/>
      <c r="AQ242" s="4"/>
      <c r="AV242" s="4"/>
      <c r="BA242" s="4"/>
    </row>
    <row r="243" spans="8:53" s="1" customFormat="1" ht="53.45" customHeight="1">
      <c r="H243" s="4"/>
      <c r="M243" s="4"/>
      <c r="R243" s="4"/>
      <c r="W243" s="4"/>
      <c r="AB243" s="4"/>
      <c r="AG243" s="4"/>
      <c r="AL243" s="4"/>
      <c r="AQ243" s="4"/>
      <c r="AV243" s="4"/>
      <c r="BA243" s="4"/>
    </row>
    <row r="244" spans="8:53" s="1" customFormat="1" ht="53.45" customHeight="1">
      <c r="H244" s="4"/>
      <c r="M244" s="4"/>
      <c r="R244" s="4"/>
      <c r="W244" s="4"/>
      <c r="AB244" s="4"/>
      <c r="AG244" s="4"/>
      <c r="AL244" s="4"/>
      <c r="AQ244" s="4"/>
      <c r="AV244" s="4"/>
      <c r="BA244" s="4"/>
    </row>
    <row r="245" spans="8:53" s="1" customFormat="1" ht="53.45" customHeight="1">
      <c r="H245" s="4"/>
      <c r="M245" s="4"/>
      <c r="R245" s="4"/>
      <c r="W245" s="4"/>
      <c r="AB245" s="4"/>
      <c r="AG245" s="4"/>
      <c r="AL245" s="4"/>
      <c r="AQ245" s="4"/>
      <c r="AV245" s="4"/>
      <c r="BA245" s="4"/>
    </row>
    <row r="246" spans="8:53" s="1" customFormat="1" ht="53.45" customHeight="1">
      <c r="H246" s="4"/>
      <c r="M246" s="4"/>
      <c r="R246" s="4"/>
      <c r="W246" s="4"/>
      <c r="AB246" s="4"/>
      <c r="AG246" s="4"/>
      <c r="AL246" s="4"/>
      <c r="AQ246" s="4"/>
      <c r="AV246" s="4"/>
      <c r="BA246" s="4"/>
    </row>
    <row r="247" spans="8:53" s="1" customFormat="1" ht="53.45" customHeight="1">
      <c r="H247" s="4"/>
      <c r="M247" s="4"/>
      <c r="R247" s="4"/>
      <c r="W247" s="4"/>
      <c r="AB247" s="4"/>
      <c r="AG247" s="4"/>
      <c r="AL247" s="4"/>
      <c r="AQ247" s="4"/>
      <c r="AV247" s="4"/>
      <c r="BA247" s="4"/>
    </row>
    <row r="248" spans="8:53" s="1" customFormat="1" ht="53.45" customHeight="1">
      <c r="H248" s="4"/>
      <c r="M248" s="4"/>
      <c r="R248" s="4"/>
      <c r="W248" s="4"/>
      <c r="AB248" s="4"/>
      <c r="AG248" s="4"/>
      <c r="AL248" s="4"/>
      <c r="AQ248" s="4"/>
      <c r="AV248" s="4"/>
      <c r="BA248" s="4"/>
    </row>
    <row r="249" spans="8:53" s="1" customFormat="1" ht="53.45" customHeight="1">
      <c r="H249" s="4"/>
      <c r="M249" s="4"/>
      <c r="R249" s="4"/>
      <c r="W249" s="4"/>
      <c r="AB249" s="4"/>
      <c r="AG249" s="4"/>
      <c r="AL249" s="4"/>
      <c r="AQ249" s="4"/>
      <c r="AV249" s="4"/>
      <c r="BA249" s="4"/>
    </row>
    <row r="250" spans="8:53" s="1" customFormat="1" ht="53.45" customHeight="1">
      <c r="H250" s="4"/>
      <c r="M250" s="4"/>
      <c r="R250" s="4"/>
      <c r="W250" s="4"/>
      <c r="AB250" s="4"/>
      <c r="AG250" s="4"/>
      <c r="AL250" s="4"/>
      <c r="AQ250" s="4"/>
      <c r="AV250" s="4"/>
      <c r="BA250" s="4"/>
    </row>
    <row r="251" spans="8:53" s="1" customFormat="1" ht="53.45" customHeight="1">
      <c r="H251" s="4"/>
      <c r="M251" s="4"/>
      <c r="R251" s="4"/>
      <c r="W251" s="4"/>
      <c r="AB251" s="4"/>
      <c r="AG251" s="4"/>
      <c r="AL251" s="4"/>
      <c r="AQ251" s="4"/>
      <c r="AV251" s="4"/>
      <c r="BA251" s="4"/>
    </row>
    <row r="252" spans="8:53" s="1" customFormat="1" ht="53.45" customHeight="1">
      <c r="H252" s="4"/>
      <c r="M252" s="4"/>
      <c r="R252" s="4"/>
      <c r="W252" s="4"/>
      <c r="AB252" s="4"/>
      <c r="AG252" s="4"/>
      <c r="AL252" s="4"/>
      <c r="AQ252" s="4"/>
      <c r="AV252" s="4"/>
      <c r="BA252" s="4"/>
    </row>
    <row r="253" spans="8:53" s="1" customFormat="1" ht="53.45" customHeight="1">
      <c r="H253" s="4"/>
      <c r="M253" s="4"/>
      <c r="R253" s="4"/>
      <c r="W253" s="4"/>
      <c r="AB253" s="4"/>
      <c r="AG253" s="4"/>
      <c r="AL253" s="4"/>
      <c r="AQ253" s="4"/>
      <c r="AV253" s="4"/>
      <c r="BA253" s="4"/>
    </row>
    <row r="254" spans="8:53" s="1" customFormat="1" ht="53.45" customHeight="1">
      <c r="H254" s="4"/>
      <c r="M254" s="4"/>
      <c r="R254" s="4"/>
      <c r="W254" s="4"/>
      <c r="AB254" s="4"/>
      <c r="AG254" s="4"/>
      <c r="AL254" s="4"/>
      <c r="AQ254" s="4"/>
      <c r="AV254" s="4"/>
      <c r="BA254" s="4"/>
    </row>
    <row r="255" spans="8:53" s="1" customFormat="1" ht="53.45" customHeight="1">
      <c r="H255" s="4"/>
      <c r="M255" s="4"/>
      <c r="R255" s="4"/>
      <c r="W255" s="4"/>
      <c r="AB255" s="4"/>
      <c r="AG255" s="4"/>
      <c r="AL255" s="4"/>
      <c r="AQ255" s="4"/>
      <c r="AV255" s="4"/>
      <c r="BA255" s="4"/>
    </row>
    <row r="256" spans="8:53" s="1" customFormat="1" ht="53.45" customHeight="1">
      <c r="H256" s="4"/>
      <c r="M256" s="4"/>
      <c r="R256" s="4"/>
      <c r="W256" s="4"/>
      <c r="AB256" s="4"/>
      <c r="AG256" s="4"/>
      <c r="AL256" s="4"/>
      <c r="AQ256" s="4"/>
      <c r="AV256" s="4"/>
      <c r="BA256" s="4"/>
    </row>
    <row r="257" spans="8:53" s="1" customFormat="1" ht="53.45" customHeight="1">
      <c r="H257" s="4"/>
      <c r="M257" s="4"/>
      <c r="R257" s="4"/>
      <c r="W257" s="4"/>
      <c r="AB257" s="4"/>
      <c r="AG257" s="4"/>
      <c r="AL257" s="4"/>
      <c r="AQ257" s="4"/>
      <c r="AV257" s="4"/>
      <c r="BA257" s="4"/>
    </row>
    <row r="258" spans="8:53" s="1" customFormat="1" ht="53.45" customHeight="1">
      <c r="H258" s="4"/>
      <c r="M258" s="4"/>
      <c r="R258" s="4"/>
      <c r="W258" s="4"/>
      <c r="AB258" s="4"/>
      <c r="AG258" s="4"/>
      <c r="AL258" s="4"/>
      <c r="AQ258" s="4"/>
      <c r="AV258" s="4"/>
      <c r="BA258" s="4"/>
    </row>
    <row r="259" spans="8:53" s="1" customFormat="1" ht="53.45" customHeight="1">
      <c r="H259" s="4"/>
      <c r="M259" s="4"/>
      <c r="R259" s="4"/>
      <c r="W259" s="4"/>
      <c r="AB259" s="4"/>
      <c r="AG259" s="4"/>
      <c r="AL259" s="4"/>
      <c r="AQ259" s="4"/>
      <c r="AV259" s="4"/>
      <c r="BA259" s="4"/>
    </row>
    <row r="260" spans="8:53" s="1" customFormat="1" ht="53.45" customHeight="1">
      <c r="H260" s="4"/>
      <c r="M260" s="4"/>
      <c r="R260" s="4"/>
      <c r="W260" s="4"/>
      <c r="AB260" s="4"/>
      <c r="AG260" s="4"/>
      <c r="AL260" s="4"/>
      <c r="AQ260" s="4"/>
      <c r="AV260" s="4"/>
      <c r="BA260" s="4"/>
    </row>
    <row r="261" spans="8:53" s="1" customFormat="1" ht="53.45" customHeight="1">
      <c r="H261" s="4"/>
      <c r="M261" s="4"/>
      <c r="R261" s="4"/>
      <c r="W261" s="4"/>
      <c r="AB261" s="4"/>
      <c r="AG261" s="4"/>
      <c r="AL261" s="4"/>
      <c r="AQ261" s="4"/>
      <c r="AV261" s="4"/>
      <c r="BA261" s="4"/>
    </row>
    <row r="262" spans="8:53" s="1" customFormat="1" ht="53.45" customHeight="1">
      <c r="H262" s="4"/>
      <c r="M262" s="4"/>
      <c r="R262" s="4"/>
      <c r="W262" s="4"/>
      <c r="AB262" s="4"/>
      <c r="AG262" s="4"/>
      <c r="AL262" s="4"/>
      <c r="AQ262" s="4"/>
      <c r="AV262" s="4"/>
      <c r="BA262" s="4"/>
    </row>
    <row r="263" spans="8:53" s="1" customFormat="1" ht="53.45" customHeight="1">
      <c r="H263" s="4"/>
      <c r="M263" s="4"/>
      <c r="R263" s="4"/>
      <c r="W263" s="4"/>
      <c r="AB263" s="4"/>
      <c r="AG263" s="4"/>
      <c r="AL263" s="4"/>
      <c r="AQ263" s="4"/>
      <c r="AV263" s="4"/>
      <c r="BA263" s="4"/>
    </row>
    <row r="264" spans="8:53" s="1" customFormat="1" ht="53.45" customHeight="1">
      <c r="H264" s="4"/>
      <c r="M264" s="4"/>
      <c r="R264" s="4"/>
      <c r="W264" s="4"/>
      <c r="AB264" s="4"/>
      <c r="AG264" s="4"/>
      <c r="AL264" s="4"/>
      <c r="AQ264" s="4"/>
      <c r="AV264" s="4"/>
      <c r="BA264" s="4"/>
    </row>
    <row r="265" spans="8:53" s="1" customFormat="1" ht="53.45" customHeight="1">
      <c r="H265" s="4"/>
      <c r="M265" s="4"/>
      <c r="R265" s="4"/>
      <c r="W265" s="4"/>
      <c r="AB265" s="4"/>
      <c r="AG265" s="4"/>
      <c r="AL265" s="4"/>
      <c r="AQ265" s="4"/>
      <c r="AV265" s="4"/>
      <c r="BA265" s="4"/>
    </row>
    <row r="266" spans="8:53" s="1" customFormat="1" ht="53.45" customHeight="1">
      <c r="H266" s="4"/>
      <c r="M266" s="4"/>
      <c r="R266" s="4"/>
      <c r="W266" s="4"/>
      <c r="AB266" s="4"/>
      <c r="AG266" s="4"/>
      <c r="AL266" s="4"/>
      <c r="AQ266" s="4"/>
      <c r="AV266" s="4"/>
      <c r="BA266" s="4"/>
    </row>
    <row r="267" spans="8:53" s="1" customFormat="1" ht="53.45" customHeight="1">
      <c r="H267" s="4"/>
      <c r="M267" s="4"/>
      <c r="R267" s="4"/>
      <c r="W267" s="4"/>
      <c r="AB267" s="4"/>
      <c r="AG267" s="4"/>
      <c r="AL267" s="4"/>
      <c r="AQ267" s="4"/>
      <c r="AV267" s="4"/>
      <c r="BA267" s="4"/>
    </row>
    <row r="268" spans="8:53" s="1" customFormat="1" ht="53.45" customHeight="1">
      <c r="H268" s="4"/>
      <c r="M268" s="4"/>
      <c r="R268" s="4"/>
      <c r="W268" s="4"/>
      <c r="AB268" s="4"/>
      <c r="AG268" s="4"/>
      <c r="AL268" s="4"/>
      <c r="AQ268" s="4"/>
      <c r="AV268" s="4"/>
      <c r="BA268" s="4"/>
    </row>
    <row r="269" spans="8:53" s="1" customFormat="1" ht="53.45" customHeight="1">
      <c r="H269" s="4"/>
      <c r="M269" s="4"/>
      <c r="R269" s="4"/>
      <c r="W269" s="4"/>
      <c r="AB269" s="4"/>
      <c r="AG269" s="4"/>
      <c r="AL269" s="4"/>
      <c r="AQ269" s="4"/>
      <c r="AV269" s="4"/>
      <c r="BA269" s="4"/>
    </row>
    <row r="270" spans="8:53" s="1" customFormat="1" ht="53.45" customHeight="1">
      <c r="H270" s="4"/>
      <c r="M270" s="4"/>
      <c r="R270" s="4"/>
      <c r="W270" s="4"/>
      <c r="AB270" s="4"/>
      <c r="AG270" s="4"/>
      <c r="AL270" s="4"/>
      <c r="AQ270" s="4"/>
      <c r="AV270" s="4"/>
      <c r="BA270" s="4"/>
    </row>
    <row r="271" spans="8:53" s="1" customFormat="1" ht="53.45" customHeight="1">
      <c r="H271" s="4"/>
      <c r="M271" s="4"/>
      <c r="R271" s="4"/>
      <c r="W271" s="4"/>
      <c r="AB271" s="4"/>
      <c r="AG271" s="4"/>
      <c r="AL271" s="4"/>
      <c r="AQ271" s="4"/>
      <c r="AV271" s="4"/>
      <c r="BA271" s="4"/>
    </row>
    <row r="272" spans="8:53" s="1" customFormat="1" ht="53.45" customHeight="1">
      <c r="H272" s="4"/>
      <c r="M272" s="4"/>
      <c r="R272" s="4"/>
      <c r="W272" s="4"/>
      <c r="AB272" s="4"/>
      <c r="AG272" s="4"/>
      <c r="AL272" s="4"/>
      <c r="AQ272" s="4"/>
      <c r="AV272" s="4"/>
      <c r="BA272" s="4"/>
    </row>
    <row r="273" spans="8:53" s="1" customFormat="1" ht="53.45" customHeight="1">
      <c r="H273" s="4"/>
      <c r="M273" s="4"/>
      <c r="R273" s="4"/>
      <c r="W273" s="4"/>
      <c r="AB273" s="4"/>
      <c r="AG273" s="4"/>
      <c r="AL273" s="4"/>
      <c r="AQ273" s="4"/>
      <c r="AV273" s="4"/>
      <c r="BA273" s="4"/>
    </row>
    <row r="274" spans="8:53" s="1" customFormat="1" ht="53.45" customHeight="1">
      <c r="H274" s="4"/>
      <c r="M274" s="4"/>
      <c r="R274" s="4"/>
      <c r="W274" s="4"/>
      <c r="AB274" s="4"/>
      <c r="AG274" s="4"/>
      <c r="AL274" s="4"/>
      <c r="AQ274" s="4"/>
      <c r="AV274" s="4"/>
      <c r="BA274" s="4"/>
    </row>
    <row r="275" spans="8:53" s="1" customFormat="1" ht="53.45" customHeight="1">
      <c r="H275" s="4"/>
      <c r="M275" s="4"/>
      <c r="R275" s="4"/>
      <c r="W275" s="4"/>
      <c r="AB275" s="4"/>
      <c r="AG275" s="4"/>
      <c r="AL275" s="4"/>
      <c r="AQ275" s="4"/>
      <c r="AV275" s="4"/>
      <c r="BA275" s="4"/>
    </row>
    <row r="276" spans="8:53" s="1" customFormat="1" ht="53.45" customHeight="1">
      <c r="H276" s="4"/>
      <c r="M276" s="4"/>
      <c r="R276" s="4"/>
      <c r="W276" s="4"/>
      <c r="AB276" s="4"/>
      <c r="AG276" s="4"/>
      <c r="AL276" s="4"/>
      <c r="AQ276" s="4"/>
      <c r="AV276" s="4"/>
      <c r="BA276" s="4"/>
    </row>
    <row r="277" spans="8:53" s="1" customFormat="1" ht="53.45" customHeight="1">
      <c r="H277" s="4"/>
      <c r="M277" s="4"/>
      <c r="R277" s="4"/>
      <c r="W277" s="4"/>
      <c r="AB277" s="4"/>
      <c r="AG277" s="4"/>
      <c r="AL277" s="4"/>
      <c r="AQ277" s="4"/>
      <c r="AV277" s="4"/>
      <c r="BA277" s="4"/>
    </row>
    <row r="278" spans="8:53" s="1" customFormat="1" ht="53.45" customHeight="1">
      <c r="H278" s="4"/>
      <c r="M278" s="4"/>
      <c r="R278" s="4"/>
      <c r="W278" s="4"/>
      <c r="AB278" s="4"/>
      <c r="AG278" s="4"/>
      <c r="AL278" s="4"/>
      <c r="AQ278" s="4"/>
      <c r="AV278" s="4"/>
      <c r="BA278" s="4"/>
    </row>
    <row r="279" spans="8:53" s="1" customFormat="1" ht="53.45" customHeight="1">
      <c r="H279" s="4"/>
      <c r="M279" s="4"/>
      <c r="R279" s="4"/>
      <c r="W279" s="4"/>
      <c r="AB279" s="4"/>
      <c r="AG279" s="4"/>
      <c r="AL279" s="4"/>
      <c r="AQ279" s="4"/>
      <c r="AV279" s="4"/>
      <c r="BA279" s="4"/>
    </row>
    <row r="280" spans="8:53" s="1" customFormat="1" ht="53.45" customHeight="1">
      <c r="H280" s="4"/>
      <c r="M280" s="4"/>
      <c r="R280" s="4"/>
      <c r="W280" s="4"/>
      <c r="AB280" s="4"/>
      <c r="AG280" s="4"/>
      <c r="AL280" s="4"/>
      <c r="AQ280" s="4"/>
      <c r="AV280" s="4"/>
      <c r="BA280" s="4"/>
    </row>
    <row r="281" spans="8:53" s="1" customFormat="1" ht="53.45" customHeight="1">
      <c r="H281" s="4"/>
      <c r="M281" s="4"/>
      <c r="R281" s="4"/>
      <c r="W281" s="4"/>
      <c r="AB281" s="4"/>
      <c r="AG281" s="4"/>
      <c r="AL281" s="4"/>
      <c r="AQ281" s="4"/>
      <c r="AV281" s="4"/>
      <c r="BA281" s="4"/>
    </row>
    <row r="282" spans="8:53" s="1" customFormat="1" ht="53.45" customHeight="1">
      <c r="H282" s="4"/>
      <c r="M282" s="4"/>
      <c r="R282" s="4"/>
      <c r="W282" s="4"/>
      <c r="AB282" s="4"/>
      <c r="AG282" s="4"/>
      <c r="AL282" s="4"/>
      <c r="AQ282" s="4"/>
      <c r="AV282" s="4"/>
      <c r="BA282" s="4"/>
    </row>
    <row r="283" spans="8:53" s="1" customFormat="1" ht="53.45" customHeight="1">
      <c r="H283" s="4"/>
      <c r="M283" s="4"/>
      <c r="R283" s="4"/>
      <c r="W283" s="4"/>
      <c r="AB283" s="4"/>
      <c r="AG283" s="4"/>
      <c r="AL283" s="4"/>
      <c r="AQ283" s="4"/>
      <c r="AV283" s="4"/>
      <c r="BA283" s="4"/>
    </row>
    <row r="284" spans="8:53" s="1" customFormat="1" ht="53.45" customHeight="1">
      <c r="H284" s="4"/>
      <c r="M284" s="4"/>
      <c r="R284" s="4"/>
      <c r="W284" s="4"/>
      <c r="AB284" s="4"/>
      <c r="AG284" s="4"/>
      <c r="AL284" s="4"/>
      <c r="AQ284" s="4"/>
      <c r="AV284" s="4"/>
      <c r="BA284" s="4"/>
    </row>
    <row r="285" spans="8:53" s="1" customFormat="1" ht="53.45" customHeight="1">
      <c r="H285" s="4"/>
      <c r="M285" s="4"/>
      <c r="R285" s="4"/>
      <c r="W285" s="4"/>
      <c r="AB285" s="4"/>
      <c r="AG285" s="4"/>
      <c r="AL285" s="4"/>
      <c r="AQ285" s="4"/>
      <c r="AV285" s="4"/>
      <c r="BA285" s="4"/>
    </row>
    <row r="286" spans="8:53" s="1" customFormat="1" ht="53.45" customHeight="1">
      <c r="H286" s="4"/>
      <c r="M286" s="4"/>
      <c r="R286" s="4"/>
      <c r="W286" s="4"/>
      <c r="AB286" s="4"/>
      <c r="AG286" s="4"/>
      <c r="AL286" s="4"/>
      <c r="AQ286" s="4"/>
      <c r="AV286" s="4"/>
      <c r="BA286" s="4"/>
    </row>
    <row r="287" spans="8:53" s="1" customFormat="1" ht="53.45" customHeight="1">
      <c r="H287" s="4"/>
      <c r="M287" s="4"/>
      <c r="R287" s="4"/>
      <c r="W287" s="4"/>
      <c r="AB287" s="4"/>
      <c r="AG287" s="4"/>
      <c r="AL287" s="4"/>
      <c r="AQ287" s="4"/>
      <c r="AV287" s="4"/>
      <c r="BA287" s="4"/>
    </row>
    <row r="288" spans="8:53" s="1" customFormat="1" ht="53.45" customHeight="1">
      <c r="H288" s="4"/>
      <c r="M288" s="4"/>
      <c r="R288" s="4"/>
      <c r="W288" s="4"/>
      <c r="AB288" s="4"/>
      <c r="AG288" s="4"/>
      <c r="AL288" s="4"/>
      <c r="AQ288" s="4"/>
      <c r="AV288" s="4"/>
      <c r="BA288" s="4"/>
    </row>
    <row r="289" spans="8:53" s="1" customFormat="1" ht="53.45" customHeight="1">
      <c r="H289" s="4"/>
      <c r="M289" s="4"/>
      <c r="R289" s="4"/>
      <c r="W289" s="4"/>
      <c r="AB289" s="4"/>
      <c r="AG289" s="4"/>
      <c r="AL289" s="4"/>
      <c r="AQ289" s="4"/>
      <c r="AV289" s="4"/>
      <c r="BA289" s="4"/>
    </row>
    <row r="290" spans="8:53" s="1" customFormat="1" ht="53.45" customHeight="1">
      <c r="H290" s="4"/>
      <c r="M290" s="4"/>
      <c r="R290" s="4"/>
      <c r="W290" s="4"/>
      <c r="AB290" s="4"/>
      <c r="AG290" s="4"/>
      <c r="AL290" s="4"/>
      <c r="AQ290" s="4"/>
      <c r="AV290" s="4"/>
      <c r="BA290" s="4"/>
    </row>
    <row r="291" spans="8:53" s="1" customFormat="1" ht="53.45" customHeight="1">
      <c r="H291" s="4"/>
      <c r="M291" s="4"/>
      <c r="R291" s="4"/>
      <c r="W291" s="4"/>
      <c r="AB291" s="4"/>
      <c r="AG291" s="4"/>
      <c r="AL291" s="4"/>
      <c r="AQ291" s="4"/>
      <c r="AV291" s="4"/>
      <c r="BA291" s="4"/>
    </row>
    <row r="292" spans="8:53" s="1" customFormat="1" ht="53.45" customHeight="1">
      <c r="H292" s="4"/>
      <c r="M292" s="4"/>
      <c r="R292" s="4"/>
      <c r="W292" s="4"/>
      <c r="AB292" s="4"/>
      <c r="AG292" s="4"/>
      <c r="AL292" s="4"/>
      <c r="AQ292" s="4"/>
      <c r="AV292" s="4"/>
      <c r="BA292" s="4"/>
    </row>
    <row r="293" spans="8:53" s="1" customFormat="1" ht="53.45" customHeight="1">
      <c r="H293" s="4"/>
      <c r="M293" s="4"/>
      <c r="R293" s="4"/>
      <c r="W293" s="4"/>
      <c r="AB293" s="4"/>
      <c r="AG293" s="4"/>
      <c r="AL293" s="4"/>
      <c r="AQ293" s="4"/>
      <c r="AV293" s="4"/>
      <c r="BA293" s="4"/>
    </row>
    <row r="294" spans="8:53" s="1" customFormat="1" ht="53.45" customHeight="1">
      <c r="H294" s="4"/>
      <c r="M294" s="4"/>
      <c r="R294" s="4"/>
      <c r="W294" s="4"/>
      <c r="AB294" s="4"/>
      <c r="AG294" s="4"/>
      <c r="AL294" s="4"/>
      <c r="AQ294" s="4"/>
      <c r="AV294" s="4"/>
      <c r="BA294" s="4"/>
    </row>
    <row r="295" spans="8:53" s="1" customFormat="1" ht="53.45" customHeight="1">
      <c r="H295" s="4"/>
      <c r="M295" s="4"/>
      <c r="R295" s="4"/>
      <c r="W295" s="4"/>
      <c r="AB295" s="4"/>
      <c r="AG295" s="4"/>
      <c r="AL295" s="4"/>
      <c r="AQ295" s="4"/>
      <c r="AV295" s="4"/>
      <c r="BA295" s="4"/>
    </row>
    <row r="296" spans="8:53" s="1" customFormat="1" ht="53.45" customHeight="1">
      <c r="H296" s="4"/>
      <c r="M296" s="4"/>
      <c r="R296" s="4"/>
      <c r="W296" s="4"/>
      <c r="AB296" s="4"/>
      <c r="AG296" s="4"/>
      <c r="AL296" s="4"/>
      <c r="AQ296" s="4"/>
      <c r="AV296" s="4"/>
      <c r="BA296" s="4"/>
    </row>
    <row r="297" spans="8:53" s="1" customFormat="1" ht="53.45" customHeight="1">
      <c r="H297" s="4"/>
      <c r="M297" s="4"/>
      <c r="R297" s="4"/>
      <c r="W297" s="4"/>
      <c r="AB297" s="4"/>
      <c r="AG297" s="4"/>
      <c r="AL297" s="4"/>
      <c r="AQ297" s="4"/>
      <c r="AV297" s="4"/>
      <c r="BA297" s="4"/>
    </row>
    <row r="298" spans="8:53" s="1" customFormat="1" ht="53.45" customHeight="1">
      <c r="H298" s="4"/>
      <c r="M298" s="4"/>
      <c r="R298" s="4"/>
      <c r="W298" s="4"/>
      <c r="AB298" s="4"/>
      <c r="AG298" s="4"/>
      <c r="AL298" s="4"/>
      <c r="AQ298" s="4"/>
      <c r="AV298" s="4"/>
      <c r="BA298" s="4"/>
    </row>
    <row r="299" spans="8:53" s="1" customFormat="1" ht="53.45" customHeight="1">
      <c r="H299" s="4"/>
      <c r="M299" s="4"/>
      <c r="R299" s="4"/>
      <c r="W299" s="4"/>
      <c r="AB299" s="4"/>
      <c r="AG299" s="4"/>
      <c r="AL299" s="4"/>
      <c r="AQ299" s="4"/>
      <c r="AV299" s="4"/>
      <c r="BA299" s="4"/>
    </row>
    <row r="300" spans="8:53" s="1" customFormat="1" ht="53.45" customHeight="1">
      <c r="H300" s="4"/>
      <c r="M300" s="4"/>
      <c r="R300" s="4"/>
      <c r="W300" s="4"/>
      <c r="AB300" s="4"/>
      <c r="AG300" s="4"/>
      <c r="AL300" s="4"/>
      <c r="AQ300" s="4"/>
      <c r="AV300" s="4"/>
      <c r="BA300" s="4"/>
    </row>
    <row r="301" spans="8:53" s="1" customFormat="1" ht="53.45" customHeight="1">
      <c r="H301" s="4"/>
      <c r="M301" s="4"/>
      <c r="R301" s="4"/>
      <c r="W301" s="4"/>
      <c r="AB301" s="4"/>
      <c r="AG301" s="4"/>
      <c r="AL301" s="4"/>
      <c r="AQ301" s="4"/>
      <c r="AV301" s="4"/>
      <c r="BA301" s="4"/>
    </row>
    <row r="302" spans="8:53" s="1" customFormat="1" ht="53.45" customHeight="1">
      <c r="H302" s="4"/>
      <c r="M302" s="4"/>
      <c r="R302" s="4"/>
      <c r="W302" s="4"/>
      <c r="AB302" s="4"/>
      <c r="AG302" s="4"/>
      <c r="AL302" s="4"/>
      <c r="AQ302" s="4"/>
      <c r="AV302" s="4"/>
      <c r="BA302" s="4"/>
    </row>
    <row r="303" spans="8:53" s="1" customFormat="1" ht="53.45" customHeight="1">
      <c r="H303" s="4"/>
      <c r="M303" s="4"/>
      <c r="R303" s="4"/>
      <c r="W303" s="4"/>
      <c r="AB303" s="4"/>
      <c r="AG303" s="4"/>
      <c r="AL303" s="4"/>
      <c r="AQ303" s="4"/>
      <c r="AV303" s="4"/>
      <c r="BA303" s="4"/>
    </row>
    <row r="304" spans="8:53" s="1" customFormat="1" ht="53.45" customHeight="1">
      <c r="H304" s="4"/>
      <c r="M304" s="4"/>
      <c r="R304" s="4"/>
      <c r="W304" s="4"/>
      <c r="AB304" s="4"/>
      <c r="AG304" s="4"/>
      <c r="AL304" s="4"/>
      <c r="AQ304" s="4"/>
      <c r="AV304" s="4"/>
      <c r="BA304" s="4"/>
    </row>
    <row r="305" spans="8:53" s="1" customFormat="1" ht="53.45" customHeight="1">
      <c r="H305" s="4"/>
      <c r="M305" s="4"/>
      <c r="R305" s="4"/>
      <c r="W305" s="4"/>
      <c r="AB305" s="4"/>
      <c r="AG305" s="4"/>
      <c r="AL305" s="4"/>
      <c r="AQ305" s="4"/>
      <c r="AV305" s="4"/>
      <c r="BA305" s="4"/>
    </row>
    <row r="306" spans="8:53" s="1" customFormat="1" ht="53.45" customHeight="1">
      <c r="H306" s="4"/>
      <c r="M306" s="4"/>
      <c r="R306" s="4"/>
      <c r="W306" s="4"/>
      <c r="AB306" s="4"/>
      <c r="AG306" s="4"/>
      <c r="AL306" s="4"/>
      <c r="AQ306" s="4"/>
      <c r="AV306" s="4"/>
      <c r="BA306" s="4"/>
    </row>
    <row r="307" spans="8:53" s="1" customFormat="1" ht="53.45" customHeight="1">
      <c r="H307" s="4"/>
      <c r="M307" s="4"/>
      <c r="R307" s="4"/>
      <c r="W307" s="4"/>
      <c r="AB307" s="4"/>
      <c r="AG307" s="4"/>
      <c r="AL307" s="4"/>
      <c r="AQ307" s="4"/>
      <c r="AV307" s="4"/>
      <c r="BA307" s="4"/>
    </row>
    <row r="308" spans="8:53" s="1" customFormat="1" ht="53.45" customHeight="1">
      <c r="H308" s="4"/>
      <c r="M308" s="4"/>
      <c r="R308" s="4"/>
      <c r="W308" s="4"/>
      <c r="AB308" s="4"/>
      <c r="AG308" s="4"/>
      <c r="AL308" s="4"/>
      <c r="AQ308" s="4"/>
      <c r="AV308" s="4"/>
      <c r="BA308" s="4"/>
    </row>
    <row r="309" spans="8:53" s="1" customFormat="1" ht="53.45" customHeight="1">
      <c r="H309" s="4"/>
      <c r="M309" s="4"/>
      <c r="R309" s="4"/>
      <c r="W309" s="4"/>
      <c r="AB309" s="4"/>
      <c r="AG309" s="4"/>
      <c r="AL309" s="4"/>
      <c r="AQ309" s="4"/>
      <c r="AV309" s="4"/>
      <c r="BA309" s="4"/>
    </row>
    <row r="310" spans="8:53" s="1" customFormat="1" ht="53.45" customHeight="1">
      <c r="H310" s="4"/>
      <c r="M310" s="4"/>
      <c r="R310" s="4"/>
      <c r="W310" s="4"/>
      <c r="AB310" s="4"/>
      <c r="AG310" s="4"/>
      <c r="AL310" s="4"/>
      <c r="AQ310" s="4"/>
      <c r="AV310" s="4"/>
      <c r="BA310" s="4"/>
    </row>
    <row r="311" spans="8:53" s="1" customFormat="1" ht="53.45" customHeight="1">
      <c r="H311" s="4"/>
      <c r="M311" s="4"/>
      <c r="R311" s="4"/>
      <c r="W311" s="4"/>
      <c r="AB311" s="4"/>
      <c r="AG311" s="4"/>
      <c r="AL311" s="4"/>
      <c r="AQ311" s="4"/>
      <c r="AV311" s="4"/>
      <c r="BA311" s="4"/>
    </row>
    <row r="312" spans="8:53" s="1" customFormat="1" ht="53.45" customHeight="1">
      <c r="H312" s="4"/>
      <c r="M312" s="4"/>
      <c r="R312" s="4"/>
      <c r="W312" s="4"/>
      <c r="AB312" s="4"/>
      <c r="AG312" s="4"/>
      <c r="AL312" s="4"/>
      <c r="AQ312" s="4"/>
      <c r="AV312" s="4"/>
      <c r="BA312" s="4"/>
    </row>
    <row r="313" spans="8:53" s="1" customFormat="1" ht="53.45" customHeight="1">
      <c r="H313" s="4"/>
      <c r="M313" s="4"/>
      <c r="R313" s="4"/>
      <c r="W313" s="4"/>
      <c r="AB313" s="4"/>
      <c r="AG313" s="4"/>
      <c r="AL313" s="4"/>
      <c r="AQ313" s="4"/>
      <c r="AV313" s="4"/>
      <c r="BA313" s="4"/>
    </row>
    <row r="314" spans="8:53" s="1" customFormat="1" ht="53.45" customHeight="1">
      <c r="H314" s="4"/>
      <c r="M314" s="4"/>
      <c r="R314" s="4"/>
      <c r="W314" s="4"/>
      <c r="AB314" s="4"/>
      <c r="AG314" s="4"/>
      <c r="AL314" s="4"/>
      <c r="AQ314" s="4"/>
      <c r="AV314" s="4"/>
      <c r="BA314" s="4"/>
    </row>
    <row r="315" spans="8:53" s="1" customFormat="1" ht="53.45" customHeight="1">
      <c r="H315" s="4"/>
      <c r="M315" s="4"/>
      <c r="R315" s="4"/>
      <c r="W315" s="4"/>
      <c r="AB315" s="4"/>
      <c r="AG315" s="4"/>
      <c r="AL315" s="4"/>
      <c r="AQ315" s="4"/>
      <c r="AV315" s="4"/>
      <c r="BA315" s="4"/>
    </row>
    <row r="316" spans="8:53" s="1" customFormat="1" ht="53.45" customHeight="1">
      <c r="H316" s="4"/>
      <c r="M316" s="4"/>
      <c r="R316" s="4"/>
      <c r="W316" s="4"/>
      <c r="AB316" s="4"/>
      <c r="AG316" s="4"/>
      <c r="AL316" s="4"/>
      <c r="AQ316" s="4"/>
      <c r="AV316" s="4"/>
      <c r="BA316" s="4"/>
    </row>
    <row r="317" spans="8:53" s="1" customFormat="1" ht="53.45" customHeight="1">
      <c r="H317" s="4"/>
      <c r="M317" s="4"/>
      <c r="R317" s="4"/>
      <c r="W317" s="4"/>
      <c r="AB317" s="4"/>
      <c r="AG317" s="4"/>
      <c r="AL317" s="4"/>
      <c r="AQ317" s="4"/>
      <c r="AV317" s="4"/>
      <c r="BA317" s="4"/>
    </row>
    <row r="318" spans="8:53" s="1" customFormat="1" ht="53.45" customHeight="1">
      <c r="H318" s="4"/>
      <c r="M318" s="4"/>
      <c r="R318" s="4"/>
      <c r="W318" s="4"/>
      <c r="AB318" s="4"/>
      <c r="AG318" s="4"/>
      <c r="AL318" s="4"/>
      <c r="AQ318" s="4"/>
      <c r="AV318" s="4"/>
      <c r="BA318" s="4"/>
    </row>
    <row r="319" spans="8:53" s="1" customFormat="1" ht="53.45" customHeight="1">
      <c r="H319" s="4"/>
      <c r="M319" s="4"/>
      <c r="R319" s="4"/>
      <c r="W319" s="4"/>
      <c r="AB319" s="4"/>
      <c r="AG319" s="4"/>
      <c r="AL319" s="4"/>
      <c r="AQ319" s="4"/>
      <c r="AV319" s="4"/>
      <c r="BA319" s="4"/>
    </row>
    <row r="320" spans="8:53" s="1" customFormat="1" ht="53.45" customHeight="1">
      <c r="H320" s="4"/>
      <c r="M320" s="4"/>
      <c r="R320" s="4"/>
      <c r="W320" s="4"/>
      <c r="AB320" s="4"/>
      <c r="AG320" s="4"/>
      <c r="AL320" s="4"/>
      <c r="AQ320" s="4"/>
      <c r="AV320" s="4"/>
      <c r="BA320" s="4"/>
    </row>
    <row r="321" spans="8:53" s="1" customFormat="1" ht="53.45" customHeight="1">
      <c r="H321" s="4"/>
      <c r="M321" s="4"/>
      <c r="R321" s="4"/>
      <c r="W321" s="4"/>
      <c r="AB321" s="4"/>
      <c r="AG321" s="4"/>
      <c r="AL321" s="4"/>
      <c r="AQ321" s="4"/>
      <c r="AV321" s="4"/>
      <c r="BA321" s="4"/>
    </row>
    <row r="322" spans="8:53" s="1" customFormat="1" ht="53.45" customHeight="1">
      <c r="H322" s="4"/>
      <c r="M322" s="4"/>
      <c r="R322" s="4"/>
      <c r="W322" s="4"/>
      <c r="AB322" s="4"/>
      <c r="AG322" s="4"/>
      <c r="AL322" s="4"/>
      <c r="AQ322" s="4"/>
      <c r="AV322" s="4"/>
      <c r="BA322" s="4"/>
    </row>
    <row r="323" spans="8:53" s="1" customFormat="1" ht="53.45" customHeight="1">
      <c r="H323" s="4"/>
      <c r="M323" s="4"/>
      <c r="R323" s="4"/>
      <c r="W323" s="4"/>
      <c r="AB323" s="4"/>
      <c r="AG323" s="4"/>
      <c r="AL323" s="4"/>
      <c r="AQ323" s="4"/>
      <c r="AV323" s="4"/>
      <c r="BA323" s="4"/>
    </row>
    <row r="324" spans="8:53" s="1" customFormat="1" ht="53.45" customHeight="1">
      <c r="H324" s="4"/>
      <c r="M324" s="4"/>
      <c r="R324" s="4"/>
      <c r="W324" s="4"/>
      <c r="AB324" s="4"/>
      <c r="AG324" s="4"/>
      <c r="AL324" s="4"/>
      <c r="AQ324" s="4"/>
      <c r="AV324" s="4"/>
      <c r="BA324" s="4"/>
    </row>
    <row r="325" spans="8:53" s="1" customFormat="1" ht="53.45" customHeight="1">
      <c r="H325" s="4"/>
      <c r="M325" s="4"/>
      <c r="R325" s="4"/>
      <c r="W325" s="4"/>
      <c r="AB325" s="4"/>
      <c r="AG325" s="4"/>
      <c r="AL325" s="4"/>
      <c r="AQ325" s="4"/>
      <c r="AV325" s="4"/>
      <c r="BA325" s="4"/>
    </row>
    <row r="326" spans="8:53" s="1" customFormat="1" ht="53.45" customHeight="1">
      <c r="H326" s="4"/>
      <c r="M326" s="4"/>
      <c r="R326" s="4"/>
      <c r="W326" s="4"/>
      <c r="AB326" s="4"/>
      <c r="AG326" s="4"/>
      <c r="AL326" s="4"/>
      <c r="AQ326" s="4"/>
      <c r="AV326" s="4"/>
      <c r="BA326" s="4"/>
    </row>
    <row r="327" spans="8:53" s="1" customFormat="1" ht="53.45" customHeight="1">
      <c r="H327" s="4"/>
      <c r="M327" s="4"/>
      <c r="R327" s="4"/>
      <c r="W327" s="4"/>
      <c r="AB327" s="4"/>
      <c r="AG327" s="4"/>
      <c r="AL327" s="4"/>
      <c r="AQ327" s="4"/>
      <c r="AV327" s="4"/>
      <c r="BA327" s="4"/>
    </row>
    <row r="328" spans="8:53" s="1" customFormat="1" ht="53.45" customHeight="1">
      <c r="H328" s="4"/>
      <c r="M328" s="4"/>
      <c r="R328" s="4"/>
      <c r="W328" s="4"/>
      <c r="AB328" s="4"/>
      <c r="AG328" s="4"/>
      <c r="AL328" s="4"/>
      <c r="AQ328" s="4"/>
      <c r="AV328" s="4"/>
      <c r="BA328" s="4"/>
    </row>
    <row r="329" spans="8:53" s="1" customFormat="1" ht="53.45" customHeight="1">
      <c r="H329" s="4"/>
      <c r="M329" s="4"/>
      <c r="R329" s="4"/>
      <c r="W329" s="4"/>
      <c r="AB329" s="4"/>
      <c r="AG329" s="4"/>
      <c r="AL329" s="4"/>
      <c r="AQ329" s="4"/>
      <c r="AV329" s="4"/>
      <c r="BA329" s="4"/>
    </row>
    <row r="330" spans="8:53" s="1" customFormat="1" ht="53.45" customHeight="1">
      <c r="H330" s="4"/>
      <c r="M330" s="4"/>
      <c r="R330" s="4"/>
      <c r="W330" s="4"/>
      <c r="AB330" s="4"/>
      <c r="AG330" s="4"/>
      <c r="AL330" s="4"/>
      <c r="AQ330" s="4"/>
      <c r="AV330" s="4"/>
      <c r="BA330" s="4"/>
    </row>
    <row r="331" spans="8:53" s="1" customFormat="1" ht="53.45" customHeight="1">
      <c r="H331" s="4"/>
      <c r="M331" s="4"/>
      <c r="R331" s="4"/>
      <c r="W331" s="4"/>
      <c r="AB331" s="4"/>
      <c r="AG331" s="4"/>
      <c r="AL331" s="4"/>
      <c r="AQ331" s="4"/>
      <c r="AV331" s="4"/>
      <c r="BA331" s="4"/>
    </row>
    <row r="332" spans="8:53" s="1" customFormat="1" ht="53.45" customHeight="1">
      <c r="H332" s="4"/>
      <c r="M332" s="4"/>
      <c r="R332" s="4"/>
      <c r="W332" s="4"/>
      <c r="AB332" s="4"/>
      <c r="AG332" s="4"/>
      <c r="AL332" s="4"/>
      <c r="AQ332" s="4"/>
      <c r="AV332" s="4"/>
      <c r="BA332" s="4"/>
    </row>
    <row r="333" spans="8:53" s="1" customFormat="1" ht="53.45" customHeight="1">
      <c r="H333" s="4"/>
      <c r="M333" s="4"/>
      <c r="R333" s="4"/>
      <c r="W333" s="4"/>
      <c r="AB333" s="4"/>
      <c r="AG333" s="4"/>
      <c r="AL333" s="4"/>
      <c r="AQ333" s="4"/>
      <c r="AV333" s="4"/>
      <c r="BA333" s="4"/>
    </row>
    <row r="334" spans="8:53" s="1" customFormat="1" ht="53.45" customHeight="1">
      <c r="H334" s="4"/>
      <c r="M334" s="4"/>
      <c r="R334" s="4"/>
      <c r="W334" s="4"/>
      <c r="AB334" s="4"/>
      <c r="AG334" s="4"/>
      <c r="AL334" s="4"/>
      <c r="AQ334" s="4"/>
      <c r="AV334" s="4"/>
      <c r="BA334" s="4"/>
    </row>
    <row r="335" spans="8:53" s="1" customFormat="1" ht="53.45" customHeight="1">
      <c r="H335" s="4"/>
      <c r="M335" s="4"/>
      <c r="R335" s="4"/>
      <c r="W335" s="4"/>
      <c r="AB335" s="4"/>
      <c r="AG335" s="4"/>
      <c r="AL335" s="4"/>
      <c r="AQ335" s="4"/>
      <c r="AV335" s="4"/>
      <c r="BA335" s="4"/>
    </row>
    <row r="336" spans="8:53" s="1" customFormat="1" ht="53.45" customHeight="1">
      <c r="H336" s="4"/>
      <c r="M336" s="4"/>
      <c r="R336" s="4"/>
      <c r="W336" s="4"/>
      <c r="AB336" s="4"/>
      <c r="AG336" s="4"/>
      <c r="AL336" s="4"/>
      <c r="AQ336" s="4"/>
      <c r="AV336" s="4"/>
      <c r="BA336" s="4"/>
    </row>
    <row r="337" spans="8:53" s="1" customFormat="1" ht="53.45" customHeight="1">
      <c r="H337" s="4"/>
      <c r="M337" s="4"/>
      <c r="R337" s="4"/>
      <c r="W337" s="4"/>
      <c r="AB337" s="4"/>
      <c r="AG337" s="4"/>
      <c r="AL337" s="4"/>
      <c r="AQ337" s="4"/>
      <c r="AV337" s="4"/>
      <c r="BA337" s="4"/>
    </row>
    <row r="338" spans="8:53" s="1" customFormat="1" ht="53.45" customHeight="1">
      <c r="H338" s="4"/>
      <c r="M338" s="4"/>
      <c r="R338" s="4"/>
      <c r="W338" s="4"/>
      <c r="AB338" s="4"/>
      <c r="AG338" s="4"/>
      <c r="AL338" s="4"/>
      <c r="AQ338" s="4"/>
      <c r="AV338" s="4"/>
      <c r="BA338" s="4"/>
    </row>
    <row r="339" spans="8:53" s="1" customFormat="1" ht="53.45" customHeight="1">
      <c r="H339" s="4"/>
      <c r="M339" s="4"/>
      <c r="R339" s="4"/>
      <c r="W339" s="4"/>
      <c r="AB339" s="4"/>
      <c r="AG339" s="4"/>
      <c r="AL339" s="4"/>
      <c r="AQ339" s="4"/>
      <c r="AV339" s="4"/>
      <c r="BA339" s="4"/>
    </row>
    <row r="340" spans="8:53" s="1" customFormat="1" ht="53.45" customHeight="1">
      <c r="H340" s="4"/>
      <c r="M340" s="4"/>
      <c r="R340" s="4"/>
      <c r="W340" s="4"/>
      <c r="AB340" s="4"/>
      <c r="AG340" s="4"/>
      <c r="AL340" s="4"/>
      <c r="AQ340" s="4"/>
      <c r="AV340" s="4"/>
      <c r="BA340" s="4"/>
    </row>
    <row r="341" spans="8:53" s="1" customFormat="1" ht="53.45" customHeight="1">
      <c r="H341" s="4"/>
      <c r="M341" s="4"/>
      <c r="R341" s="4"/>
      <c r="W341" s="4"/>
      <c r="AB341" s="4"/>
      <c r="AG341" s="4"/>
      <c r="AL341" s="4"/>
      <c r="AQ341" s="4"/>
      <c r="AV341" s="4"/>
      <c r="BA341" s="4"/>
    </row>
    <row r="342" spans="8:53" s="1" customFormat="1" ht="53.45" customHeight="1">
      <c r="H342" s="4"/>
      <c r="M342" s="4"/>
      <c r="R342" s="4"/>
      <c r="W342" s="4"/>
      <c r="AB342" s="4"/>
      <c r="AG342" s="4"/>
      <c r="AL342" s="4"/>
      <c r="AQ342" s="4"/>
      <c r="AV342" s="4"/>
      <c r="BA342" s="4"/>
    </row>
    <row r="343" spans="8:53" s="1" customFormat="1" ht="53.45" customHeight="1">
      <c r="H343" s="4"/>
      <c r="M343" s="4"/>
      <c r="R343" s="4"/>
      <c r="W343" s="4"/>
      <c r="AB343" s="4"/>
      <c r="AG343" s="4"/>
      <c r="AL343" s="4"/>
      <c r="AQ343" s="4"/>
      <c r="AV343" s="4"/>
      <c r="BA343" s="4"/>
    </row>
    <row r="344" spans="8:53" s="1" customFormat="1" ht="53.45" customHeight="1">
      <c r="H344" s="4"/>
      <c r="M344" s="4"/>
      <c r="R344" s="4"/>
      <c r="W344" s="4"/>
      <c r="AB344" s="4"/>
      <c r="AG344" s="4"/>
      <c r="AL344" s="4"/>
      <c r="AQ344" s="4"/>
      <c r="AV344" s="4"/>
      <c r="BA344" s="4"/>
    </row>
    <row r="345" spans="8:53" s="1" customFormat="1" ht="53.45" customHeight="1">
      <c r="H345" s="4"/>
      <c r="M345" s="4"/>
      <c r="R345" s="4"/>
      <c r="W345" s="4"/>
      <c r="AB345" s="4"/>
      <c r="AG345" s="4"/>
      <c r="AL345" s="4"/>
      <c r="AQ345" s="4"/>
      <c r="AV345" s="4"/>
      <c r="BA345" s="4"/>
    </row>
    <row r="346" spans="8:53" s="1" customFormat="1" ht="53.45" customHeight="1">
      <c r="H346" s="4"/>
      <c r="M346" s="4"/>
      <c r="R346" s="4"/>
      <c r="W346" s="4"/>
      <c r="AB346" s="4"/>
      <c r="AG346" s="4"/>
      <c r="AL346" s="4"/>
      <c r="AQ346" s="4"/>
      <c r="AV346" s="4"/>
      <c r="BA346" s="4"/>
    </row>
    <row r="347" spans="8:53" s="1" customFormat="1" ht="53.45" customHeight="1">
      <c r="H347" s="4"/>
      <c r="M347" s="4"/>
      <c r="R347" s="4"/>
      <c r="W347" s="4"/>
      <c r="AB347" s="4"/>
      <c r="AG347" s="4"/>
      <c r="AL347" s="4"/>
      <c r="AQ347" s="4"/>
      <c r="AV347" s="4"/>
      <c r="BA347" s="4"/>
    </row>
    <row r="348" spans="8:53" s="1" customFormat="1" ht="53.45" customHeight="1">
      <c r="H348" s="4"/>
      <c r="M348" s="4"/>
      <c r="R348" s="4"/>
      <c r="W348" s="4"/>
      <c r="AB348" s="4"/>
      <c r="AG348" s="4"/>
      <c r="AL348" s="4"/>
      <c r="AQ348" s="4"/>
      <c r="AV348" s="4"/>
      <c r="BA348" s="4"/>
    </row>
    <row r="349" spans="8:53" s="1" customFormat="1" ht="53.45" customHeight="1">
      <c r="H349" s="4"/>
      <c r="M349" s="4"/>
      <c r="R349" s="4"/>
      <c r="W349" s="4"/>
      <c r="AB349" s="4"/>
      <c r="AG349" s="4"/>
      <c r="AL349" s="4"/>
      <c r="AQ349" s="4"/>
      <c r="AV349" s="4"/>
      <c r="BA349" s="4"/>
    </row>
    <row r="350" spans="8:53" s="1" customFormat="1" ht="53.45" customHeight="1">
      <c r="H350" s="4"/>
      <c r="M350" s="4"/>
      <c r="R350" s="4"/>
      <c r="W350" s="4"/>
      <c r="AB350" s="4"/>
      <c r="AG350" s="4"/>
      <c r="AL350" s="4"/>
      <c r="AQ350" s="4"/>
      <c r="AV350" s="4"/>
      <c r="BA350" s="4"/>
    </row>
    <row r="351" spans="8:53" s="1" customFormat="1" ht="53.45" customHeight="1">
      <c r="H351" s="4"/>
      <c r="M351" s="4"/>
      <c r="R351" s="4"/>
      <c r="W351" s="4"/>
      <c r="AB351" s="4"/>
      <c r="AG351" s="4"/>
      <c r="AL351" s="4"/>
      <c r="AQ351" s="4"/>
      <c r="AV351" s="4"/>
      <c r="BA351" s="4"/>
    </row>
    <row r="352" spans="8:53" s="1" customFormat="1" ht="53.45" customHeight="1">
      <c r="H352" s="4"/>
      <c r="M352" s="4"/>
      <c r="R352" s="4"/>
      <c r="W352" s="4"/>
      <c r="AB352" s="4"/>
      <c r="AG352" s="4"/>
      <c r="AL352" s="4"/>
      <c r="AQ352" s="4"/>
      <c r="AV352" s="4"/>
      <c r="BA352" s="4"/>
    </row>
    <row r="353" spans="8:53" s="1" customFormat="1" ht="53.45" customHeight="1">
      <c r="H353" s="4"/>
      <c r="M353" s="4"/>
      <c r="R353" s="4"/>
      <c r="W353" s="4"/>
      <c r="AB353" s="4"/>
      <c r="AG353" s="4"/>
      <c r="AL353" s="4"/>
      <c r="AQ353" s="4"/>
      <c r="AV353" s="4"/>
      <c r="BA353" s="4"/>
    </row>
    <row r="354" spans="8:53" s="1" customFormat="1" ht="53.45" customHeight="1">
      <c r="H354" s="4"/>
      <c r="M354" s="4"/>
      <c r="R354" s="4"/>
      <c r="W354" s="4"/>
      <c r="AB354" s="4"/>
      <c r="AG354" s="4"/>
      <c r="AL354" s="4"/>
      <c r="AQ354" s="4"/>
      <c r="AV354" s="4"/>
      <c r="BA354" s="4"/>
    </row>
    <row r="355" spans="8:53" s="1" customFormat="1" ht="53.45" customHeight="1">
      <c r="H355" s="4"/>
      <c r="M355" s="4"/>
      <c r="R355" s="4"/>
      <c r="W355" s="4"/>
      <c r="AB355" s="4"/>
      <c r="AG355" s="4"/>
      <c r="AL355" s="4"/>
      <c r="AQ355" s="4"/>
      <c r="AV355" s="4"/>
      <c r="BA355" s="4"/>
    </row>
    <row r="356" spans="8:53" s="1" customFormat="1" ht="53.45" customHeight="1">
      <c r="H356" s="4"/>
      <c r="M356" s="4"/>
      <c r="R356" s="4"/>
      <c r="W356" s="4"/>
      <c r="AB356" s="4"/>
      <c r="AG356" s="4"/>
      <c r="AL356" s="4"/>
      <c r="AQ356" s="4"/>
      <c r="AV356" s="4"/>
      <c r="BA356" s="4"/>
    </row>
    <row r="357" spans="8:53" s="1" customFormat="1" ht="53.45" customHeight="1">
      <c r="H357" s="4"/>
      <c r="M357" s="4"/>
      <c r="R357" s="4"/>
      <c r="W357" s="4"/>
      <c r="AB357" s="4"/>
      <c r="AG357" s="4"/>
      <c r="AL357" s="4"/>
      <c r="AQ357" s="4"/>
      <c r="AV357" s="4"/>
      <c r="BA357" s="4"/>
    </row>
    <row r="358" spans="8:53" s="1" customFormat="1" ht="53.45" customHeight="1">
      <c r="H358" s="4"/>
      <c r="M358" s="4"/>
      <c r="R358" s="4"/>
      <c r="W358" s="4"/>
      <c r="AB358" s="4"/>
      <c r="AG358" s="4"/>
      <c r="AL358" s="4"/>
      <c r="AQ358" s="4"/>
      <c r="AV358" s="4"/>
      <c r="BA358" s="4"/>
    </row>
    <row r="359" spans="8:53" s="1" customFormat="1" ht="53.45" customHeight="1">
      <c r="H359" s="4"/>
      <c r="M359" s="4"/>
      <c r="R359" s="4"/>
      <c r="W359" s="4"/>
      <c r="AB359" s="4"/>
      <c r="AG359" s="4"/>
      <c r="AL359" s="4"/>
      <c r="AQ359" s="4"/>
      <c r="AV359" s="4"/>
      <c r="BA359" s="4"/>
    </row>
    <row r="360" spans="8:53" s="1" customFormat="1" ht="53.45" customHeight="1">
      <c r="H360" s="4"/>
      <c r="M360" s="4"/>
      <c r="R360" s="4"/>
      <c r="W360" s="4"/>
      <c r="AB360" s="4"/>
      <c r="AG360" s="4"/>
      <c r="AL360" s="4"/>
      <c r="AQ360" s="4"/>
      <c r="AV360" s="4"/>
      <c r="BA360" s="4"/>
    </row>
    <row r="361" spans="8:53" s="1" customFormat="1" ht="53.45" customHeight="1">
      <c r="H361" s="4"/>
      <c r="M361" s="4"/>
      <c r="R361" s="4"/>
      <c r="W361" s="4"/>
      <c r="AB361" s="4"/>
      <c r="AG361" s="4"/>
      <c r="AL361" s="4"/>
      <c r="AQ361" s="4"/>
      <c r="AV361" s="4"/>
      <c r="BA361" s="4"/>
    </row>
    <row r="362" spans="8:53" s="1" customFormat="1" ht="53.45" customHeight="1">
      <c r="H362" s="4"/>
      <c r="M362" s="4"/>
      <c r="R362" s="4"/>
      <c r="W362" s="4"/>
      <c r="AB362" s="4"/>
      <c r="AG362" s="4"/>
      <c r="AL362" s="4"/>
      <c r="AQ362" s="4"/>
      <c r="AV362" s="4"/>
      <c r="BA362" s="4"/>
    </row>
    <row r="363" spans="8:53" s="1" customFormat="1" ht="53.45" customHeight="1">
      <c r="H363" s="4"/>
      <c r="M363" s="4"/>
      <c r="R363" s="4"/>
      <c r="W363" s="4"/>
      <c r="AB363" s="4"/>
      <c r="AG363" s="4"/>
      <c r="AL363" s="4"/>
      <c r="AQ363" s="4"/>
      <c r="AV363" s="4"/>
      <c r="BA363" s="4"/>
    </row>
    <row r="364" spans="8:53" s="1" customFormat="1" ht="53.45" customHeight="1">
      <c r="H364" s="4"/>
      <c r="M364" s="4"/>
      <c r="R364" s="4"/>
      <c r="W364" s="4"/>
      <c r="AB364" s="4"/>
      <c r="AG364" s="4"/>
      <c r="AL364" s="4"/>
      <c r="AQ364" s="4"/>
      <c r="AV364" s="4"/>
      <c r="BA364" s="4"/>
    </row>
    <row r="365" spans="8:53" s="1" customFormat="1" ht="53.45" customHeight="1">
      <c r="H365" s="4"/>
      <c r="M365" s="4"/>
      <c r="R365" s="4"/>
      <c r="W365" s="4"/>
      <c r="AB365" s="4"/>
      <c r="AG365" s="4"/>
      <c r="AL365" s="4"/>
      <c r="AQ365" s="4"/>
      <c r="AV365" s="4"/>
      <c r="BA365" s="4"/>
    </row>
    <row r="366" spans="8:53" s="1" customFormat="1" ht="53.45" customHeight="1">
      <c r="H366" s="4"/>
      <c r="M366" s="4"/>
      <c r="R366" s="4"/>
      <c r="W366" s="4"/>
      <c r="AB366" s="4"/>
      <c r="AG366" s="4"/>
      <c r="AL366" s="4"/>
      <c r="AQ366" s="4"/>
      <c r="AV366" s="4"/>
      <c r="BA366" s="4"/>
    </row>
    <row r="367" spans="8:53" s="1" customFormat="1" ht="53.45" customHeight="1">
      <c r="H367" s="4"/>
      <c r="M367" s="4"/>
      <c r="R367" s="4"/>
      <c r="W367" s="4"/>
      <c r="AB367" s="4"/>
      <c r="AG367" s="4"/>
      <c r="AL367" s="4"/>
      <c r="AQ367" s="4"/>
      <c r="AV367" s="4"/>
      <c r="BA367" s="4"/>
    </row>
    <row r="368" spans="8:53" s="1" customFormat="1" ht="53.45" customHeight="1">
      <c r="H368" s="4"/>
      <c r="M368" s="4"/>
      <c r="R368" s="4"/>
      <c r="W368" s="4"/>
      <c r="AB368" s="4"/>
      <c r="AG368" s="4"/>
      <c r="AL368" s="4"/>
      <c r="AQ368" s="4"/>
      <c r="AV368" s="4"/>
      <c r="BA368" s="4"/>
    </row>
    <row r="369" spans="8:53" s="1" customFormat="1" ht="53.45" customHeight="1">
      <c r="H369" s="4"/>
      <c r="M369" s="4"/>
      <c r="R369" s="4"/>
      <c r="W369" s="4"/>
      <c r="AB369" s="4"/>
      <c r="AG369" s="4"/>
      <c r="AL369" s="4"/>
      <c r="AQ369" s="4"/>
      <c r="AV369" s="4"/>
      <c r="BA369" s="4"/>
    </row>
    <row r="370" spans="8:53" s="1" customFormat="1" ht="53.45" customHeight="1">
      <c r="H370" s="4"/>
      <c r="M370" s="4"/>
      <c r="R370" s="4"/>
      <c r="W370" s="4"/>
      <c r="AB370" s="4"/>
      <c r="AG370" s="4"/>
      <c r="AL370" s="4"/>
      <c r="AQ370" s="4"/>
      <c r="AV370" s="4"/>
      <c r="BA370" s="4"/>
    </row>
    <row r="371" spans="8:53" s="1" customFormat="1" ht="53.45" customHeight="1">
      <c r="H371" s="4"/>
      <c r="M371" s="4"/>
      <c r="R371" s="4"/>
      <c r="W371" s="4"/>
      <c r="AB371" s="4"/>
      <c r="AG371" s="4"/>
      <c r="AL371" s="4"/>
      <c r="AQ371" s="4"/>
      <c r="AV371" s="4"/>
      <c r="BA371" s="4"/>
    </row>
    <row r="372" spans="8:53" s="1" customFormat="1" ht="53.45" customHeight="1">
      <c r="H372" s="4"/>
      <c r="M372" s="4"/>
      <c r="R372" s="4"/>
      <c r="W372" s="4"/>
      <c r="AB372" s="4"/>
      <c r="AG372" s="4"/>
      <c r="AL372" s="4"/>
      <c r="AQ372" s="4"/>
      <c r="AV372" s="4"/>
      <c r="BA372" s="4"/>
    </row>
    <row r="373" spans="8:53" s="1" customFormat="1" ht="53.45" customHeight="1">
      <c r="H373" s="4"/>
      <c r="M373" s="4"/>
      <c r="R373" s="4"/>
      <c r="W373" s="4"/>
      <c r="AB373" s="4"/>
      <c r="AG373" s="4"/>
      <c r="AL373" s="4"/>
      <c r="AQ373" s="4"/>
      <c r="AV373" s="4"/>
      <c r="BA373" s="4"/>
    </row>
    <row r="374" spans="8:53" s="1" customFormat="1" ht="53.45" customHeight="1">
      <c r="H374" s="4"/>
      <c r="M374" s="4"/>
      <c r="R374" s="4"/>
      <c r="W374" s="4"/>
      <c r="AB374" s="4"/>
      <c r="AG374" s="4"/>
      <c r="AL374" s="4"/>
      <c r="AQ374" s="4"/>
      <c r="AV374" s="4"/>
      <c r="BA374" s="4"/>
    </row>
    <row r="375" spans="8:53" s="1" customFormat="1" ht="53.45" customHeight="1">
      <c r="H375" s="4"/>
      <c r="M375" s="4"/>
      <c r="R375" s="4"/>
      <c r="W375" s="4"/>
      <c r="AB375" s="4"/>
      <c r="AG375" s="4"/>
      <c r="AL375" s="4"/>
      <c r="AQ375" s="4"/>
      <c r="AV375" s="4"/>
      <c r="BA375" s="4"/>
    </row>
    <row r="376" spans="8:53" s="1" customFormat="1" ht="53.45" customHeight="1">
      <c r="H376" s="4"/>
      <c r="M376" s="4"/>
      <c r="R376" s="4"/>
      <c r="W376" s="4"/>
      <c r="AB376" s="4"/>
      <c r="AG376" s="4"/>
      <c r="AL376" s="4"/>
      <c r="AQ376" s="4"/>
      <c r="AV376" s="4"/>
      <c r="BA376" s="4"/>
    </row>
    <row r="377" spans="8:53" s="1" customFormat="1" ht="53.45" customHeight="1">
      <c r="H377" s="4"/>
      <c r="M377" s="4"/>
      <c r="R377" s="4"/>
      <c r="W377" s="4"/>
      <c r="AB377" s="4"/>
      <c r="AG377" s="4"/>
      <c r="AL377" s="4"/>
      <c r="AQ377" s="4"/>
      <c r="AV377" s="4"/>
      <c r="BA377" s="4"/>
    </row>
    <row r="378" spans="8:53" s="1" customFormat="1" ht="53.45" customHeight="1">
      <c r="H378" s="4"/>
      <c r="M378" s="4"/>
      <c r="R378" s="4"/>
      <c r="W378" s="4"/>
      <c r="AB378" s="4"/>
      <c r="AG378" s="4"/>
      <c r="AL378" s="4"/>
      <c r="AQ378" s="4"/>
      <c r="AV378" s="4"/>
      <c r="BA378" s="4"/>
    </row>
    <row r="379" spans="8:53" s="1" customFormat="1" ht="53.45" customHeight="1">
      <c r="H379" s="4"/>
      <c r="M379" s="4"/>
      <c r="R379" s="4"/>
      <c r="W379" s="4"/>
      <c r="AB379" s="4"/>
      <c r="AG379" s="4"/>
      <c r="AL379" s="4"/>
      <c r="AQ379" s="4"/>
      <c r="AV379" s="4"/>
      <c r="BA379" s="4"/>
    </row>
    <row r="380" spans="8:53" s="1" customFormat="1" ht="53.45" customHeight="1">
      <c r="H380" s="4"/>
      <c r="M380" s="4"/>
      <c r="R380" s="4"/>
      <c r="W380" s="4"/>
      <c r="AB380" s="4"/>
      <c r="AG380" s="4"/>
      <c r="AL380" s="4"/>
      <c r="AQ380" s="4"/>
      <c r="AV380" s="4"/>
      <c r="BA380" s="4"/>
    </row>
    <row r="381" spans="8:53" s="1" customFormat="1" ht="53.45" customHeight="1">
      <c r="H381" s="4"/>
      <c r="M381" s="4"/>
      <c r="R381" s="4"/>
      <c r="W381" s="4"/>
      <c r="AB381" s="4"/>
      <c r="AG381" s="4"/>
      <c r="AL381" s="4"/>
      <c r="AQ381" s="4"/>
      <c r="AV381" s="4"/>
      <c r="BA381" s="4"/>
    </row>
    <row r="382" spans="8:53" s="1" customFormat="1" ht="53.45" customHeight="1">
      <c r="H382" s="4"/>
      <c r="M382" s="4"/>
      <c r="R382" s="4"/>
      <c r="W382" s="4"/>
      <c r="AB382" s="4"/>
      <c r="AG382" s="4"/>
      <c r="AL382" s="4"/>
      <c r="AQ382" s="4"/>
      <c r="AV382" s="4"/>
      <c r="BA382" s="4"/>
    </row>
    <row r="383" spans="8:53" s="1" customFormat="1" ht="53.45" customHeight="1">
      <c r="H383" s="4"/>
      <c r="M383" s="4"/>
      <c r="R383" s="4"/>
      <c r="W383" s="4"/>
      <c r="AB383" s="4"/>
      <c r="AG383" s="4"/>
      <c r="AL383" s="4"/>
      <c r="AQ383" s="4"/>
      <c r="AV383" s="4"/>
      <c r="BA383" s="4"/>
    </row>
    <row r="384" spans="8:53" s="1" customFormat="1" ht="53.45" customHeight="1">
      <c r="H384" s="4"/>
      <c r="M384" s="4"/>
      <c r="R384" s="4"/>
      <c r="W384" s="4"/>
      <c r="AB384" s="4"/>
      <c r="AG384" s="4"/>
      <c r="AL384" s="4"/>
      <c r="AQ384" s="4"/>
      <c r="AV384" s="4"/>
      <c r="BA384" s="4"/>
    </row>
    <row r="385" spans="8:53" s="1" customFormat="1" ht="53.45" customHeight="1">
      <c r="H385" s="4"/>
      <c r="M385" s="4"/>
      <c r="R385" s="4"/>
      <c r="W385" s="4"/>
      <c r="AB385" s="4"/>
      <c r="AG385" s="4"/>
      <c r="AL385" s="4"/>
      <c r="AQ385" s="4"/>
      <c r="AV385" s="4"/>
      <c r="BA385" s="4"/>
    </row>
    <row r="386" spans="8:53" s="1" customFormat="1" ht="53.45" customHeight="1">
      <c r="H386" s="4"/>
      <c r="M386" s="4"/>
      <c r="R386" s="4"/>
      <c r="W386" s="4"/>
      <c r="AB386" s="4"/>
      <c r="AG386" s="4"/>
      <c r="AL386" s="4"/>
      <c r="AQ386" s="4"/>
      <c r="AV386" s="4"/>
      <c r="BA386" s="4"/>
    </row>
    <row r="387" spans="8:53" s="1" customFormat="1" ht="53.45" customHeight="1">
      <c r="H387" s="4"/>
      <c r="M387" s="4"/>
      <c r="R387" s="4"/>
      <c r="W387" s="4"/>
      <c r="AB387" s="4"/>
      <c r="AG387" s="4"/>
      <c r="AL387" s="4"/>
      <c r="AQ387" s="4"/>
      <c r="AV387" s="4"/>
      <c r="BA387" s="4"/>
    </row>
    <row r="388" spans="8:53" s="1" customFormat="1" ht="53.45" customHeight="1">
      <c r="H388" s="4"/>
      <c r="M388" s="4"/>
      <c r="R388" s="4"/>
      <c r="W388" s="4"/>
      <c r="AB388" s="4"/>
      <c r="AG388" s="4"/>
      <c r="AL388" s="4"/>
      <c r="AQ388" s="4"/>
      <c r="AV388" s="4"/>
      <c r="BA388" s="4"/>
    </row>
    <row r="389" spans="8:53" s="1" customFormat="1" ht="53.45" customHeight="1">
      <c r="H389" s="4"/>
      <c r="M389" s="4"/>
      <c r="R389" s="4"/>
      <c r="W389" s="4"/>
      <c r="AB389" s="4"/>
      <c r="AG389" s="4"/>
      <c r="AL389" s="4"/>
      <c r="AQ389" s="4"/>
      <c r="AV389" s="4"/>
      <c r="BA389" s="4"/>
    </row>
    <row r="390" spans="8:53" s="1" customFormat="1" ht="53.45" customHeight="1">
      <c r="H390" s="4"/>
      <c r="M390" s="4"/>
      <c r="R390" s="4"/>
      <c r="W390" s="4"/>
      <c r="AB390" s="4"/>
      <c r="AG390" s="4"/>
      <c r="AL390" s="4"/>
      <c r="AQ390" s="4"/>
      <c r="AV390" s="4"/>
      <c r="BA390" s="4"/>
    </row>
    <row r="391" spans="8:53" s="1" customFormat="1" ht="53.45" customHeight="1">
      <c r="H391" s="4"/>
      <c r="M391" s="4"/>
      <c r="R391" s="4"/>
      <c r="W391" s="4"/>
      <c r="AB391" s="4"/>
      <c r="AG391" s="4"/>
      <c r="AL391" s="4"/>
      <c r="AQ391" s="4"/>
      <c r="AV391" s="4"/>
      <c r="BA391" s="4"/>
    </row>
    <row r="392" spans="8:53" s="1" customFormat="1" ht="53.45" customHeight="1">
      <c r="H392" s="4"/>
      <c r="M392" s="4"/>
      <c r="R392" s="4"/>
      <c r="W392" s="4"/>
      <c r="AB392" s="4"/>
      <c r="AG392" s="4"/>
      <c r="AL392" s="4"/>
      <c r="AQ392" s="4"/>
      <c r="AV392" s="4"/>
      <c r="BA392" s="4"/>
    </row>
    <row r="393" spans="8:53" s="1" customFormat="1" ht="53.45" customHeight="1">
      <c r="H393" s="4"/>
      <c r="M393" s="4"/>
      <c r="R393" s="4"/>
      <c r="W393" s="4"/>
      <c r="AB393" s="4"/>
      <c r="AG393" s="4"/>
      <c r="AL393" s="4"/>
      <c r="AQ393" s="4"/>
      <c r="AV393" s="4"/>
      <c r="BA393" s="4"/>
    </row>
    <row r="394" spans="8:53" s="1" customFormat="1" ht="53.45" customHeight="1">
      <c r="H394" s="4"/>
      <c r="M394" s="4"/>
      <c r="R394" s="4"/>
      <c r="W394" s="4"/>
      <c r="AB394" s="4"/>
      <c r="AG394" s="4"/>
      <c r="AL394" s="4"/>
      <c r="AQ394" s="4"/>
      <c r="AV394" s="4"/>
      <c r="BA394" s="4"/>
    </row>
    <row r="395" spans="8:53" s="1" customFormat="1" ht="53.45" customHeight="1">
      <c r="H395" s="4"/>
      <c r="M395" s="4"/>
      <c r="R395" s="4"/>
      <c r="W395" s="4"/>
      <c r="AB395" s="4"/>
      <c r="AG395" s="4"/>
      <c r="AL395" s="4"/>
      <c r="AQ395" s="4"/>
      <c r="AV395" s="4"/>
      <c r="BA395" s="4"/>
    </row>
    <row r="396" spans="8:53" s="1" customFormat="1" ht="53.45" customHeight="1">
      <c r="H396" s="4"/>
      <c r="M396" s="4"/>
      <c r="R396" s="4"/>
      <c r="W396" s="4"/>
      <c r="AB396" s="4"/>
      <c r="AG396" s="4"/>
      <c r="AL396" s="4"/>
      <c r="AQ396" s="4"/>
      <c r="AV396" s="4"/>
      <c r="BA396" s="4"/>
    </row>
    <row r="397" spans="8:53" s="1" customFormat="1" ht="53.45" customHeight="1">
      <c r="H397" s="4"/>
      <c r="M397" s="4"/>
      <c r="R397" s="4"/>
      <c r="W397" s="4"/>
      <c r="AB397" s="4"/>
      <c r="AG397" s="4"/>
      <c r="AL397" s="4"/>
      <c r="AQ397" s="4"/>
      <c r="AV397" s="4"/>
      <c r="BA397" s="4"/>
    </row>
    <row r="398" spans="8:53" s="1" customFormat="1" ht="53.45" customHeight="1">
      <c r="H398" s="4"/>
      <c r="M398" s="4"/>
      <c r="R398" s="4"/>
      <c r="W398" s="4"/>
      <c r="AB398" s="4"/>
      <c r="AG398" s="4"/>
      <c r="AL398" s="4"/>
      <c r="AQ398" s="4"/>
      <c r="AV398" s="4"/>
      <c r="BA398" s="4"/>
    </row>
    <row r="399" spans="8:53" s="1" customFormat="1" ht="53.45" customHeight="1">
      <c r="H399" s="4"/>
      <c r="M399" s="4"/>
      <c r="R399" s="4"/>
      <c r="W399" s="4"/>
      <c r="AB399" s="4"/>
      <c r="AG399" s="4"/>
      <c r="AL399" s="4"/>
      <c r="AQ399" s="4"/>
      <c r="AV399" s="4"/>
      <c r="BA399" s="4"/>
    </row>
    <row r="400" spans="8:53" s="1" customFormat="1" ht="53.45" customHeight="1">
      <c r="H400" s="4"/>
      <c r="M400" s="4"/>
      <c r="R400" s="4"/>
      <c r="W400" s="4"/>
      <c r="AB400" s="4"/>
      <c r="AG400" s="4"/>
      <c r="AL400" s="4"/>
      <c r="AQ400" s="4"/>
      <c r="AV400" s="4"/>
      <c r="BA400" s="4"/>
    </row>
    <row r="401" spans="8:53" s="1" customFormat="1" ht="53.45" customHeight="1">
      <c r="H401" s="4"/>
      <c r="M401" s="4"/>
      <c r="R401" s="4"/>
      <c r="W401" s="4"/>
      <c r="AB401" s="4"/>
      <c r="AG401" s="4"/>
      <c r="AL401" s="4"/>
      <c r="AQ401" s="4"/>
      <c r="AV401" s="4"/>
      <c r="BA401" s="4"/>
    </row>
    <row r="402" spans="8:53" s="1" customFormat="1" ht="53.45" customHeight="1">
      <c r="H402" s="4"/>
      <c r="M402" s="4"/>
      <c r="R402" s="4"/>
      <c r="W402" s="4"/>
      <c r="AB402" s="4"/>
      <c r="AG402" s="4"/>
      <c r="AL402" s="4"/>
      <c r="AQ402" s="4"/>
      <c r="AV402" s="4"/>
      <c r="BA402" s="4"/>
    </row>
    <row r="403" spans="8:53" s="1" customFormat="1" ht="53.45" customHeight="1">
      <c r="H403" s="4"/>
      <c r="M403" s="4"/>
      <c r="R403" s="4"/>
      <c r="W403" s="4"/>
      <c r="AB403" s="4"/>
      <c r="AG403" s="4"/>
      <c r="AL403" s="4"/>
      <c r="AQ403" s="4"/>
      <c r="AV403" s="4"/>
      <c r="BA403" s="4"/>
    </row>
    <row r="404" spans="8:53" s="1" customFormat="1" ht="53.45" customHeight="1">
      <c r="H404" s="4"/>
      <c r="M404" s="4"/>
      <c r="R404" s="4"/>
      <c r="W404" s="4"/>
      <c r="AB404" s="4"/>
      <c r="AG404" s="4"/>
      <c r="AL404" s="4"/>
      <c r="AQ404" s="4"/>
      <c r="AV404" s="4"/>
      <c r="BA404" s="4"/>
    </row>
    <row r="405" spans="8:53" s="1" customFormat="1" ht="53.45" customHeight="1">
      <c r="H405" s="4"/>
      <c r="M405" s="4"/>
      <c r="R405" s="4"/>
      <c r="W405" s="4"/>
      <c r="AB405" s="4"/>
      <c r="AG405" s="4"/>
      <c r="AL405" s="4"/>
      <c r="AQ405" s="4"/>
      <c r="AV405" s="4"/>
      <c r="BA405" s="4"/>
    </row>
    <row r="406" spans="8:53" s="1" customFormat="1" ht="53.45" customHeight="1">
      <c r="H406" s="4"/>
      <c r="M406" s="4"/>
      <c r="R406" s="4"/>
      <c r="W406" s="4"/>
      <c r="AB406" s="4"/>
      <c r="AG406" s="4"/>
      <c r="AL406" s="4"/>
      <c r="AQ406" s="4"/>
      <c r="AV406" s="4"/>
      <c r="BA406" s="4"/>
    </row>
    <row r="407" spans="8:53" s="1" customFormat="1" ht="53.45" customHeight="1">
      <c r="H407" s="4"/>
      <c r="M407" s="4"/>
      <c r="R407" s="4"/>
      <c r="W407" s="4"/>
      <c r="AB407" s="4"/>
      <c r="AG407" s="4"/>
      <c r="AL407" s="4"/>
      <c r="AQ407" s="4"/>
      <c r="AV407" s="4"/>
      <c r="BA407" s="4"/>
    </row>
    <row r="408" spans="8:53" s="1" customFormat="1" ht="53.45" customHeight="1">
      <c r="H408" s="4"/>
      <c r="M408" s="4"/>
      <c r="R408" s="4"/>
      <c r="W408" s="4"/>
      <c r="AB408" s="4"/>
      <c r="AG408" s="4"/>
      <c r="AL408" s="4"/>
      <c r="AQ408" s="4"/>
      <c r="AV408" s="4"/>
      <c r="BA408" s="4"/>
    </row>
    <row r="409" spans="8:53" s="1" customFormat="1" ht="53.45" customHeight="1">
      <c r="H409" s="4"/>
      <c r="M409" s="4"/>
      <c r="R409" s="4"/>
      <c r="W409" s="4"/>
      <c r="AB409" s="4"/>
      <c r="AG409" s="4"/>
      <c r="AL409" s="4"/>
      <c r="AQ409" s="4"/>
      <c r="AV409" s="4"/>
      <c r="BA409" s="4"/>
    </row>
    <row r="410" spans="8:53" s="1" customFormat="1" ht="53.45" customHeight="1">
      <c r="H410" s="4"/>
      <c r="M410" s="4"/>
      <c r="R410" s="4"/>
      <c r="W410" s="4"/>
      <c r="AB410" s="4"/>
      <c r="AG410" s="4"/>
      <c r="AL410" s="4"/>
      <c r="AQ410" s="4"/>
      <c r="AV410" s="4"/>
      <c r="BA410" s="4"/>
    </row>
    <row r="411" spans="8:53" s="1" customFormat="1" ht="53.45" customHeight="1">
      <c r="H411" s="4"/>
      <c r="M411" s="4"/>
      <c r="R411" s="4"/>
      <c r="W411" s="4"/>
      <c r="AB411" s="4"/>
      <c r="AG411" s="4"/>
      <c r="AL411" s="4"/>
      <c r="AQ411" s="4"/>
      <c r="AV411" s="4"/>
      <c r="BA411" s="4"/>
    </row>
    <row r="412" spans="8:53" s="1" customFormat="1" ht="53.45" customHeight="1">
      <c r="H412" s="4"/>
      <c r="M412" s="4"/>
      <c r="R412" s="4"/>
      <c r="W412" s="4"/>
      <c r="AB412" s="4"/>
      <c r="AG412" s="4"/>
      <c r="AL412" s="4"/>
      <c r="AQ412" s="4"/>
      <c r="AV412" s="4"/>
      <c r="BA412" s="4"/>
    </row>
    <row r="413" spans="8:53" s="1" customFormat="1" ht="53.45" customHeight="1">
      <c r="H413" s="4"/>
      <c r="M413" s="4"/>
      <c r="R413" s="4"/>
      <c r="W413" s="4"/>
      <c r="AB413" s="4"/>
      <c r="AG413" s="4"/>
      <c r="AL413" s="4"/>
      <c r="AQ413" s="4"/>
      <c r="AV413" s="4"/>
      <c r="BA413" s="4"/>
    </row>
    <row r="414" spans="8:53" s="1" customFormat="1" ht="53.45" customHeight="1">
      <c r="H414" s="4"/>
      <c r="M414" s="4"/>
      <c r="R414" s="4"/>
      <c r="W414" s="4"/>
      <c r="AB414" s="4"/>
      <c r="AG414" s="4"/>
      <c r="AL414" s="4"/>
      <c r="AQ414" s="4"/>
      <c r="AV414" s="4"/>
      <c r="BA414" s="4"/>
    </row>
    <row r="415" spans="8:53" s="1" customFormat="1" ht="53.45" customHeight="1">
      <c r="H415" s="4"/>
      <c r="M415" s="4"/>
      <c r="R415" s="4"/>
      <c r="W415" s="4"/>
      <c r="AB415" s="4"/>
      <c r="AG415" s="4"/>
      <c r="AL415" s="4"/>
      <c r="AQ415" s="4"/>
      <c r="AV415" s="4"/>
      <c r="BA415" s="4"/>
    </row>
    <row r="416" spans="8:53" s="1" customFormat="1" ht="53.45" customHeight="1">
      <c r="H416" s="4"/>
      <c r="M416" s="4"/>
      <c r="R416" s="4"/>
      <c r="W416" s="4"/>
      <c r="AB416" s="4"/>
      <c r="AG416" s="4"/>
      <c r="AL416" s="4"/>
      <c r="AQ416" s="4"/>
      <c r="AV416" s="4"/>
      <c r="BA416" s="4"/>
    </row>
    <row r="417" spans="8:53" s="1" customFormat="1" ht="53.45" customHeight="1">
      <c r="H417" s="4"/>
      <c r="M417" s="4"/>
      <c r="R417" s="4"/>
      <c r="W417" s="4"/>
      <c r="AB417" s="4"/>
      <c r="AG417" s="4"/>
      <c r="AL417" s="4"/>
      <c r="AQ417" s="4"/>
      <c r="AV417" s="4"/>
      <c r="BA417" s="4"/>
    </row>
    <row r="418" spans="8:53" s="1" customFormat="1" ht="53.45" customHeight="1">
      <c r="H418" s="4"/>
      <c r="M418" s="4"/>
      <c r="R418" s="4"/>
      <c r="W418" s="4"/>
      <c r="AB418" s="4"/>
      <c r="AG418" s="4"/>
      <c r="AL418" s="4"/>
      <c r="AQ418" s="4"/>
      <c r="AV418" s="4"/>
      <c r="BA418" s="4"/>
    </row>
    <row r="419" spans="8:53" s="1" customFormat="1" ht="53.45" customHeight="1">
      <c r="H419" s="4"/>
      <c r="M419" s="4"/>
      <c r="R419" s="4"/>
      <c r="W419" s="4"/>
      <c r="AB419" s="4"/>
      <c r="AG419" s="4"/>
      <c r="AL419" s="4"/>
      <c r="AQ419" s="4"/>
      <c r="AV419" s="4"/>
      <c r="BA419" s="4"/>
    </row>
    <row r="420" spans="8:53" s="1" customFormat="1" ht="53.45" customHeight="1">
      <c r="H420" s="4"/>
      <c r="M420" s="4"/>
      <c r="R420" s="4"/>
      <c r="W420" s="4"/>
      <c r="AB420" s="4"/>
      <c r="AG420" s="4"/>
      <c r="AL420" s="4"/>
      <c r="AQ420" s="4"/>
      <c r="AV420" s="4"/>
      <c r="BA420" s="4"/>
    </row>
    <row r="421" spans="8:53" s="1" customFormat="1" ht="53.45" customHeight="1">
      <c r="H421" s="4"/>
      <c r="M421" s="4"/>
      <c r="R421" s="4"/>
      <c r="W421" s="4"/>
      <c r="AB421" s="4"/>
      <c r="AG421" s="4"/>
      <c r="AL421" s="4"/>
      <c r="AQ421" s="4"/>
      <c r="AV421" s="4"/>
      <c r="BA421" s="4"/>
    </row>
    <row r="422" spans="8:53" s="1" customFormat="1" ht="53.45" customHeight="1">
      <c r="H422" s="4"/>
      <c r="M422" s="4"/>
      <c r="R422" s="4"/>
      <c r="W422" s="4"/>
      <c r="AB422" s="4"/>
      <c r="AG422" s="4"/>
      <c r="AL422" s="4"/>
      <c r="AQ422" s="4"/>
      <c r="AV422" s="4"/>
      <c r="BA422" s="4"/>
    </row>
    <row r="423" spans="8:53" s="1" customFormat="1" ht="53.45" customHeight="1">
      <c r="H423" s="4"/>
      <c r="M423" s="4"/>
      <c r="R423" s="4"/>
      <c r="W423" s="4"/>
      <c r="AB423" s="4"/>
      <c r="AG423" s="4"/>
      <c r="AL423" s="4"/>
      <c r="AQ423" s="4"/>
      <c r="AV423" s="4"/>
      <c r="BA423" s="4"/>
    </row>
    <row r="424" spans="8:53" s="1" customFormat="1" ht="53.45" customHeight="1">
      <c r="H424" s="4"/>
      <c r="M424" s="4"/>
      <c r="R424" s="4"/>
      <c r="W424" s="4"/>
      <c r="AB424" s="4"/>
      <c r="AG424" s="4"/>
      <c r="AL424" s="4"/>
      <c r="AQ424" s="4"/>
      <c r="AV424" s="4"/>
      <c r="BA424" s="4"/>
    </row>
    <row r="425" spans="8:53" s="1" customFormat="1" ht="53.45" customHeight="1">
      <c r="H425" s="4"/>
      <c r="M425" s="4"/>
      <c r="R425" s="4"/>
      <c r="W425" s="4"/>
      <c r="AB425" s="4"/>
      <c r="AG425" s="4"/>
      <c r="AL425" s="4"/>
      <c r="AQ425" s="4"/>
      <c r="AV425" s="4"/>
      <c r="BA425" s="4"/>
    </row>
    <row r="426" spans="8:53" s="1" customFormat="1" ht="53.45" customHeight="1">
      <c r="H426" s="4"/>
      <c r="M426" s="4"/>
      <c r="R426" s="4"/>
      <c r="W426" s="4"/>
      <c r="AB426" s="4"/>
      <c r="AG426" s="4"/>
      <c r="AL426" s="4"/>
      <c r="AQ426" s="4"/>
      <c r="AV426" s="4"/>
      <c r="BA426" s="4"/>
    </row>
    <row r="427" spans="8:53" s="1" customFormat="1" ht="53.45" customHeight="1">
      <c r="H427" s="4"/>
      <c r="M427" s="4"/>
      <c r="R427" s="4"/>
      <c r="W427" s="4"/>
      <c r="AB427" s="4"/>
      <c r="AG427" s="4"/>
      <c r="AL427" s="4"/>
      <c r="AQ427" s="4"/>
      <c r="AV427" s="4"/>
      <c r="BA427" s="4"/>
    </row>
    <row r="428" spans="8:53" s="1" customFormat="1" ht="53.45" customHeight="1">
      <c r="H428" s="4"/>
      <c r="M428" s="4"/>
      <c r="R428" s="4"/>
      <c r="W428" s="4"/>
      <c r="AB428" s="4"/>
      <c r="AG428" s="4"/>
      <c r="AL428" s="4"/>
      <c r="AQ428" s="4"/>
      <c r="AV428" s="4"/>
      <c r="BA428" s="4"/>
    </row>
    <row r="429" spans="8:53" s="1" customFormat="1" ht="53.45" customHeight="1">
      <c r="H429" s="4"/>
      <c r="M429" s="4"/>
      <c r="R429" s="4"/>
      <c r="W429" s="4"/>
      <c r="AB429" s="4"/>
      <c r="AG429" s="4"/>
      <c r="AL429" s="4"/>
      <c r="AQ429" s="4"/>
      <c r="AV429" s="4"/>
      <c r="BA429" s="4"/>
    </row>
    <row r="430" spans="8:53" s="1" customFormat="1" ht="53.45" customHeight="1">
      <c r="H430" s="4"/>
      <c r="M430" s="4"/>
      <c r="R430" s="4"/>
      <c r="W430" s="4"/>
      <c r="AB430" s="4"/>
      <c r="AG430" s="4"/>
      <c r="AL430" s="4"/>
      <c r="AQ430" s="4"/>
      <c r="AV430" s="4"/>
      <c r="BA430" s="4"/>
    </row>
    <row r="431" spans="8:53" s="1" customFormat="1" ht="53.45" customHeight="1">
      <c r="H431" s="4"/>
      <c r="M431" s="4"/>
      <c r="R431" s="4"/>
      <c r="W431" s="4"/>
      <c r="AB431" s="4"/>
      <c r="AG431" s="4"/>
      <c r="AL431" s="4"/>
      <c r="AQ431" s="4"/>
      <c r="AV431" s="4"/>
      <c r="BA431" s="4"/>
    </row>
    <row r="432" spans="8:53" s="1" customFormat="1" ht="53.45" customHeight="1">
      <c r="H432" s="4"/>
      <c r="M432" s="4"/>
      <c r="R432" s="4"/>
      <c r="W432" s="4"/>
      <c r="AB432" s="4"/>
      <c r="AG432" s="4"/>
      <c r="AL432" s="4"/>
      <c r="AQ432" s="4"/>
      <c r="AV432" s="4"/>
      <c r="BA432" s="4"/>
    </row>
    <row r="433" spans="8:53" s="1" customFormat="1" ht="53.45" customHeight="1">
      <c r="H433" s="4"/>
      <c r="M433" s="4"/>
      <c r="R433" s="4"/>
      <c r="W433" s="4"/>
      <c r="AB433" s="4"/>
      <c r="AG433" s="4"/>
      <c r="AL433" s="4"/>
      <c r="AQ433" s="4"/>
      <c r="AV433" s="4"/>
      <c r="BA433" s="4"/>
    </row>
    <row r="434" spans="8:53" s="1" customFormat="1" ht="53.45" customHeight="1">
      <c r="H434" s="4"/>
      <c r="M434" s="4"/>
      <c r="R434" s="4"/>
      <c r="W434" s="4"/>
      <c r="AB434" s="4"/>
      <c r="AG434" s="4"/>
      <c r="AL434" s="4"/>
      <c r="AQ434" s="4"/>
      <c r="AV434" s="4"/>
      <c r="BA434" s="4"/>
    </row>
    <row r="435" spans="8:53" s="1" customFormat="1" ht="53.45" customHeight="1">
      <c r="H435" s="4"/>
      <c r="M435" s="4"/>
      <c r="R435" s="4"/>
      <c r="W435" s="4"/>
      <c r="AB435" s="4"/>
      <c r="AG435" s="4"/>
      <c r="AL435" s="4"/>
      <c r="AQ435" s="4"/>
      <c r="AV435" s="4"/>
      <c r="BA435" s="4"/>
    </row>
    <row r="436" spans="8:53" s="1" customFormat="1" ht="53.45" customHeight="1">
      <c r="H436" s="4"/>
      <c r="M436" s="4"/>
      <c r="R436" s="4"/>
      <c r="W436" s="4"/>
      <c r="AB436" s="4"/>
      <c r="AG436" s="4"/>
      <c r="AL436" s="4"/>
      <c r="AQ436" s="4"/>
      <c r="AV436" s="4"/>
      <c r="BA436" s="4"/>
    </row>
    <row r="437" spans="8:53" s="1" customFormat="1" ht="53.45" customHeight="1">
      <c r="H437" s="4"/>
      <c r="M437" s="4"/>
      <c r="R437" s="4"/>
      <c r="W437" s="4"/>
      <c r="AB437" s="4"/>
      <c r="AG437" s="4"/>
      <c r="AL437" s="4"/>
      <c r="AQ437" s="4"/>
      <c r="AV437" s="4"/>
      <c r="BA437" s="4"/>
    </row>
    <row r="438" spans="8:53" s="1" customFormat="1" ht="53.45" customHeight="1">
      <c r="H438" s="4"/>
      <c r="M438" s="4"/>
      <c r="R438" s="4"/>
      <c r="W438" s="4"/>
      <c r="AB438" s="4"/>
      <c r="AG438" s="4"/>
      <c r="AL438" s="4"/>
      <c r="AQ438" s="4"/>
      <c r="AV438" s="4"/>
      <c r="BA438" s="4"/>
    </row>
    <row r="439" spans="8:53" s="1" customFormat="1" ht="53.45" customHeight="1">
      <c r="H439" s="4"/>
      <c r="M439" s="4"/>
      <c r="R439" s="4"/>
      <c r="W439" s="4"/>
      <c r="AB439" s="4"/>
      <c r="AG439" s="4"/>
      <c r="AL439" s="4"/>
      <c r="AQ439" s="4"/>
      <c r="AV439" s="4"/>
      <c r="BA439" s="4"/>
    </row>
    <row r="440" spans="8:53" s="1" customFormat="1" ht="53.45" customHeight="1">
      <c r="H440" s="4"/>
      <c r="M440" s="4"/>
      <c r="R440" s="4"/>
      <c r="W440" s="4"/>
      <c r="AB440" s="4"/>
      <c r="AG440" s="4"/>
      <c r="AL440" s="4"/>
      <c r="AQ440" s="4"/>
      <c r="AV440" s="4"/>
      <c r="BA440" s="4"/>
    </row>
    <row r="441" spans="8:53" s="1" customFormat="1" ht="53.45" customHeight="1">
      <c r="H441" s="4"/>
      <c r="M441" s="4"/>
      <c r="R441" s="4"/>
      <c r="W441" s="4"/>
      <c r="AB441" s="4"/>
      <c r="AG441" s="4"/>
      <c r="AL441" s="4"/>
      <c r="AQ441" s="4"/>
      <c r="AV441" s="4"/>
      <c r="BA441" s="4"/>
    </row>
    <row r="442" spans="8:53" s="1" customFormat="1" ht="53.45" customHeight="1">
      <c r="H442" s="4"/>
      <c r="M442" s="4"/>
      <c r="R442" s="4"/>
      <c r="W442" s="4"/>
      <c r="AB442" s="4"/>
      <c r="AG442" s="4"/>
      <c r="AL442" s="4"/>
      <c r="AQ442" s="4"/>
      <c r="AV442" s="4"/>
      <c r="BA442" s="4"/>
    </row>
    <row r="443" spans="8:53" s="1" customFormat="1" ht="53.45" customHeight="1">
      <c r="H443" s="4"/>
      <c r="M443" s="4"/>
      <c r="R443" s="4"/>
      <c r="W443" s="4"/>
      <c r="AB443" s="4"/>
      <c r="AG443" s="4"/>
      <c r="AL443" s="4"/>
      <c r="AQ443" s="4"/>
      <c r="AV443" s="4"/>
      <c r="BA443" s="4"/>
    </row>
    <row r="444" spans="8:53" s="1" customFormat="1" ht="53.45" customHeight="1">
      <c r="H444" s="4"/>
      <c r="M444" s="4"/>
      <c r="R444" s="4"/>
      <c r="W444" s="4"/>
      <c r="AB444" s="4"/>
      <c r="AG444" s="4"/>
      <c r="AL444" s="4"/>
      <c r="AQ444" s="4"/>
      <c r="AV444" s="4"/>
      <c r="BA444" s="4"/>
    </row>
    <row r="445" spans="8:53" s="1" customFormat="1" ht="53.45" customHeight="1">
      <c r="H445" s="4"/>
      <c r="M445" s="4"/>
      <c r="R445" s="4"/>
      <c r="W445" s="4"/>
      <c r="AB445" s="4"/>
      <c r="AG445" s="4"/>
      <c r="AL445" s="4"/>
      <c r="AQ445" s="4"/>
      <c r="AV445" s="4"/>
      <c r="BA445" s="4"/>
    </row>
    <row r="446" spans="8:53" s="1" customFormat="1" ht="53.45" customHeight="1">
      <c r="H446" s="4"/>
      <c r="M446" s="4"/>
      <c r="R446" s="4"/>
      <c r="W446" s="4"/>
      <c r="AB446" s="4"/>
      <c r="AG446" s="4"/>
      <c r="AL446" s="4"/>
      <c r="AQ446" s="4"/>
      <c r="AV446" s="4"/>
      <c r="BA446" s="4"/>
    </row>
    <row r="447" spans="8:53" s="1" customFormat="1" ht="53.45" customHeight="1">
      <c r="H447" s="4"/>
      <c r="M447" s="4"/>
      <c r="R447" s="4"/>
      <c r="W447" s="4"/>
      <c r="AB447" s="4"/>
      <c r="AG447" s="4"/>
      <c r="AL447" s="4"/>
      <c r="AQ447" s="4"/>
      <c r="AV447" s="4"/>
      <c r="BA447" s="4"/>
    </row>
    <row r="448" spans="8:53" s="1" customFormat="1" ht="53.45" customHeight="1">
      <c r="H448" s="4"/>
      <c r="M448" s="4"/>
      <c r="R448" s="4"/>
      <c r="W448" s="4"/>
      <c r="AB448" s="4"/>
      <c r="AG448" s="4"/>
      <c r="AL448" s="4"/>
      <c r="AQ448" s="4"/>
      <c r="AV448" s="4"/>
      <c r="BA448" s="4"/>
    </row>
    <row r="449" spans="8:53" s="1" customFormat="1" ht="53.45" customHeight="1">
      <c r="H449" s="4"/>
      <c r="M449" s="4"/>
      <c r="R449" s="4"/>
      <c r="W449" s="4"/>
      <c r="AB449" s="4"/>
      <c r="AG449" s="4"/>
      <c r="AL449" s="4"/>
      <c r="AQ449" s="4"/>
      <c r="AV449" s="4"/>
      <c r="BA449" s="4"/>
    </row>
    <row r="450" spans="8:53" s="1" customFormat="1" ht="53.45" customHeight="1">
      <c r="H450" s="4"/>
      <c r="M450" s="4"/>
      <c r="R450" s="4"/>
      <c r="W450" s="4"/>
      <c r="AB450" s="4"/>
      <c r="AG450" s="4"/>
      <c r="AL450" s="4"/>
      <c r="AQ450" s="4"/>
      <c r="AV450" s="4"/>
      <c r="BA450" s="4"/>
    </row>
    <row r="451" spans="8:53" s="1" customFormat="1" ht="53.45" customHeight="1">
      <c r="H451" s="4"/>
      <c r="M451" s="4"/>
      <c r="R451" s="4"/>
      <c r="W451" s="4"/>
      <c r="AB451" s="4"/>
      <c r="AG451" s="4"/>
      <c r="AL451" s="4"/>
      <c r="AQ451" s="4"/>
      <c r="AV451" s="4"/>
      <c r="BA451" s="4"/>
    </row>
    <row r="452" spans="8:53" s="1" customFormat="1" ht="53.45" customHeight="1">
      <c r="H452" s="4"/>
      <c r="M452" s="4"/>
      <c r="R452" s="4"/>
      <c r="W452" s="4"/>
      <c r="AB452" s="4"/>
      <c r="AG452" s="4"/>
      <c r="AL452" s="4"/>
      <c r="AQ452" s="4"/>
      <c r="AV452" s="4"/>
      <c r="BA452" s="4"/>
    </row>
    <row r="453" spans="8:53" s="1" customFormat="1" ht="53.45" customHeight="1">
      <c r="H453" s="4"/>
      <c r="M453" s="4"/>
      <c r="R453" s="4"/>
      <c r="W453" s="4"/>
      <c r="AB453" s="4"/>
      <c r="AG453" s="4"/>
      <c r="AL453" s="4"/>
      <c r="AQ453" s="4"/>
      <c r="AV453" s="4"/>
      <c r="BA453" s="4"/>
    </row>
    <row r="454" spans="8:53" s="1" customFormat="1" ht="53.45" customHeight="1">
      <c r="H454" s="4"/>
      <c r="M454" s="4"/>
      <c r="R454" s="4"/>
      <c r="W454" s="4"/>
      <c r="AB454" s="4"/>
      <c r="AG454" s="4"/>
      <c r="AL454" s="4"/>
      <c r="AQ454" s="4"/>
      <c r="AV454" s="4"/>
      <c r="BA454" s="4"/>
    </row>
    <row r="455" spans="8:53" s="1" customFormat="1" ht="53.45" customHeight="1">
      <c r="H455" s="4"/>
      <c r="M455" s="4"/>
      <c r="R455" s="4"/>
      <c r="W455" s="4"/>
      <c r="AB455" s="4"/>
      <c r="AG455" s="4"/>
      <c r="AL455" s="4"/>
      <c r="AQ455" s="4"/>
      <c r="AV455" s="4"/>
      <c r="BA455" s="4"/>
    </row>
    <row r="456" spans="8:53" s="1" customFormat="1" ht="53.45" customHeight="1">
      <c r="H456" s="4"/>
      <c r="M456" s="4"/>
      <c r="R456" s="4"/>
      <c r="W456" s="4"/>
      <c r="AB456" s="4"/>
      <c r="AG456" s="4"/>
      <c r="AL456" s="4"/>
      <c r="AQ456" s="4"/>
      <c r="AV456" s="4"/>
      <c r="BA456" s="4"/>
    </row>
    <row r="457" spans="8:53" s="1" customFormat="1" ht="53.45" customHeight="1">
      <c r="H457" s="4"/>
      <c r="M457" s="4"/>
      <c r="R457" s="4"/>
      <c r="W457" s="4"/>
      <c r="AB457" s="4"/>
      <c r="AG457" s="4"/>
      <c r="AL457" s="4"/>
      <c r="AQ457" s="4"/>
      <c r="AV457" s="4"/>
      <c r="BA457" s="4"/>
    </row>
    <row r="458" spans="8:53" s="1" customFormat="1" ht="53.45" customHeight="1">
      <c r="H458" s="4"/>
      <c r="M458" s="4"/>
      <c r="R458" s="4"/>
      <c r="W458" s="4"/>
      <c r="AB458" s="4"/>
      <c r="AG458" s="4"/>
      <c r="AL458" s="4"/>
      <c r="AQ458" s="4"/>
      <c r="AV458" s="4"/>
      <c r="BA458" s="4"/>
    </row>
    <row r="459" spans="8:53" s="1" customFormat="1" ht="53.45" customHeight="1">
      <c r="H459" s="4"/>
      <c r="M459" s="4"/>
      <c r="R459" s="4"/>
      <c r="W459" s="4"/>
      <c r="AB459" s="4"/>
      <c r="AG459" s="4"/>
      <c r="AL459" s="4"/>
      <c r="AQ459" s="4"/>
      <c r="AV459" s="4"/>
      <c r="BA459" s="4"/>
    </row>
    <row r="460" spans="8:53" s="1" customFormat="1" ht="53.45" customHeight="1">
      <c r="H460" s="4"/>
      <c r="M460" s="4"/>
      <c r="R460" s="4"/>
      <c r="W460" s="4"/>
      <c r="AB460" s="4"/>
      <c r="AG460" s="4"/>
      <c r="AL460" s="4"/>
      <c r="AQ460" s="4"/>
      <c r="AV460" s="4"/>
      <c r="BA460" s="4"/>
    </row>
    <row r="461" spans="8:53" s="1" customFormat="1" ht="53.45" customHeight="1">
      <c r="H461" s="4"/>
      <c r="M461" s="4"/>
      <c r="R461" s="4"/>
      <c r="W461" s="4"/>
      <c r="AB461" s="4"/>
      <c r="AG461" s="4"/>
      <c r="AL461" s="4"/>
      <c r="AQ461" s="4"/>
      <c r="AV461" s="4"/>
      <c r="BA461" s="4"/>
    </row>
    <row r="462" spans="8:53" s="1" customFormat="1" ht="53.45" customHeight="1">
      <c r="H462" s="4"/>
      <c r="M462" s="4"/>
      <c r="R462" s="4"/>
      <c r="W462" s="4"/>
      <c r="AB462" s="4"/>
      <c r="AG462" s="4"/>
      <c r="AL462" s="4"/>
      <c r="AQ462" s="4"/>
      <c r="AV462" s="4"/>
      <c r="BA462" s="4"/>
    </row>
    <row r="463" spans="8:53" s="1" customFormat="1" ht="53.45" customHeight="1">
      <c r="H463" s="4"/>
      <c r="M463" s="4"/>
      <c r="R463" s="4"/>
      <c r="W463" s="4"/>
      <c r="AB463" s="4"/>
      <c r="AG463" s="4"/>
      <c r="AL463" s="4"/>
      <c r="AQ463" s="4"/>
      <c r="AV463" s="4"/>
      <c r="BA463" s="4"/>
    </row>
    <row r="464" spans="8:53" s="1" customFormat="1" ht="53.45" customHeight="1">
      <c r="H464" s="4"/>
      <c r="M464" s="4"/>
      <c r="R464" s="4"/>
      <c r="W464" s="4"/>
      <c r="AB464" s="4"/>
      <c r="AG464" s="4"/>
      <c r="AL464" s="4"/>
      <c r="AQ464" s="4"/>
      <c r="AV464" s="4"/>
      <c r="BA464" s="4"/>
    </row>
    <row r="465" spans="8:53" s="1" customFormat="1" ht="53.45" customHeight="1">
      <c r="H465" s="4"/>
      <c r="M465" s="4"/>
      <c r="R465" s="4"/>
      <c r="W465" s="4"/>
      <c r="AB465" s="4"/>
      <c r="AG465" s="4"/>
      <c r="AL465" s="4"/>
      <c r="AQ465" s="4"/>
      <c r="AV465" s="4"/>
      <c r="BA465" s="4"/>
    </row>
    <row r="466" spans="8:53" s="1" customFormat="1" ht="53.45" customHeight="1">
      <c r="H466" s="4"/>
      <c r="M466" s="4"/>
      <c r="R466" s="4"/>
      <c r="W466" s="4"/>
      <c r="AB466" s="4"/>
      <c r="AG466" s="4"/>
      <c r="AL466" s="4"/>
      <c r="AQ466" s="4"/>
      <c r="AV466" s="4"/>
      <c r="BA466" s="4"/>
    </row>
    <row r="467" spans="8:53" s="1" customFormat="1" ht="53.45" customHeight="1">
      <c r="H467" s="4"/>
      <c r="M467" s="4"/>
      <c r="R467" s="4"/>
      <c r="W467" s="4"/>
      <c r="AB467" s="4"/>
      <c r="AG467" s="4"/>
      <c r="AL467" s="4"/>
      <c r="AQ467" s="4"/>
      <c r="AV467" s="4"/>
      <c r="BA467" s="4"/>
    </row>
    <row r="468" spans="8:53" s="1" customFormat="1" ht="53.45" customHeight="1">
      <c r="H468" s="4"/>
      <c r="M468" s="4"/>
      <c r="R468" s="4"/>
      <c r="W468" s="4"/>
      <c r="AB468" s="4"/>
      <c r="AG468" s="4"/>
      <c r="AL468" s="4"/>
      <c r="AQ468" s="4"/>
      <c r="AV468" s="4"/>
      <c r="BA468" s="4"/>
    </row>
    <row r="469" spans="8:53" s="1" customFormat="1" ht="53.45" customHeight="1">
      <c r="H469" s="4"/>
      <c r="M469" s="4"/>
      <c r="R469" s="4"/>
      <c r="W469" s="4"/>
      <c r="AB469" s="4"/>
      <c r="AG469" s="4"/>
      <c r="AL469" s="4"/>
      <c r="AQ469" s="4"/>
      <c r="AV469" s="4"/>
      <c r="BA469" s="4"/>
    </row>
    <row r="470" spans="8:53" s="1" customFormat="1" ht="53.45" customHeight="1">
      <c r="H470" s="4"/>
      <c r="M470" s="4"/>
      <c r="R470" s="4"/>
      <c r="W470" s="4"/>
      <c r="AB470" s="4"/>
      <c r="AG470" s="4"/>
      <c r="AL470" s="4"/>
      <c r="AQ470" s="4"/>
      <c r="AV470" s="4"/>
      <c r="BA470" s="4"/>
    </row>
    <row r="471" spans="8:53" s="1" customFormat="1" ht="53.45" customHeight="1">
      <c r="H471" s="4"/>
      <c r="M471" s="4"/>
      <c r="R471" s="4"/>
      <c r="W471" s="4"/>
      <c r="AB471" s="4"/>
      <c r="AG471" s="4"/>
      <c r="AL471" s="4"/>
      <c r="AQ471" s="4"/>
      <c r="AV471" s="4"/>
      <c r="BA471" s="4"/>
    </row>
    <row r="472" spans="8:53" s="1" customFormat="1" ht="53.45" customHeight="1">
      <c r="H472" s="4"/>
      <c r="M472" s="4"/>
      <c r="R472" s="4"/>
      <c r="W472" s="4"/>
      <c r="AB472" s="4"/>
      <c r="AG472" s="4"/>
      <c r="AL472" s="4"/>
      <c r="AQ472" s="4"/>
      <c r="AV472" s="4"/>
      <c r="BA472" s="4"/>
    </row>
    <row r="473" spans="8:53" s="1" customFormat="1" ht="53.45" customHeight="1">
      <c r="H473" s="4"/>
      <c r="M473" s="4"/>
      <c r="R473" s="4"/>
      <c r="W473" s="4"/>
      <c r="AB473" s="4"/>
      <c r="AG473" s="4"/>
      <c r="AL473" s="4"/>
      <c r="AQ473" s="4"/>
      <c r="AV473" s="4"/>
      <c r="BA473" s="4"/>
    </row>
    <row r="474" spans="8:53" s="1" customFormat="1" ht="53.45" customHeight="1">
      <c r="H474" s="4"/>
      <c r="M474" s="4"/>
      <c r="R474" s="4"/>
      <c r="W474" s="4"/>
      <c r="AB474" s="4"/>
      <c r="AG474" s="4"/>
      <c r="AL474" s="4"/>
      <c r="AQ474" s="4"/>
      <c r="AV474" s="4"/>
      <c r="BA474" s="4"/>
    </row>
    <row r="475" spans="8:53" s="1" customFormat="1" ht="53.45" customHeight="1">
      <c r="H475" s="4"/>
      <c r="M475" s="4"/>
      <c r="R475" s="4"/>
      <c r="W475" s="4"/>
      <c r="AB475" s="4"/>
      <c r="AG475" s="4"/>
      <c r="AL475" s="4"/>
      <c r="AQ475" s="4"/>
      <c r="AV475" s="4"/>
      <c r="BA475" s="4"/>
    </row>
    <row r="476" spans="8:53" s="1" customFormat="1" ht="53.45" customHeight="1">
      <c r="H476" s="4"/>
      <c r="M476" s="4"/>
      <c r="R476" s="4"/>
      <c r="W476" s="4"/>
      <c r="AB476" s="4"/>
      <c r="AG476" s="4"/>
      <c r="AL476" s="4"/>
      <c r="AQ476" s="4"/>
      <c r="AV476" s="4"/>
      <c r="BA476" s="4"/>
    </row>
    <row r="477" spans="8:53" s="1" customFormat="1" ht="53.45" customHeight="1">
      <c r="H477" s="4"/>
      <c r="M477" s="4"/>
      <c r="R477" s="4"/>
      <c r="W477" s="4"/>
      <c r="AB477" s="4"/>
      <c r="AG477" s="4"/>
      <c r="AL477" s="4"/>
      <c r="AQ477" s="4"/>
      <c r="AV477" s="4"/>
      <c r="BA477" s="4"/>
    </row>
    <row r="478" spans="8:53" s="1" customFormat="1" ht="53.45" customHeight="1">
      <c r="H478" s="4"/>
      <c r="M478" s="4"/>
      <c r="R478" s="4"/>
      <c r="W478" s="4"/>
      <c r="AB478" s="4"/>
      <c r="AG478" s="4"/>
      <c r="AL478" s="4"/>
      <c r="AQ478" s="4"/>
      <c r="AV478" s="4"/>
      <c r="BA478" s="4"/>
    </row>
    <row r="479" spans="8:53" s="1" customFormat="1" ht="53.45" customHeight="1">
      <c r="H479" s="4"/>
      <c r="M479" s="4"/>
      <c r="R479" s="4"/>
      <c r="W479" s="4"/>
      <c r="AB479" s="4"/>
      <c r="AG479" s="4"/>
      <c r="AL479" s="4"/>
      <c r="AQ479" s="4"/>
      <c r="AV479" s="4"/>
      <c r="BA479" s="4"/>
    </row>
    <row r="480" spans="8:53" s="1" customFormat="1" ht="53.45" customHeight="1">
      <c r="H480" s="4"/>
      <c r="M480" s="4"/>
      <c r="R480" s="4"/>
      <c r="W480" s="4"/>
      <c r="AB480" s="4"/>
      <c r="AG480" s="4"/>
      <c r="AL480" s="4"/>
      <c r="AQ480" s="4"/>
      <c r="AV480" s="4"/>
      <c r="BA480" s="4"/>
    </row>
    <row r="481" spans="8:53" s="1" customFormat="1" ht="53.45" customHeight="1">
      <c r="H481" s="4"/>
      <c r="M481" s="4"/>
      <c r="R481" s="4"/>
      <c r="W481" s="4"/>
      <c r="AB481" s="4"/>
      <c r="AG481" s="4"/>
      <c r="AL481" s="4"/>
      <c r="AQ481" s="4"/>
      <c r="AV481" s="4"/>
      <c r="BA481" s="4"/>
    </row>
  </sheetData>
  <mergeCells count="23">
    <mergeCell ref="AE3:AF3"/>
    <mergeCell ref="H1:AF1"/>
    <mergeCell ref="H2:K2"/>
    <mergeCell ref="M2:P2"/>
    <mergeCell ref="R2:T2"/>
    <mergeCell ref="V2:X2"/>
    <mergeCell ref="Z2:AB2"/>
    <mergeCell ref="AE2:AF2"/>
    <mergeCell ref="H3:K3"/>
    <mergeCell ref="M3:P3"/>
    <mergeCell ref="R3:T3"/>
    <mergeCell ref="V3:X3"/>
    <mergeCell ref="Z3:AB3"/>
    <mergeCell ref="AL16:AL17"/>
    <mergeCell ref="AQ16:AQ17"/>
    <mergeCell ref="AV16:AV17"/>
    <mergeCell ref="BA16:BA17"/>
    <mergeCell ref="H16:H17"/>
    <mergeCell ref="M16:M17"/>
    <mergeCell ref="R16:R17"/>
    <mergeCell ref="W16:W17"/>
    <mergeCell ref="AB16:AB17"/>
    <mergeCell ref="AG16:AG17"/>
  </mergeCells>
  <printOptions horizontalCentered="1" verticalCentered="1"/>
  <pageMargins left="0" right="0" top="0" bottom="0" header="0" footer="0"/>
  <pageSetup paperSize="9" scale="2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YAMAZUMI цеха</vt:lpstr>
      <vt:lpstr>Механический</vt:lpstr>
      <vt:lpstr>Фрезеровка ЧПУ</vt:lpstr>
      <vt:lpstr>ППМ 3</vt:lpstr>
      <vt:lpstr>YAMAZUMI участка</vt:lpstr>
      <vt:lpstr>ПРСБ 3</vt:lpstr>
      <vt:lpstr>ПРСБ 4</vt:lpstr>
      <vt:lpstr>СБ 3</vt:lpstr>
      <vt:lpstr>СБ 4</vt:lpstr>
      <vt:lpstr>'YAMAZUMI участка'!Область_печати</vt:lpstr>
      <vt:lpstr>'YAMAZUMI цеха'!Область_печати</vt:lpstr>
      <vt:lpstr>Механический!Область_печати</vt:lpstr>
      <vt:lpstr>'ППМ 3'!Область_печати</vt:lpstr>
      <vt:lpstr>'ПРСБ 3'!Область_печати</vt:lpstr>
      <vt:lpstr>'ПРСБ 4'!Область_печати</vt:lpstr>
      <vt:lpstr>'СБ 3'!Область_печати</vt:lpstr>
      <vt:lpstr>'СБ 4'!Область_печати</vt:lpstr>
      <vt:lpstr>'Фрезеровка ЧПУ'!Область_печати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2025-09-03T12:05:24Z</dcterms:modified>
</cp:coreProperties>
</file>